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worksheets/sheet20.xml" ContentType="application/vnd.openxmlformats-officedocument.spreadsheetml.worksheet+xml"/>
  <Override PartName="/xl/tables/table10.xml" ContentType="application/vnd.openxmlformats-officedocument.spreadsheetml.table+xml"/>
  <Override PartName="/xl/worksheets/sheet21.xml" ContentType="application/vnd.openxmlformats-officedocument.spreadsheetml.worksheet+xml"/>
  <Override PartName="/xl/tables/table11.xml" ContentType="application/vnd.openxmlformats-officedocument.spreadsheetml.table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23.xml" ContentType="application/vnd.openxmlformats-officedocument.spreadsheetml.worksheet+xml"/>
  <Override PartName="/xl/tables/table13.xml" ContentType="application/vnd.openxmlformats-officedocument.spreadsheetml.table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 Center" sheetId="1" state="visible" r:id="rId1"/>
    <sheet name="P&amp;L" sheetId="2" state="visible" r:id="rId2"/>
    <sheet name="Division Performance" sheetId="3" state="visible" r:id="rId3"/>
    <sheet name="Project Tracker" sheetId="4" state="visible" r:id="rId4"/>
    <sheet name="WIP &amp; Profit Fade" sheetId="5" state="visible" r:id="rId5"/>
    <sheet name="AR Aging" sheetId="6" state="visible" r:id="rId6"/>
    <sheet name="AP Aging" sheetId="7" state="visible" r:id="rId7"/>
    <sheet name="Cash &amp; Liquidity" sheetId="8" state="visible" r:id="rId8"/>
    <sheet name="Balance Sheet" sheetId="9" state="visible" r:id="rId9"/>
    <sheet name="Data Health" sheetId="10" state="visible" r:id="rId10"/>
    <sheet name="» Fact_GL" sheetId="11" state="visible" r:id="rId11"/>
    <sheet name="» Fact_WIP" sheetId="12" state="visible" r:id="rId12"/>
    <sheet name="» Fact_PL_Monthly" sheetId="13" state="visible" r:id="rId13"/>
    <sheet name="» Fact_AR" sheetId="14" state="visible" r:id="rId14"/>
    <sheet name="» Fact_AP" sheetId="15" state="visible" r:id="rId15"/>
    <sheet name="» Fact_Cash" sheetId="16" state="visible" r:id="rId16"/>
    <sheet name="» Fact_Budget" sheetId="17" state="visible" r:id="rId17"/>
    <sheet name="» Fact_BalanceSheet" sheetId="18" state="visible" r:id="rId18"/>
    <sheet name="» Dim_Job" sheetId="19" state="visible" r:id="rId19"/>
    <sheet name="» Dim_Account" sheetId="20" state="visible" r:id="rId20"/>
    <sheet name="» Dim_Division" sheetId="21" state="visible" r:id="rId21"/>
    <sheet name="» Dim_PM" sheetId="22" state="visible" r:id="rId22"/>
    <sheet name="» Param_Cash" sheetId="23" state="visible" r:id="rId23"/>
    <sheet name="Job Revenue 202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5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9AA3B2"/>
      <sz val="10"/>
    </font>
    <font>
      <name val="Segoe UI"/>
      <b val="1"/>
      <color rgb="009AA3B2"/>
      <sz val="8"/>
    </font>
    <font>
      <name val="Segoe UI"/>
      <color rgb="009AA3B2"/>
      <sz val="8"/>
    </font>
    <font>
      <name val="Segoe UI"/>
      <b val="1"/>
      <color rgb="00FF6B6B"/>
      <sz val="18"/>
    </font>
    <font>
      <name val="Segoe UI"/>
      <b val="1"/>
      <color rgb="00FF6B6B"/>
      <sz val="8"/>
    </font>
    <font>
      <name val="Segoe UI"/>
      <b val="1"/>
      <color rgb="0035C77F"/>
      <sz val="18"/>
    </font>
    <font>
      <name val="Segoe UI"/>
      <b val="1"/>
      <color rgb="0035C77F"/>
      <sz val="8"/>
    </font>
    <font>
      <name val="Segoe UI"/>
      <b val="1"/>
      <color rgb="00FFFFFF"/>
      <sz val="16"/>
    </font>
    <font>
      <name val="Segoe UI"/>
      <b val="1"/>
      <color rgb="00FF6B6B"/>
      <sz val="16"/>
    </font>
    <font>
      <name val="Segoe UI"/>
      <b val="1"/>
      <color rgb="0035C77F"/>
      <sz val="16"/>
    </font>
    <font>
      <b val="1"/>
      <color rgb="00262B38"/>
      <sz val="11"/>
    </font>
    <font>
      <name val="Segoe UI"/>
      <b val="1"/>
      <color rgb="009AA3B2"/>
      <sz val="9"/>
    </font>
    <font>
      <b val="1"/>
      <color rgb="00FFFFFF"/>
      <sz val="12"/>
    </font>
    <font>
      <color rgb="00262B38"/>
      <sz val="10"/>
    </font>
    <font>
      <i val="1"/>
      <color rgb="009AA3B2"/>
      <sz val="9"/>
    </font>
    <font>
      <b val="1"/>
      <color rgb="00FFFFFF"/>
    </font>
    <font>
      <color rgb="00262B38"/>
    </font>
    <font>
      <b val="1"/>
      <color rgb="00262B38"/>
    </font>
    <font>
      <b val="1"/>
    </font>
    <font>
      <i val="1"/>
      <color rgb="00262B38"/>
    </font>
    <font>
      <b val="1"/>
      <color rgb="006E7585"/>
    </font>
    <font>
      <b val="1"/>
      <color rgb="00262B38"/>
      <sz val="12"/>
    </font>
    <font>
      <b val="1"/>
      <color rgb="00FF6B6B"/>
      <sz val="12"/>
    </font>
    <font>
      <b val="1"/>
      <color rgb="0035C77F"/>
      <sz val="12"/>
    </font>
    <font>
      <i val="1"/>
      <color rgb="009AA3B2"/>
    </font>
    <font>
      <name val="Calibri"/>
      <color rgb="00FFFFFF"/>
      <sz val="11"/>
    </font>
    <font>
      <b val="1"/>
      <color rgb="00FFFFFF"/>
      <sz val="11"/>
    </font>
    <font>
      <color rgb="00FFFFFF"/>
      <sz val="10"/>
    </font>
    <font>
      <color rgb="00FFFFFF"/>
    </font>
    <font>
      <i val="1"/>
      <color rgb="00FFFFFF"/>
    </font>
    <font>
      <name val="Segoe UI"/>
      <color rgb="00FFFFFF"/>
      <sz val="11"/>
    </font>
    <font>
      <name val="Segoe UI"/>
      <b val="1"/>
      <color rgb="00FFFFFF"/>
      <sz val="11"/>
    </font>
    <font>
      <name val="Segoe UI"/>
      <b val="1"/>
      <color rgb="00FFFFFF"/>
      <sz val="12"/>
    </font>
    <font>
      <name val="Segoe UI"/>
      <color rgb="00FFFFFF"/>
      <sz val="10"/>
    </font>
    <font>
      <name val="Segoe UI"/>
      <i val="1"/>
      <color rgb="009AA3B2"/>
      <sz val="9"/>
    </font>
    <font>
      <name val="Segoe UI"/>
      <b val="1"/>
      <color rgb="00FFFFFF"/>
    </font>
    <font>
      <name val="Segoe UI"/>
      <color rgb="00FFFFFF"/>
    </font>
    <font>
      <name val="Segoe UI"/>
      <i val="1"/>
      <color rgb="00FFFFFF"/>
    </font>
    <font>
      <name val="Segoe UI"/>
      <b val="1"/>
      <color rgb="006E7585"/>
    </font>
    <font>
      <name val="Segoe UI"/>
      <b val="1"/>
      <color rgb="00FF6B6B"/>
      <sz val="12"/>
    </font>
    <font>
      <name val="Segoe UI"/>
      <b val="1"/>
      <color rgb="0035C77F"/>
      <sz val="12"/>
    </font>
    <font>
      <name val="Segoe UI"/>
      <i val="1"/>
      <color rgb="009AA3B2"/>
    </font>
    <font>
      <name val="Segoe UI"/>
      <color theme="1"/>
      <sz val="11"/>
    </font>
  </fonts>
  <fills count="8">
    <fill>
      <patternFill/>
    </fill>
    <fill>
      <patternFill patternType="gray125"/>
    </fill>
    <fill>
      <patternFill patternType="solid">
        <fgColor rgb="0015171F"/>
      </patternFill>
    </fill>
    <fill>
      <patternFill patternType="solid">
        <fgColor rgb="001E222D"/>
      </patternFill>
    </fill>
    <fill>
      <patternFill patternType="solid">
        <fgColor rgb="00262B38"/>
      </patternFill>
    </fill>
    <fill>
      <patternFill patternType="solid">
        <fgColor rgb="00FF6B6B"/>
      </patternFill>
    </fill>
    <fill>
      <patternFill patternType="solid">
        <fgColor rgb="00029CF5"/>
      </patternFill>
    </fill>
    <fill>
      <patternFill patternType="solid">
        <fgColor rgb="00FFF3CD"/>
      </patternFill>
    </fill>
  </fills>
  <borders count="10">
    <border>
      <left/>
      <right/>
      <top/>
      <bottom/>
      <diagonal/>
    </border>
    <border>
      <bottom style="medium">
        <color rgb="00029CF5"/>
      </bottom>
    </border>
    <border>
      <left style="thin">
        <color rgb="00313747"/>
      </left>
      <top style="thin">
        <color rgb="00313747"/>
      </top>
    </border>
    <border>
      <right style="thin">
        <color rgb="00313747"/>
      </right>
      <top style="thin">
        <color rgb="00313747"/>
      </top>
    </border>
    <border>
      <left style="thin">
        <color rgb="00313747"/>
      </left>
    </border>
    <border>
      <right style="thin">
        <color rgb="00313747"/>
      </right>
    </border>
    <border>
      <left style="thin">
        <color rgb="00313747"/>
      </left>
      <bottom style="thin">
        <color rgb="00313747"/>
      </bottom>
    </border>
    <border>
      <right style="thin">
        <color rgb="00313747"/>
      </right>
      <bottom style="thin">
        <color rgb="00313747"/>
      </bottom>
    </border>
    <border>
      <bottom style="thin">
        <color rgb="00313747"/>
      </bottom>
    </border>
    <border>
      <left style="thin">
        <color rgb="00313747"/>
      </left>
      <right style="thin">
        <color rgb="00313747"/>
      </right>
      <top style="thin">
        <color rgb="00313747"/>
      </top>
      <bottom style="thin">
        <color rgb="00313747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2" fillId="2" borderId="0" pivotButton="0" quotePrefix="0" xfId="0"/>
    <xf numFmtId="0" fontId="2" fillId="2" borderId="1" applyAlignment="1" pivotButton="0" quotePrefix="0" xfId="0">
      <alignment horizontal="left" vertical="center" indent="1"/>
    </xf>
    <xf numFmtId="0" fontId="32" fillId="2" borderId="1" pivotButton="0" quotePrefix="0" xfId="0"/>
    <xf numFmtId="0" fontId="3" fillId="3" borderId="2" applyAlignment="1" pivotButton="0" quotePrefix="0" xfId="0">
      <alignment horizontal="left" vertical="center" indent="1"/>
    </xf>
    <xf numFmtId="0" fontId="32" fillId="3" borderId="3" pivotButton="0" quotePrefix="0" xfId="0"/>
    <xf numFmtId="164" fontId="1" fillId="3" borderId="4" applyAlignment="1" pivotButton="0" quotePrefix="0" xfId="0">
      <alignment horizontal="left" vertical="center" indent="1"/>
    </xf>
    <xf numFmtId="0" fontId="32" fillId="3" borderId="5" pivotButton="0" quotePrefix="0" xfId="0"/>
    <xf numFmtId="165" fontId="1" fillId="3" borderId="4" applyAlignment="1" pivotButton="0" quotePrefix="0" xfId="0">
      <alignment horizontal="left" vertical="center" indent="1"/>
    </xf>
    <xf numFmtId="164" fontId="5" fillId="3" borderId="4" applyAlignment="1" pivotButton="0" quotePrefix="0" xfId="0">
      <alignment horizontal="left" vertical="center" indent="1"/>
    </xf>
    <xf numFmtId="165" fontId="7" fillId="3" borderId="4" applyAlignment="1" pivotButton="0" quotePrefix="0" xfId="0">
      <alignment horizontal="left" vertical="center" indent="1"/>
    </xf>
    <xf numFmtId="0" fontId="32" fillId="3" borderId="4" pivotButton="0" quotePrefix="0" xfId="0"/>
    <xf numFmtId="0" fontId="4" fillId="3" borderId="6" applyAlignment="1" pivotButton="0" quotePrefix="0" xfId="0">
      <alignment horizontal="left" vertical="center" indent="1"/>
    </xf>
    <xf numFmtId="0" fontId="32" fillId="3" borderId="7" pivotButton="0" quotePrefix="0" xfId="0"/>
    <xf numFmtId="0" fontId="6" fillId="3" borderId="6" applyAlignment="1" pivotButton="0" quotePrefix="0" xfId="0">
      <alignment horizontal="left" vertical="center" indent="1"/>
    </xf>
    <xf numFmtId="0" fontId="8" fillId="3" borderId="6" applyAlignment="1" pivotButton="0" quotePrefix="0" xfId="0">
      <alignment horizontal="left" vertical="center" indent="1"/>
    </xf>
    <xf numFmtId="164" fontId="9" fillId="3" borderId="4" applyAlignment="1" pivotButton="0" quotePrefix="0" xfId="0">
      <alignment horizontal="left" vertical="center" indent="1"/>
    </xf>
    <xf numFmtId="1" fontId="9" fillId="3" borderId="4" applyAlignment="1" pivotButton="0" quotePrefix="0" xfId="0">
      <alignment horizontal="left" vertical="center" indent="1"/>
    </xf>
    <xf numFmtId="1" fontId="10" fillId="3" borderId="4" applyAlignment="1" pivotButton="0" quotePrefix="0" xfId="0">
      <alignment horizontal="left" vertical="center" indent="1"/>
    </xf>
    <xf numFmtId="164" fontId="11" fillId="3" borderId="4" applyAlignment="1" pivotButton="0" quotePrefix="0" xfId="0">
      <alignment horizontal="left" vertical="center" indent="1"/>
    </xf>
    <xf numFmtId="0" fontId="33" fillId="2" borderId="0" pivotButton="0" quotePrefix="0" xfId="0"/>
    <xf numFmtId="0" fontId="13" fillId="4" borderId="8" applyAlignment="1" pivotButton="0" quotePrefix="0" xfId="0">
      <alignment horizontal="center" vertical="center" wrapText="1"/>
    </xf>
    <xf numFmtId="0" fontId="32" fillId="2" borderId="9" pivotButton="0" quotePrefix="0" xfId="0"/>
    <xf numFmtId="164" fontId="32" fillId="2" borderId="9" pivotButton="0" quotePrefix="0" xfId="0"/>
    <xf numFmtId="165" fontId="32" fillId="2" borderId="9" pivotButton="0" quotePrefix="0" xfId="0"/>
    <xf numFmtId="0" fontId="34" fillId="5" borderId="0" pivotButton="0" quotePrefix="0" xfId="0"/>
    <xf numFmtId="0" fontId="32" fillId="5" borderId="0" pivotButton="0" quotePrefix="0" xfId="0"/>
    <xf numFmtId="0" fontId="35" fillId="2" borderId="0" pivotButton="0" quotePrefix="0" xfId="0"/>
    <xf numFmtId="0" fontId="36" fillId="2" borderId="0" pivotButton="0" quotePrefix="0" xfId="0"/>
    <xf numFmtId="0" fontId="37" fillId="4" borderId="9" pivotButton="0" quotePrefix="0" xfId="0"/>
    <xf numFmtId="164" fontId="37" fillId="4" borderId="9" pivotButton="0" quotePrefix="0" xfId="0"/>
    <xf numFmtId="0" fontId="38" fillId="2" borderId="9" pivotButton="0" quotePrefix="0" xfId="0"/>
    <xf numFmtId="164" fontId="38" fillId="2" borderId="9" pivotButton="0" quotePrefix="0" xfId="0"/>
    <xf numFmtId="0" fontId="37" fillId="6" borderId="9" pivotButton="0" quotePrefix="0" xfId="0"/>
    <xf numFmtId="164" fontId="37" fillId="6" borderId="9" pivotButton="0" quotePrefix="0" xfId="0"/>
    <xf numFmtId="0" fontId="37" fillId="2" borderId="9" pivotButton="0" quotePrefix="0" xfId="0"/>
    <xf numFmtId="165" fontId="37" fillId="2" borderId="9" pivotButton="0" quotePrefix="0" xfId="0"/>
    <xf numFmtId="0" fontId="37" fillId="2" borderId="0" pivotButton="0" quotePrefix="0" xfId="0"/>
    <xf numFmtId="164" fontId="37" fillId="2" borderId="9" pivotButton="0" quotePrefix="0" xfId="0"/>
    <xf numFmtId="0" fontId="37" fillId="4" borderId="0" pivotButton="0" quotePrefix="0" xfId="0"/>
    <xf numFmtId="164" fontId="37" fillId="4" borderId="0" pivotButton="0" quotePrefix="0" xfId="0"/>
    <xf numFmtId="0" fontId="39" fillId="2" borderId="0" pivotButton="0" quotePrefix="0" xfId="0"/>
    <xf numFmtId="164" fontId="40" fillId="2" borderId="0" pivotButton="0" quotePrefix="0" xfId="0"/>
    <xf numFmtId="164" fontId="41" fillId="2" borderId="9" pivotButton="0" quotePrefix="0" xfId="0"/>
    <xf numFmtId="164" fontId="34" fillId="2" borderId="9" pivotButton="0" quotePrefix="0" xfId="0"/>
    <xf numFmtId="164" fontId="34" fillId="7" borderId="9" pivotButton="0" quotePrefix="0" xfId="0"/>
    <xf numFmtId="165" fontId="42" fillId="2" borderId="9" pivotButton="0" quotePrefix="0" xfId="0"/>
    <xf numFmtId="165" fontId="34" fillId="7" borderId="9" pivotButton="0" quotePrefix="0" xfId="0"/>
    <xf numFmtId="164" fontId="42" fillId="2" borderId="9" pivotButton="0" quotePrefix="0" xfId="0"/>
    <xf numFmtId="0" fontId="42" fillId="2" borderId="9" pivotButton="0" quotePrefix="0" xfId="0"/>
    <xf numFmtId="0" fontId="32" fillId="4" borderId="0" pivotButton="0" quotePrefix="0" xfId="0"/>
    <xf numFmtId="0" fontId="43" fillId="2" borderId="9" pivotButton="0" quotePrefix="0" xfId="0"/>
    <xf numFmtId="0" fontId="44" fillId="0" borderId="0" pivotButton="0" quotePrefix="0" xfId="0"/>
  </cellXfs>
  <cellStyles count="1">
    <cellStyle name="Normal" xfId="0" builtinId="0" hidden="0"/>
  </cellStyles>
  <dxfs count="1">
    <dxf>
      <font>
        <b val="1"/>
        <color rgb="00FF6B6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b="1">
                <a:solidFill>
                  <a:srgbClr val="FFFFFF"/>
                </a:solidFill>
              </a:defRPr>
            </a:pPr>
            <a:r>
              <a:t>2026 Revenue &amp; Net Income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'Command Center'!B17</f>
            </strRef>
          </tx>
          <spPr>
            <a:ln w="26000">
              <a:solidFill>
                <a:srgbClr val="029CF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'Command Center'!$A$18:$A$22</f>
            </numRef>
          </cat>
          <val>
            <numRef>
              <f>'Command Center'!$B$18:$B$22</f>
            </numRef>
          </val>
        </ser>
        <ser>
          <idx val="1"/>
          <order val="1"/>
          <tx>
            <strRef>
              <f>'Command Center'!C17</f>
            </strRef>
          </tx>
          <spPr>
            <a:ln w="26000">
              <a:solidFill>
                <a:srgbClr val="6E758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'Command Center'!$A$18:$A$22</f>
            </numRef>
          </cat>
          <val>
            <numRef>
              <f>'Command Center'!$C$18:$C$22</f>
            </numRef>
          </val>
        </ser>
        <ser>
          <idx val="2"/>
          <order val="2"/>
          <tx>
            <strRef>
              <f>'Command Center'!D17</f>
            </strRef>
          </tx>
          <spPr>
            <a:ln w="26000">
              <a:solidFill>
                <a:srgbClr val="35C7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'Command Center'!$A$18:$A$22</f>
            </numRef>
          </cat>
          <val>
            <numRef>
              <f>'Command Center'!$D$18:$D$22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"/>
      </valAx>
      <spPr>
        <a:solidFill>
          <a:srgbClr val="1E222D"/>
        </a:solidFill>
        <a:ln>
          <a:prstDash val="solid"/>
        </a:ln>
      </spPr>
    </plotArea>
    <legend>
      <legendPos val="r"/>
    </legend>
    <plotVisOnly val="1"/>
    <dispBlanksAs val="gap"/>
  </chart>
  <spPr>
    <a:solidFill>
      <a:srgbClr val="15171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b="1">
                <a:solidFill>
                  <a:srgbClr val="FFFFFF"/>
                </a:solidFill>
              </a:defRPr>
            </a:pPr>
            <a:r>
              <a:t>Contract vs Invoiced by Division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'Command Center'!B25</f>
            </strRef>
          </tx>
          <spPr>
            <a:solidFill>
              <a:srgbClr val="029CF5"/>
            </a:solidFill>
            <a:ln>
              <a:prstDash val="solid"/>
            </a:ln>
          </spPr>
          <cat>
            <numRef>
              <f>'Command Center'!$A$26:$A$29</f>
            </numRef>
          </cat>
          <val>
            <numRef>
              <f>'Command Center'!$B$26:$B$29</f>
            </numRef>
          </val>
        </ser>
        <ser>
          <idx val="1"/>
          <order val="1"/>
          <tx>
            <strRef>
              <f>'Command Center'!C25</f>
            </strRef>
          </tx>
          <spPr>
            <a:solidFill>
              <a:srgbClr val="6E7585"/>
            </a:solidFill>
            <a:ln>
              <a:prstDash val="solid"/>
            </a:ln>
          </spPr>
          <cat>
            <numRef>
              <f>'Command Center'!$A$26:$A$29</f>
            </numRef>
          </cat>
          <val>
            <numRef>
              <f>'Command Center'!$C$26:$C$29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"/>
      </valAx>
      <spPr>
        <a:solidFill>
          <a:srgbClr val="1E222D"/>
        </a:solidFill>
        <a:ln>
          <a:prstDash val="solid"/>
        </a:ln>
      </spPr>
    </plotArea>
    <legend>
      <legendPos val="r"/>
    </legend>
    <plotVisOnly val="1"/>
    <dispBlanksAs val="gap"/>
  </chart>
  <spPr>
    <a:solidFill>
      <a:srgbClr val="15171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 b="1">
                <a:solidFill>
                  <a:srgbClr val="FFFFFF"/>
                </a:solidFill>
              </a:defRPr>
            </a:pPr>
            <a:r>
              <a:t>Revenue / GP / Net Income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'P&amp;L'!B37</f>
            </strRef>
          </tx>
          <spPr>
            <a:solidFill>
              <a:srgbClr val="029CF5"/>
            </a:solidFill>
            <a:ln>
              <a:prstDash val="solid"/>
            </a:ln>
          </spPr>
          <cat>
            <numRef>
              <f>'P&amp;L'!$A$38:$A$40</f>
            </numRef>
          </cat>
          <val>
            <numRef>
              <f>'P&amp;L'!$B$38:$B$40</f>
            </numRef>
          </val>
        </ser>
        <ser>
          <idx val="1"/>
          <order val="1"/>
          <tx>
            <strRef>
              <f>'P&amp;L'!C37</f>
            </strRef>
          </tx>
          <spPr>
            <a:solidFill>
              <a:srgbClr val="6E7585"/>
            </a:solidFill>
            <a:ln>
              <a:prstDash val="solid"/>
            </a:ln>
          </spPr>
          <cat>
            <numRef>
              <f>'P&amp;L'!$A$38:$A$40</f>
            </numRef>
          </cat>
          <val>
            <numRef>
              <f>'P&amp;L'!$C$38:$C$40</f>
            </numRef>
          </val>
        </ser>
        <ser>
          <idx val="2"/>
          <order val="2"/>
          <tx>
            <strRef>
              <f>'P&amp;L'!D37</f>
            </strRef>
          </tx>
          <spPr>
            <a:solidFill>
              <a:srgbClr val="35C77F"/>
            </a:solidFill>
            <a:ln>
              <a:prstDash val="solid"/>
            </a:ln>
          </spPr>
          <cat>
            <numRef>
              <f>'P&amp;L'!$A$38:$A$40</f>
            </numRef>
          </cat>
          <val>
            <numRef>
              <f>'P&amp;L'!$D$38:$D$40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"/>
      </valAx>
      <spPr>
        <a:solidFill>
          <a:srgbClr val="1E222D"/>
        </a:solidFill>
        <a:ln>
          <a:prstDash val="solid"/>
        </a:ln>
      </spPr>
    </plotArea>
    <legend>
      <legendPos val="r"/>
    </legend>
    <plotVisOnly val="1"/>
    <dispBlanksAs val="gap"/>
  </chart>
  <spPr>
    <a:solidFill>
      <a:srgbClr val="15171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 b="1">
                <a:solidFill>
                  <a:srgbClr val="FFFFFF"/>
                </a:solidFill>
              </a:defRPr>
            </a:pPr>
            <a:r>
              <a:t>Profit $ by Division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'Division Performance'!G4</f>
            </strRef>
          </tx>
          <spPr>
            <a:solidFill>
              <a:srgbClr val="029CF5"/>
            </a:solidFill>
            <a:ln>
              <a:prstDash val="solid"/>
            </a:ln>
          </spPr>
          <cat>
            <numRef>
              <f>'Division Performance'!$A$5:$A$8</f>
            </numRef>
          </cat>
          <val>
            <numRef>
              <f>'Division Performance'!$G$5:$G$8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spPr>
          <a:ln>
            <a:solidFill>
              <a:srgbClr val="313747"/>
            </a:solidFill>
            <a:prstDash val="solid"/>
          </a:ln>
        </spPr>
        <txPr>
          <a:bodyPr/>
          <a:p>
            <a:pPr>
              <a:defRPr>
                <a:solidFill>
                  <a:srgbClr val="9AA3B2"/>
                </a:solidFill>
              </a:defRPr>
            </a:pPr>
            <a:r>
              <a:t/>
            </a:r>
            <a:endParaRPr>
              <a:solidFill>
                <a:srgbClr val="9AA3B2"/>
              </a:solidFill>
            </a:endParaRPr>
          </a:p>
        </txPr>
        <crossAx val="10"/>
      </valAx>
      <spPr>
        <a:solidFill>
          <a:srgbClr val="1E222D"/>
        </a:solidFill>
        <a:ln>
          <a:prstDash val="solid"/>
        </a:ln>
      </spPr>
    </plotArea>
    <legend>
      <legendPos val="r"/>
    </legend>
    <plotVisOnly val="1"/>
    <dispBlanksAs val="gap"/>
  </chart>
  <spPr>
    <a:solidFill>
      <a:srgbClr val="15171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16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act_GL" displayName="tbl_Fact_GL" ref="A1:F229" headerRowCount="1">
  <autoFilter ref="A1:F229"/>
  <tableColumns count="6">
    <tableColumn id="1" name="Account"/>
    <tableColumn id="2" name="Period"/>
    <tableColumn id="3" name="PeriodEnd"/>
    <tableColumn id="4" name="DivKey"/>
    <tableColumn id="5" name="Amount"/>
    <tableColumn id="6" name="Category"/>
  </tableColumns>
  <tableStyleInfo name="TableStyleMedium2" showRowStripes="1"/>
</table>
</file>

<file path=xl/tables/table2.xml><?xml version="1.0" encoding="utf-8"?>
<table xmlns="http://schemas.openxmlformats.org/spreadsheetml/2006/main" id="2" name="tbl_Fact_WIP" displayName="tbl_Fact_WIP" ref="A1:AC309" headerRowCount="1">
  <autoFilter ref="A1:AC309"/>
  <tableColumns count="29">
    <tableColumn id="1" name="SnapshotDate"/>
    <tableColumn id="2" name="ProjectId"/>
    <tableColumn id="3" name="Job"/>
    <tableColumn id="4" name="DivKey"/>
    <tableColumn id="5" name="PMName"/>
    <tableColumn id="6" name="Customer"/>
    <tableColumn id="7" name="Status"/>
    <tableColumn id="8" name="ContractTotal"/>
    <tableColumn id="9" name="ChangeOrders"/>
    <tableColumn id="10" name="Invoiced"/>
    <tableColumn id="11" name="PaymentsInvoices"/>
    <tableColumn id="12" name="BudgetTotal"/>
    <tableColumn id="13" name="ActualCost"/>
    <tableColumn id="14" name="PctComplete"/>
    <tableColumn id="15" name="EarnedRevenue"/>
    <tableColumn id="16" name="WIPNet"/>
    <tableColumn id="17" name="KnowifyWIP"/>
    <tableColumn id="18" name="Overbilled"/>
    <tableColumn id="19" name="Underbilled"/>
    <tableColumn id="20" name="ProfitAmount"/>
    <tableColumn id="21" name="ProfitPct"/>
    <tableColumn id="22" name="ProjectedProfit"/>
    <tableColumn id="23" name="ProjectedProfitPct"/>
    <tableColumn id="24" name="EstMarginPct"/>
    <tableColumn id="25" name="ProfitFadePct"/>
    <tableColumn id="26" name="Retainage"/>
    <tableColumn id="27" name="OpenAR"/>
    <tableColumn id="28" name="HasBudget"/>
    <tableColumn id="29" name="Managed"/>
  </tableColumns>
  <tableStyleInfo name="TableStyleMedium2" showRowStripes="1"/>
</table>
</file>

<file path=xl/tables/table3.xml><?xml version="1.0" encoding="utf-8"?>
<table xmlns="http://schemas.openxmlformats.org/spreadsheetml/2006/main" id="3" name="tbl_Fact_PL_Monthly" displayName="tbl_Fact_PL_Monthly" ref="A1:H8" headerRowCount="1">
  <autoFilter ref="A1:H8"/>
  <tableColumns count="8">
    <tableColumn id="1" name="MonthEnd"/>
    <tableColumn id="2" name="Revenue"/>
    <tableColumn id="3" name="COGS"/>
    <tableColumn id="4" name="GrossProfit"/>
    <tableColumn id="5" name="OpEx"/>
    <tableColumn id="6" name="NetIncome"/>
    <tableColumn id="7" name="GrossMarginPct"/>
    <tableColumn id="8" name="NetMarginPct"/>
  </tableColumns>
  <tableStyleInfo name="TableStyleMedium2" showRowStripes="1"/>
</table>
</file>

<file path=xl/tables/table4.xml><?xml version="1.0" encoding="utf-8"?>
<table xmlns="http://schemas.openxmlformats.org/spreadsheetml/2006/main" id="4" name="tbl_Fact_AR" displayName="tbl_Fact_AR" ref="A1:E106" headerRowCount="1">
  <autoFilter ref="A1:E106"/>
  <tableColumns count="5">
    <tableColumn id="1" name="Customer"/>
    <tableColumn id="2" name="Bucket"/>
    <tableColumn id="3" name="Amount"/>
    <tableColumn id="4" name="IsRetainage"/>
    <tableColumn id="5" name="AsOfDate"/>
  </tableColumns>
  <tableStyleInfo name="TableStyleMedium2" showRowStripes="1"/>
</table>
</file>

<file path=xl/tables/table5.xml><?xml version="1.0" encoding="utf-8"?>
<table xmlns="http://schemas.openxmlformats.org/spreadsheetml/2006/main" id="5" name="tbl_Fact_AP" displayName="tbl_Fact_AP" ref="A1:D147" headerRowCount="1">
  <autoFilter ref="A1:D147"/>
  <tableColumns count="4">
    <tableColumn id="1" name="Vendor"/>
    <tableColumn id="2" name="Bucket"/>
    <tableColumn id="3" name="Amount"/>
    <tableColumn id="4" name="AsOfDate"/>
  </tableColumns>
  <tableStyleInfo name="TableStyleMedium2" showRowStripes="1"/>
</table>
</file>

<file path=xl/tables/table6.xml><?xml version="1.0" encoding="utf-8"?>
<table xmlns="http://schemas.openxmlformats.org/spreadsheetml/2006/main" id="6" name="tbl_Fact_Cash" displayName="tbl_Fact_Cash" ref="A1:K2" headerRowCount="1">
  <autoFilter ref="A1:K2"/>
  <tableColumns count="11">
    <tableColumn id="1" name="Date"/>
    <tableColumn id="2" name="CashBalance"/>
    <tableColumn id="3" name="LOCDrawn"/>
    <tableColumn id="4" name="LOCCapX"/>
    <tableColumn id="5" name="OperatingCF"/>
    <tableColumn id="6" name="InvestingCF"/>
    <tableColumn id="7" name="FinancingCF"/>
    <tableColumn id="8" name="NetCashChange"/>
    <tableColumn id="9" name="LOCLimit"/>
    <tableColumn id="10" name="AdvanceRate"/>
    <tableColumn id="11" name="EligibleAR"/>
  </tableColumns>
  <tableStyleInfo name="TableStyleMedium2" showRowStripes="1"/>
</table>
</file>

<file path=xl/tables/table7.xml><?xml version="1.0" encoding="utf-8"?>
<table xmlns="http://schemas.openxmlformats.org/spreadsheetml/2006/main" id="7" name="tbl_Fact_Budget" displayName="tbl_Fact_Budget" ref="A1:F5" headerRowCount="1">
  <autoFilter ref="A1:F5"/>
  <tableColumns count="6">
    <tableColumn id="1" name="DivKey"/>
    <tableColumn id="2" name="Period"/>
    <tableColumn id="3" name="ContractTotal"/>
    <tableColumn id="4" name="BudgetTotal"/>
    <tableColumn id="5" name="ActualCost"/>
    <tableColumn id="6" name="Invoiced"/>
  </tableColumns>
  <tableStyleInfo name="TableStyleMedium2" showRowStripes="1"/>
</table>
</file>

<file path=xl/tables/table8.xml><?xml version="1.0" encoding="utf-8"?>
<table xmlns="http://schemas.openxmlformats.org/spreadsheetml/2006/main" id="8" name="tbl_Fact_BalanceSheet" displayName="tbl_Fact_BalanceSheet" ref="A1:D17" headerRowCount="1">
  <autoFilter ref="A1:D17"/>
  <tableColumns count="4">
    <tableColumn id="1" name="Account"/>
    <tableColumn id="2" name="Section"/>
    <tableColumn id="3" name="Amount"/>
    <tableColumn id="4" name="AsOfDate"/>
  </tableColumns>
  <tableStyleInfo name="TableStyleMedium2" showRowStripes="1"/>
</table>
</file>

<file path=xl/tables/table9.xml><?xml version="1.0" encoding="utf-8"?>
<table xmlns="http://schemas.openxmlformats.org/spreadsheetml/2006/main" id="9" name="tbl_Dim_Job" displayName="tbl_Dim_Job" ref="A1:L309" headerRowCount="1">
  <autoFilter ref="A1:L309"/>
  <tableColumns count="12">
    <tableColumn id="1" name="Job"/>
    <tableColumn id="2" name="ProjectId"/>
    <tableColumn id="3" name="DivKey"/>
    <tableColumn id="4" name="PMName"/>
    <tableColumn id="5" name="Customer"/>
    <tableColumn id="6" name="Status"/>
    <tableColumn id="7" name="ContractType"/>
    <tableColumn id="8" name="City"/>
    <tableColumn id="9" name="State"/>
    <tableColumn id="10" name="DateActive"/>
    <tableColumn id="11" name="StartDate"/>
    <tableColumn id="12" name="EndDate"/>
  </tableColumns>
  <tableStyleInfo name="TableStyleMedium2" showRowStripes="1"/>
</table>
</file>

<file path=xl/tables/table10.xml><?xml version="1.0" encoding="utf-8"?>
<table xmlns="http://schemas.openxmlformats.org/spreadsheetml/2006/main" id="10" name="tbl_Dim_Account" displayName="tbl_Dim_Account" ref="A1:F110" headerRowCount="1">
  <autoFilter ref="A1:F110"/>
  <tableColumns count="6">
    <tableColumn id="1" name="Account"/>
    <tableColumn id="2" name="Statement"/>
    <tableColumn id="3" name="Category"/>
    <tableColumn id="4" name="Subcategory"/>
    <tableColumn id="5" name="DivKey"/>
    <tableColumn id="6" name="Sort"/>
  </tableColumns>
  <tableStyleInfo name="TableStyleMedium2" showRowStripes="1"/>
</table>
</file>

<file path=xl/tables/table11.xml><?xml version="1.0" encoding="utf-8"?>
<table xmlns="http://schemas.openxmlformats.org/spreadsheetml/2006/main" id="11" name="tbl_Dim_Division" displayName="tbl_Dim_Division" ref="A1:D6" headerRowCount="1">
  <autoFilter ref="A1:D6"/>
  <tableColumns count="4">
    <tableColumn id="1" name="DivKey"/>
    <tableColumn id="2" name="Division"/>
    <tableColumn id="3" name="Sort"/>
    <tableColumn id="4" name="Color"/>
  </tableColumns>
  <tableStyleInfo name="TableStyleMedium2" showRowStripes="1"/>
</table>
</file>

<file path=xl/tables/table12.xml><?xml version="1.0" encoding="utf-8"?>
<table xmlns="http://schemas.openxmlformats.org/spreadsheetml/2006/main" id="12" name="tbl_Dim_PM" displayName="tbl_Dim_PM" ref="A1:C11" headerRowCount="1">
  <autoFilter ref="A1:C11"/>
  <tableColumns count="3">
    <tableColumn id="1" name="PMName"/>
    <tableColumn id="2" name="ActiveJobs"/>
    <tableColumn id="3" name="Active"/>
  </tableColumns>
  <tableStyleInfo name="TableStyleMedium2" showRowStripes="1"/>
</table>
</file>

<file path=xl/tables/table13.xml><?xml version="1.0" encoding="utf-8"?>
<table xmlns="http://schemas.openxmlformats.org/spreadsheetml/2006/main" id="13" name="tbl_Param_Cash" displayName="tbl_Param_Cash" ref="A1:C6" headerRowCount="1">
  <autoFilter ref="A1:C6"/>
  <tableColumns count="3">
    <tableColumn id="1" name="Param"/>
    <tableColumn id="2" name="Value"/>
    <tableColumn id="3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262B38"/>
    <outlinePr summaryBelow="1" summaryRight="1"/>
    <pageSetUpPr/>
  </sheetPr>
  <dimension ref="A1:O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2" customHeight="1">
      <c r="A1" s="1" t="inlineStr">
        <is>
          <t>MIDWEST DESIGN GROUP — Executive Command Center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CEO / CFO view  •  Live QuickBooks + Knowify  •  As of 2026-06-17  •  All figures real, reconciled to source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5" t="inlineStr">
        <is>
          <t>YTD REVENUE</t>
        </is>
      </c>
      <c r="B4" s="6" t="n"/>
      <c r="C4" s="5" t="inlineStr">
        <is>
          <t>GROSS MARGIN</t>
        </is>
      </c>
      <c r="D4" s="6" t="n"/>
      <c r="E4" s="5" t="inlineStr">
        <is>
          <t>NET INCOME</t>
        </is>
      </c>
      <c r="F4" s="6" t="n"/>
      <c r="G4" s="5" t="inlineStr">
        <is>
          <t>CASH</t>
        </is>
      </c>
      <c r="H4" s="6" t="n"/>
      <c r="I4" s="5" t="inlineStr">
        <is>
          <t>TRADE A/R</t>
        </is>
      </c>
      <c r="J4" s="6" t="n"/>
      <c r="K4" s="5" t="inlineStr">
        <is>
          <t>BACKLOG</t>
        </is>
      </c>
      <c r="L4" s="6" t="n"/>
      <c r="M4" s="5" t="inlineStr">
        <is>
          <t>LOC USE</t>
        </is>
      </c>
      <c r="N4" s="6" t="n"/>
      <c r="O4" s="2" t="n"/>
    </row>
    <row r="5">
      <c r="A5" s="7" t="n">
        <v>28774215.27</v>
      </c>
      <c r="B5" s="8" t="n"/>
      <c r="C5" s="9" t="n">
        <v>0.3558249006594021</v>
      </c>
      <c r="D5" s="8" t="n"/>
      <c r="E5" s="7" t="n">
        <v>5340196.800000003</v>
      </c>
      <c r="F5" s="8" t="n"/>
      <c r="G5" s="10" t="n">
        <v>-54623.3</v>
      </c>
      <c r="H5" s="8" t="n"/>
      <c r="I5" s="7" t="n">
        <v>12986875.87</v>
      </c>
      <c r="J5" s="8" t="n"/>
      <c r="K5" s="7" t="n">
        <v>21887687.17000001</v>
      </c>
      <c r="L5" s="8" t="n"/>
      <c r="M5" s="11" t="n">
        <v>0.68000961875</v>
      </c>
      <c r="N5" s="8" t="n"/>
      <c r="O5" s="2" t="n"/>
    </row>
    <row r="6">
      <c r="A6" s="12" t="n"/>
      <c r="B6" s="8" t="n"/>
      <c r="C6" s="12" t="n"/>
      <c r="D6" s="8" t="n"/>
      <c r="E6" s="12" t="n"/>
      <c r="F6" s="8" t="n"/>
      <c r="G6" s="12" t="n"/>
      <c r="H6" s="8" t="n"/>
      <c r="I6" s="12" t="n"/>
      <c r="J6" s="8" t="n"/>
      <c r="K6" s="12" t="n"/>
      <c r="L6" s="8" t="n"/>
      <c r="M6" s="12" t="n"/>
      <c r="N6" s="8" t="n"/>
      <c r="O6" s="2" t="n"/>
    </row>
    <row r="7">
      <c r="A7" s="13" t="inlineStr">
        <is>
          <t>through 2026-06-17</t>
        </is>
      </c>
      <c r="B7" s="14" t="n"/>
      <c r="C7" s="13" t="inlineStr">
        <is>
          <t>GP $10,238,582</t>
        </is>
      </c>
      <c r="D7" s="14" t="n"/>
      <c r="E7" s="13" t="inlineStr">
        <is>
          <t>18.6% margin</t>
        </is>
      </c>
      <c r="F7" s="14" t="n"/>
      <c r="G7" s="15" t="inlineStr">
        <is>
          <t>BS cash</t>
        </is>
      </c>
      <c r="H7" s="14" t="n"/>
      <c r="I7" s="13" t="inlineStr">
        <is>
          <t>+ $3,136,194 retainage</t>
        </is>
      </c>
      <c r="J7" s="14" t="n"/>
      <c r="K7" s="13" t="inlineStr">
        <is>
          <t>308 active jobs</t>
        </is>
      </c>
      <c r="L7" s="14" t="n"/>
      <c r="M7" s="16" t="inlineStr">
        <is>
          <t>$5,440,077 drawn</t>
        </is>
      </c>
      <c r="N7" s="14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5" t="inlineStr">
        <is>
          <t>2026 FORECAST REV</t>
        </is>
      </c>
      <c r="B10" s="6" t="n"/>
      <c r="C10" s="5" t="inlineStr">
        <is>
          <t>2026 FORECAST NI</t>
        </is>
      </c>
      <c r="D10" s="6" t="n"/>
      <c r="E10" s="5" t="inlineStr">
        <is>
          <t>MANAGED JOBS</t>
        </is>
      </c>
      <c r="F10" s="6" t="n"/>
      <c r="G10" s="5" t="inlineStr">
        <is>
          <t>JOBS FADING</t>
        </is>
      </c>
      <c r="H10" s="6" t="n"/>
      <c r="I10" s="5" t="inlineStr">
        <is>
          <t>OVERBILLED</t>
        </is>
      </c>
      <c r="J10" s="6" t="n"/>
      <c r="K10" s="5" t="inlineStr">
        <is>
          <t>UNDERBILLED</t>
        </is>
      </c>
      <c r="L10" s="6" t="n"/>
      <c r="M10" s="5" t="inlineStr">
        <is>
          <t>BBC HEADROOM</t>
        </is>
      </c>
      <c r="N10" s="6" t="n"/>
      <c r="O10" s="2" t="n"/>
    </row>
    <row r="11">
      <c r="A11" s="17" t="n">
        <v>58434358.31999999</v>
      </c>
      <c r="B11" s="8" t="n"/>
      <c r="C11" s="17" t="n">
        <v>7989027.960000001</v>
      </c>
      <c r="D11" s="8" t="n"/>
      <c r="E11" s="18" t="n">
        <v>84</v>
      </c>
      <c r="F11" s="8" t="n"/>
      <c r="G11" s="19" t="n">
        <v>80</v>
      </c>
      <c r="H11" s="8" t="n"/>
      <c r="I11" s="17" t="n">
        <v>2614934.609999999</v>
      </c>
      <c r="J11" s="8" t="n"/>
      <c r="K11" s="17" t="n">
        <v>1085234512.46</v>
      </c>
      <c r="L11" s="8" t="n"/>
      <c r="M11" s="20" t="n">
        <v>2559923.05</v>
      </c>
      <c r="N11" s="8" t="n"/>
      <c r="O11" s="2" t="n"/>
    </row>
    <row r="12">
      <c r="A12" s="12" t="n"/>
      <c r="B12" s="8" t="n"/>
      <c r="C12" s="12" t="n"/>
      <c r="D12" s="8" t="n"/>
      <c r="E12" s="12" t="n"/>
      <c r="F12" s="8" t="n"/>
      <c r="G12" s="12" t="n"/>
      <c r="H12" s="8" t="n"/>
      <c r="I12" s="12" t="n"/>
      <c r="J12" s="8" t="n"/>
      <c r="K12" s="12" t="n"/>
      <c r="L12" s="8" t="n"/>
      <c r="M12" s="12" t="n"/>
      <c r="N12" s="8" t="n"/>
      <c r="O12" s="2" t="n"/>
    </row>
    <row r="13">
      <c r="A13" s="13" t="inlineStr">
        <is>
          <t>run-rate ×5mo complete</t>
        </is>
      </c>
      <c r="B13" s="14" t="n"/>
      <c r="C13" s="13" t="inlineStr">
        <is>
          <t>13.7% margin</t>
        </is>
      </c>
      <c r="D13" s="14" t="n"/>
      <c r="E13" s="13" t="inlineStr">
        <is>
          <t>of 308 active</t>
        </is>
      </c>
      <c r="F13" s="14" t="n"/>
      <c r="G13" s="15" t="inlineStr">
        <is>
          <t>margin fade &lt; -2%</t>
        </is>
      </c>
      <c r="H13" s="14" t="n"/>
      <c r="I13" s="13" t="inlineStr">
        <is>
          <t>billed ahead of work</t>
        </is>
      </c>
      <c r="J13" s="14" t="n"/>
      <c r="K13" s="13" t="inlineStr">
        <is>
          <t>work ahead of billing</t>
        </is>
      </c>
      <c r="L13" s="14" t="n"/>
      <c r="M13" s="16" t="inlineStr">
        <is>
          <t>borrowing-base avail</t>
        </is>
      </c>
      <c r="N13" s="14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1" t="inlineStr">
        <is>
          <t>2026 Monthly Trend (verified single-month QuickBooks P&amp;L)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6" customHeight="1">
      <c r="A17" s="22" t="inlineStr">
        <is>
          <t>Month</t>
        </is>
      </c>
      <c r="B17" s="22" t="inlineStr">
        <is>
          <t>Revenue</t>
        </is>
      </c>
      <c r="C17" s="22" t="inlineStr">
        <is>
          <t>Gross Profit</t>
        </is>
      </c>
      <c r="D17" s="22" t="inlineStr">
        <is>
          <t>Net Income</t>
        </is>
      </c>
      <c r="E17" s="22" t="inlineStr">
        <is>
          <t>GM %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3" t="inlineStr">
        <is>
          <t>2026-01</t>
        </is>
      </c>
      <c r="B18" s="24" t="n">
        <v>4471974.17</v>
      </c>
      <c r="C18" s="24" t="n">
        <v>1304448.48</v>
      </c>
      <c r="D18" s="24" t="n">
        <v>186406.72</v>
      </c>
      <c r="E18" s="25" t="n">
        <v>0.2917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3" t="inlineStr">
        <is>
          <t>2026-02</t>
        </is>
      </c>
      <c r="B19" s="24" t="n">
        <v>4949310.29</v>
      </c>
      <c r="C19" s="24" t="n">
        <v>1261426.04</v>
      </c>
      <c r="D19" s="24" t="n">
        <v>467881.55</v>
      </c>
      <c r="E19" s="25" t="n">
        <v>0.2549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2026-03</t>
        </is>
      </c>
      <c r="B20" s="24" t="n">
        <v>5290349.77</v>
      </c>
      <c r="C20" s="24" t="n">
        <v>1673497.09</v>
      </c>
      <c r="D20" s="24" t="n">
        <v>790908.5600000001</v>
      </c>
      <c r="E20" s="25" t="n">
        <v>0.3163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3" t="inlineStr">
        <is>
          <t>2026-04</t>
        </is>
      </c>
      <c r="B21" s="24" t="n">
        <v>4593904.49</v>
      </c>
      <c r="C21" s="24" t="n">
        <v>1350991.82</v>
      </c>
      <c r="D21" s="24" t="n">
        <v>677429.8100000001</v>
      </c>
      <c r="E21" s="25" t="n">
        <v>0.2941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3" t="inlineStr">
        <is>
          <t>2026-05</t>
        </is>
      </c>
      <c r="B22" s="24" t="n">
        <v>5042110.58</v>
      </c>
      <c r="C22" s="24" t="n">
        <v>1724275.13</v>
      </c>
      <c r="D22" s="24" t="n">
        <v>1206135.01</v>
      </c>
      <c r="E22" s="25" t="n">
        <v>0.342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1" t="inlineStr">
        <is>
          <t>Division Contribution (Knowify active jobs)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26" customHeight="1">
      <c r="A25" s="22" t="inlineStr">
        <is>
          <t>Division</t>
        </is>
      </c>
      <c r="B25" s="22" t="inlineStr">
        <is>
          <t>Contract</t>
        </is>
      </c>
      <c r="C25" s="22" t="inlineStr">
        <is>
          <t>Invoiced</t>
        </is>
      </c>
      <c r="D25" s="22" t="inlineStr">
        <is>
          <t>Profit $</t>
        </is>
      </c>
      <c r="E25" s="22" t="inlineStr">
        <is>
          <t>Profit %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3" t="inlineStr">
        <is>
          <t>Tenant Improvement</t>
        </is>
      </c>
      <c r="B26" s="24" t="n">
        <v>23623992.86000001</v>
      </c>
      <c r="C26" s="24" t="n">
        <v>20986986.32</v>
      </c>
      <c r="D26" s="24" t="n">
        <v>7920870.839999999</v>
      </c>
      <c r="E26" s="25" t="n">
        <v>0.3352892496598899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3" t="inlineStr">
        <is>
          <t>Multi-Family</t>
        </is>
      </c>
      <c r="B27" s="24" t="n">
        <v>41385804.97000001</v>
      </c>
      <c r="C27" s="24" t="n">
        <v>22703258.15</v>
      </c>
      <c r="D27" s="24" t="n">
        <v>5593999.630000001</v>
      </c>
      <c r="E27" s="25" t="n">
        <v>0.1351671094486386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3" t="inlineStr">
        <is>
          <t>Drywall</t>
        </is>
      </c>
      <c r="B28" s="24" t="n">
        <v>2247021.73</v>
      </c>
      <c r="C28" s="24" t="n">
        <v>2037196.92</v>
      </c>
      <c r="D28" s="24" t="n">
        <v>652801.8300000001</v>
      </c>
      <c r="E28" s="25" t="n">
        <v>0.290518699167186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3" t="inlineStr">
        <is>
          <t>Unallocated</t>
        </is>
      </c>
      <c r="B29" s="24" t="n">
        <v>1481553.28</v>
      </c>
      <c r="C29" s="24" t="n">
        <v>1123244.28</v>
      </c>
      <c r="D29" s="24" t="n">
        <v>-289343.44</v>
      </c>
      <c r="E29" s="25" t="n">
        <v>-0.195297357108885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6" t="inlineStr">
        <is>
          <t>⚠ EXCEPTIONS</t>
        </is>
      </c>
      <c r="B31" s="27" t="n"/>
      <c r="C31" s="27" t="n"/>
      <c r="D31" s="27" t="n"/>
      <c r="E31" s="27" t="n"/>
      <c r="F31" s="27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8" t="inlineStr">
        <is>
          <t>•  80 managed jobs with profit fade worse than -2%</t>
        </is>
      </c>
      <c r="B32" s="2" t="n"/>
      <c r="C32" s="2" t="n"/>
      <c r="D32" s="2" t="n"/>
      <c r="E32" s="2" t="n"/>
      <c r="F32" s="29" t="inlineStr">
        <is>
          <t>Project Tracker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8" t="inlineStr">
        <is>
          <t>•  Cash position negative: $-54,623</t>
        </is>
      </c>
      <c r="B33" s="2" t="n"/>
      <c r="C33" s="2" t="n"/>
      <c r="D33" s="2" t="n"/>
      <c r="E33" s="2" t="n"/>
      <c r="F33" s="29" t="inlineStr">
        <is>
          <t>Cash &amp; Liquidity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8" t="inlineStr">
        <is>
          <t>•  LOC utilization 68% ($5,440,077 of $8,000,000)</t>
        </is>
      </c>
      <c r="B34" s="2" t="n"/>
      <c r="C34" s="2" t="n"/>
      <c r="D34" s="2" t="n"/>
      <c r="E34" s="2" t="n"/>
      <c r="F34" s="29" t="inlineStr">
        <is>
          <t>Cash &amp; Liquidity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8" t="inlineStr">
        <is>
          <t>•  Overbilling $2,614,935 — billed ahead of work (cash borrowed from jobs)</t>
        </is>
      </c>
      <c r="B35" s="2" t="n"/>
      <c r="C35" s="2" t="n"/>
      <c r="D35" s="2" t="n"/>
      <c r="E35" s="2" t="n"/>
      <c r="F35" s="29" t="inlineStr">
        <is>
          <t>WIP &amp; Profit Fade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8" t="inlineStr">
        <is>
          <t>•  221 active jobs with no Project Manager assigned</t>
        </is>
      </c>
      <c r="B36" s="2" t="n"/>
      <c r="C36" s="2" t="n"/>
      <c r="D36" s="2" t="n"/>
      <c r="E36" s="2" t="n"/>
      <c r="F36" s="29" t="inlineStr">
        <is>
          <t>Data Health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8" t="inlineStr">
        <is>
          <t>•  220 active jobs with no budget loaded</t>
        </is>
      </c>
      <c r="B37" s="2" t="n"/>
      <c r="C37" s="2" t="n"/>
      <c r="D37" s="2" t="n"/>
      <c r="E37" s="2" t="n"/>
      <c r="F37" s="29" t="inlineStr">
        <is>
          <t>Data Health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8" t="inlineStr">
        <is>
          <t>•  $0 GL in UNALLOCATED division</t>
        </is>
      </c>
      <c r="B38" s="2" t="n"/>
      <c r="C38" s="2" t="n"/>
      <c r="D38" s="2" t="n"/>
      <c r="E38" s="2" t="n"/>
      <c r="F38" s="29" t="inlineStr">
        <is>
          <t>Data Health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</sheetData>
  <mergeCells count="51">
    <mergeCell ref="A34:E34"/>
    <mergeCell ref="C11:D12"/>
    <mergeCell ref="E11:F12"/>
    <mergeCell ref="A5:B6"/>
    <mergeCell ref="G5:H6"/>
    <mergeCell ref="I5:J6"/>
    <mergeCell ref="A36:E36"/>
    <mergeCell ref="K11:L12"/>
    <mergeCell ref="C4:D4"/>
    <mergeCell ref="A1:N1"/>
    <mergeCell ref="E4:F4"/>
    <mergeCell ref="C10:D10"/>
    <mergeCell ref="A7:B7"/>
    <mergeCell ref="G7:H7"/>
    <mergeCell ref="E10:F10"/>
    <mergeCell ref="I7:J7"/>
    <mergeCell ref="G10:H10"/>
    <mergeCell ref="M10:N10"/>
    <mergeCell ref="E13:F13"/>
    <mergeCell ref="A37:E37"/>
    <mergeCell ref="G13:H13"/>
    <mergeCell ref="M13:N13"/>
    <mergeCell ref="M7:N7"/>
    <mergeCell ref="A2:N2"/>
    <mergeCell ref="A11:B12"/>
    <mergeCell ref="G11:H12"/>
    <mergeCell ref="C5:D6"/>
    <mergeCell ref="A33:E33"/>
    <mergeCell ref="I11:J12"/>
    <mergeCell ref="E5:F6"/>
    <mergeCell ref="K5:L6"/>
    <mergeCell ref="A32:E32"/>
    <mergeCell ref="M5:N6"/>
    <mergeCell ref="A4:B4"/>
    <mergeCell ref="G4:H4"/>
    <mergeCell ref="K7:L7"/>
    <mergeCell ref="I4:J4"/>
    <mergeCell ref="A35:E35"/>
    <mergeCell ref="C7:D7"/>
    <mergeCell ref="A38:E38"/>
    <mergeCell ref="E7:F7"/>
    <mergeCell ref="M11:N12"/>
    <mergeCell ref="I10:J10"/>
    <mergeCell ref="A10:B10"/>
    <mergeCell ref="K10:L10"/>
    <mergeCell ref="A13:B13"/>
    <mergeCell ref="C13:D13"/>
    <mergeCell ref="I13:J13"/>
    <mergeCell ref="K4:L4"/>
    <mergeCell ref="K13:L13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62B38"/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Profit &amp;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Company P&amp;L from QuickBooks  •  FY2024 / FY2025 / YTD2026  •  reconciled to QB section totals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Line</t>
        </is>
      </c>
      <c r="B4" s="22" t="inlineStr">
        <is>
          <t>FY2024</t>
        </is>
      </c>
      <c r="C4" s="22" t="inlineStr">
        <is>
          <t>FY2025</t>
        </is>
      </c>
      <c r="D4" s="22" t="inlineStr">
        <is>
          <t>YTD2026 (2026-06-17)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0" t="inlineStr">
        <is>
          <t>Revenue</t>
        </is>
      </c>
      <c r="B5" s="31" t="n">
        <v>39537774.90000001</v>
      </c>
      <c r="C5" s="31" t="n">
        <v>40491815.41999999</v>
      </c>
      <c r="D5" s="31" t="n">
        <v>28774215.27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2" t="inlineStr">
        <is>
          <t xml:space="preserve">   Billable Expense Income</t>
        </is>
      </c>
      <c r="B6" s="33" t="n">
        <v>10032</v>
      </c>
      <c r="C6" s="33" t="n">
        <v>543</v>
      </c>
      <c r="D6" s="33" t="n">
        <v>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2" t="inlineStr">
        <is>
          <t xml:space="preserve">   Doors and Windows</t>
        </is>
      </c>
      <c r="B7" s="33" t="n">
        <v>237386.66</v>
      </c>
      <c r="C7" s="33" t="n">
        <v>4594.5</v>
      </c>
      <c r="D7" s="33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2" t="inlineStr">
        <is>
          <t xml:space="preserve">   Drywall Division Delivery Income</t>
        </is>
      </c>
      <c r="B8" s="33" t="n">
        <v>1062721.25</v>
      </c>
      <c r="C8" s="33" t="n">
        <v>201.04</v>
      </c>
      <c r="D8" s="33" t="n">
        <v>0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2" t="inlineStr">
        <is>
          <t xml:space="preserve">   Drywall Division Material Income</t>
        </is>
      </c>
      <c r="B9" s="33" t="n">
        <v>2840679.74</v>
      </c>
      <c r="C9" s="33" t="n">
        <v>2824148.9</v>
      </c>
      <c r="D9" s="33" t="n">
        <v>20720.33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2" t="inlineStr">
        <is>
          <t xml:space="preserve">   Drywall Sales Income</t>
        </is>
      </c>
      <c r="B10" s="33" t="n">
        <v>-6863.55</v>
      </c>
      <c r="C10" s="33" t="n">
        <v>0</v>
      </c>
      <c r="D10" s="33" t="n">
        <v>0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2" t="inlineStr">
        <is>
          <t xml:space="preserve">   Drywall Service Income</t>
        </is>
      </c>
      <c r="B11" s="33" t="n">
        <v>3983560.92</v>
      </c>
      <c r="C11" s="33" t="n">
        <v>3358176.13</v>
      </c>
      <c r="D11" s="33" t="n">
        <v>426214.72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32" t="inlineStr">
        <is>
          <t xml:space="preserve">   Drywall Supply Arbor Income</t>
        </is>
      </c>
      <c r="B12" s="33" t="n">
        <v>0</v>
      </c>
      <c r="C12" s="33" t="n">
        <v>959002.74</v>
      </c>
      <c r="D12" s="33" t="n">
        <v>880039.92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2" t="inlineStr">
        <is>
          <t xml:space="preserve">   Drywall Supply Century Income</t>
        </is>
      </c>
      <c r="B13" s="33" t="n">
        <v>0</v>
      </c>
      <c r="C13" s="33" t="n">
        <v>105734.39</v>
      </c>
      <c r="D13" s="33" t="n">
        <v>0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32" t="inlineStr">
        <is>
          <t xml:space="preserve">   Drywall Supply HD Boom Scatter Income</t>
        </is>
      </c>
      <c r="B14" s="33" t="n">
        <v>0</v>
      </c>
      <c r="C14" s="33" t="n">
        <v>174372.44</v>
      </c>
      <c r="D14" s="33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2" t="inlineStr">
        <is>
          <t xml:space="preserve">   Drywall Supply Pulte Income</t>
        </is>
      </c>
      <c r="B15" s="33" t="n">
        <v>0</v>
      </c>
      <c r="C15" s="33" t="n">
        <v>6230.22</v>
      </c>
      <c r="D15" s="33" t="n">
        <v>16826.61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32" t="inlineStr">
        <is>
          <t xml:space="preserve">   Drywall Tax</t>
        </is>
      </c>
      <c r="B16" s="33" t="n">
        <v>348.74</v>
      </c>
      <c r="C16" s="33" t="n">
        <v>67.77</v>
      </c>
      <c r="D16" s="33" t="n">
        <v>0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2" t="inlineStr">
        <is>
          <t xml:space="preserve">   Engineering Project Income</t>
        </is>
      </c>
      <c r="B17" s="33" t="n">
        <v>16000</v>
      </c>
      <c r="C17" s="33" t="n">
        <v>709295</v>
      </c>
      <c r="D17" s="33" t="n">
        <v>396425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32" t="inlineStr">
        <is>
          <t xml:space="preserve">   Finishes</t>
        </is>
      </c>
      <c r="B18" s="33" t="n">
        <v>1499889.18</v>
      </c>
      <c r="C18" s="33" t="n">
        <v>76310.00999999999</v>
      </c>
      <c r="D18" s="33" t="n">
        <v>0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2" t="inlineStr">
        <is>
          <t xml:space="preserve">   Metals</t>
        </is>
      </c>
      <c r="B19" s="33" t="n">
        <v>1715940.63</v>
      </c>
      <c r="C19" s="33" t="n">
        <v>0</v>
      </c>
      <c r="D19" s="33" t="n">
        <v>0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32" t="inlineStr">
        <is>
          <t xml:space="preserve">   Sales</t>
        </is>
      </c>
      <c r="B20" s="33" t="n">
        <v>4079740.08</v>
      </c>
      <c r="C20" s="33" t="n">
        <v>13469.39</v>
      </c>
      <c r="D20" s="33" t="n">
        <v>4820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2" t="inlineStr">
        <is>
          <t xml:space="preserve">   Service/Fee Income</t>
        </is>
      </c>
      <c r="B21" s="33" t="n">
        <v>22772419.95</v>
      </c>
      <c r="C21" s="33" t="n">
        <v>33721642.66</v>
      </c>
      <c r="D21" s="33" t="n">
        <v>24484720.25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32" t="inlineStr">
        <is>
          <t xml:space="preserve">   Specialties</t>
        </is>
      </c>
      <c r="B22" s="33" t="n">
        <v>87799.97</v>
      </c>
      <c r="C22" s="33" t="n">
        <v>2713.5</v>
      </c>
      <c r="D22" s="33" t="n">
        <v>0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2" t="inlineStr">
        <is>
          <t xml:space="preserve">   Thermal and Moisture Control</t>
        </is>
      </c>
      <c r="B23" s="33" t="n">
        <v>401319.14</v>
      </c>
      <c r="C23" s="33" t="n">
        <v>0</v>
      </c>
      <c r="D23" s="33" t="n">
        <v>0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32" t="inlineStr">
        <is>
          <t xml:space="preserve">   WIP Adj - Net change</t>
        </is>
      </c>
      <c r="B24" s="33" t="n">
        <v>67516.35000000001</v>
      </c>
      <c r="C24" s="33" t="n">
        <v>-1464686.27</v>
      </c>
      <c r="D24" s="33" t="n">
        <v>2544448.44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32" t="inlineStr">
        <is>
          <t xml:space="preserve">   Wood and Plastics</t>
        </is>
      </c>
      <c r="B25" s="33" t="n">
        <v>769283.84</v>
      </c>
      <c r="C25" s="33" t="n">
        <v>0</v>
      </c>
      <c r="D25" s="33" t="n">
        <v>0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30" t="inlineStr">
        <is>
          <t>Cost of Goods Sold</t>
        </is>
      </c>
      <c r="B26" s="31" t="n">
        <v>28435216.93</v>
      </c>
      <c r="C26" s="31" t="n">
        <v>27755136.44</v>
      </c>
      <c r="D26" s="31" t="n">
        <v>18535632.98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34" t="inlineStr">
        <is>
          <t>Gross Profit</t>
        </is>
      </c>
      <c r="B27" s="35" t="n">
        <v>11102557.97000001</v>
      </c>
      <c r="C27" s="35" t="n">
        <v>12736678.98</v>
      </c>
      <c r="D27" s="35" t="n">
        <v>10238582.29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36" t="inlineStr">
        <is>
          <t>Gross Margin %</t>
        </is>
      </c>
      <c r="B28" s="37" t="n">
        <v>0.2808088719732178</v>
      </c>
      <c r="C28" s="37" t="n">
        <v>0.3145494675378029</v>
      </c>
      <c r="D28" s="37" t="n">
        <v>0.3558249006594021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0" t="inlineStr">
        <is>
          <t>Operating Expenses</t>
        </is>
      </c>
      <c r="B29" s="31" t="n">
        <v>8249044.140000001</v>
      </c>
      <c r="C29" s="31" t="n">
        <v>10032604.11</v>
      </c>
      <c r="D29" s="31" t="n">
        <v>4772731.890000001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32" t="inlineStr">
        <is>
          <t>Other Income</t>
        </is>
      </c>
      <c r="B30" s="33" t="n">
        <v>68846.33</v>
      </c>
      <c r="C30" s="33" t="n">
        <v>0</v>
      </c>
      <c r="D30" s="33" t="n">
        <v>55196.91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2" t="inlineStr">
        <is>
          <t>Other Expense</t>
        </is>
      </c>
      <c r="B31" s="33" t="n">
        <v>23197.6</v>
      </c>
      <c r="C31" s="33" t="n">
        <v>0</v>
      </c>
      <c r="D31" s="33" t="n">
        <v>180850.51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30" t="inlineStr">
        <is>
          <t>NET INCOME</t>
        </is>
      </c>
      <c r="B32" s="31" t="n">
        <v>2899162.560000006</v>
      </c>
      <c r="C32" s="31" t="n">
        <v>2704074.869999995</v>
      </c>
      <c r="D32" s="31" t="n">
        <v>5340196.800000003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36" t="inlineStr">
        <is>
          <t>Net Margin %</t>
        </is>
      </c>
      <c r="B33" s="37" t="n">
        <v>0.0733263965241505</v>
      </c>
      <c r="C33" s="37" t="n">
        <v>0.06678077636065634</v>
      </c>
      <c r="D33" s="37" t="n">
        <v>0.185589659001672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38" t="inlineStr">
        <is>
          <t>Annual Revenue / Gross Profit / Net Income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26" customHeight="1">
      <c r="A37" s="22" t="inlineStr">
        <is>
          <t>Period</t>
        </is>
      </c>
      <c r="B37" s="22" t="inlineStr">
        <is>
          <t>Revenue</t>
        </is>
      </c>
      <c r="C37" s="22" t="inlineStr">
        <is>
          <t>Gross Profit</t>
        </is>
      </c>
      <c r="D37" s="22" t="inlineStr">
        <is>
          <t>Net Income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3" t="inlineStr">
        <is>
          <t>FY2024</t>
        </is>
      </c>
      <c r="B38" s="24" t="n">
        <v>39537774.90000001</v>
      </c>
      <c r="C38" s="24" t="n">
        <v>11102557.97000001</v>
      </c>
      <c r="D38" s="24" t="n">
        <v>2899162.560000006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3" t="inlineStr">
        <is>
          <t>FY2025</t>
        </is>
      </c>
      <c r="B39" s="24" t="n">
        <v>40491815.41999999</v>
      </c>
      <c r="C39" s="24" t="n">
        <v>12736678.98</v>
      </c>
      <c r="D39" s="24" t="n">
        <v>2704074.869999995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3" t="inlineStr">
        <is>
          <t>YTD2026</t>
        </is>
      </c>
      <c r="B40" s="24" t="n">
        <v>28774215.27</v>
      </c>
      <c r="C40" s="24" t="n">
        <v>10238582.29</v>
      </c>
      <c r="D40" s="24" t="n">
        <v>5340196.800000003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29CF5"/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2" customHeight="1">
      <c r="A1" s="1" t="inlineStr">
        <is>
          <t>Division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Per-division contract, billing, cost &amp; margin (Knowify active jobs)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Division</t>
        </is>
      </c>
      <c r="B4" s="22" t="inlineStr">
        <is>
          <t>Jobs</t>
        </is>
      </c>
      <c r="C4" s="22" t="inlineStr">
        <is>
          <t>Contract</t>
        </is>
      </c>
      <c r="D4" s="22" t="inlineStr">
        <is>
          <t>Invoiced</t>
        </is>
      </c>
      <c r="E4" s="22" t="inlineStr">
        <is>
          <t>Budget Cost</t>
        </is>
      </c>
      <c r="F4" s="22" t="inlineStr">
        <is>
          <t>Actual Cost</t>
        </is>
      </c>
      <c r="G4" s="22" t="inlineStr">
        <is>
          <t>Profit $</t>
        </is>
      </c>
      <c r="H4" s="22" t="inlineStr">
        <is>
          <t>Profit %</t>
        </is>
      </c>
      <c r="I4" s="22" t="inlineStr">
        <is>
          <t>WIP Net</t>
        </is>
      </c>
      <c r="J4" s="2" t="n"/>
      <c r="K4" s="2" t="n"/>
      <c r="L4" s="2" t="n"/>
      <c r="M4" s="2" t="n"/>
      <c r="N4" s="2" t="n"/>
      <c r="O4" s="2" t="n"/>
    </row>
    <row r="5">
      <c r="A5" s="23" t="inlineStr">
        <is>
          <t>Tenant Improvement</t>
        </is>
      </c>
      <c r="B5" s="23" t="n">
        <v>62</v>
      </c>
      <c r="C5" s="24" t="n">
        <v>23623992.86000001</v>
      </c>
      <c r="D5" s="24" t="n">
        <v>20986986.32</v>
      </c>
      <c r="E5" s="24" t="n">
        <v>14432142.97</v>
      </c>
      <c r="F5" s="24" t="n">
        <v>13561203.47</v>
      </c>
      <c r="G5" s="24" t="n">
        <v>7920870.839999999</v>
      </c>
      <c r="H5" s="25" t="n">
        <v>0.3352892496598899</v>
      </c>
      <c r="I5" s="24" t="n">
        <v>1005043.92</v>
      </c>
      <c r="J5" s="2" t="n"/>
      <c r="K5" s="2" t="n"/>
      <c r="L5" s="2" t="n"/>
      <c r="M5" s="2" t="n"/>
      <c r="N5" s="2" t="n"/>
      <c r="O5" s="2" t="n"/>
    </row>
    <row r="6">
      <c r="A6" s="23" t="inlineStr">
        <is>
          <t>Multi-Family</t>
        </is>
      </c>
      <c r="B6" s="23" t="n">
        <v>22</v>
      </c>
      <c r="C6" s="24" t="n">
        <v>41385804.97000001</v>
      </c>
      <c r="D6" s="24" t="n">
        <v>22703258.15</v>
      </c>
      <c r="E6" s="24" t="n">
        <v>28976033.19</v>
      </c>
      <c r="F6" s="24" t="n">
        <v>18096438.15</v>
      </c>
      <c r="G6" s="24" t="n">
        <v>5593999.630000001</v>
      </c>
      <c r="H6" s="25" t="n">
        <v>0.1351671094486386</v>
      </c>
      <c r="I6" s="24" t="n">
        <v>1370719.21</v>
      </c>
      <c r="J6" s="2" t="n"/>
      <c r="K6" s="2" t="n"/>
      <c r="L6" s="2" t="n"/>
      <c r="M6" s="2" t="n"/>
      <c r="N6" s="2" t="n"/>
      <c r="O6" s="2" t="n"/>
    </row>
    <row r="7">
      <c r="A7" s="23" t="inlineStr">
        <is>
          <t>Drywall</t>
        </is>
      </c>
      <c r="B7" s="23" t="n">
        <v>213</v>
      </c>
      <c r="C7" s="24" t="n">
        <v>2247021.73</v>
      </c>
      <c r="D7" s="24" t="n">
        <v>2037196.92</v>
      </c>
      <c r="E7" s="24" t="n">
        <v>0</v>
      </c>
      <c r="F7" s="24" t="n">
        <v>1384395.090000001</v>
      </c>
      <c r="G7" s="24" t="n">
        <v>652801.8300000001</v>
      </c>
      <c r="H7" s="25" t="n">
        <v>0.290518699167186</v>
      </c>
      <c r="I7" s="24" t="n">
        <v>-2037196.92</v>
      </c>
      <c r="J7" s="2" t="n"/>
      <c r="K7" s="2" t="n"/>
      <c r="L7" s="2" t="n"/>
      <c r="M7" s="2" t="n"/>
      <c r="N7" s="2" t="n"/>
      <c r="O7" s="2" t="n"/>
    </row>
    <row r="8">
      <c r="A8" s="23" t="inlineStr">
        <is>
          <t>Unallocated</t>
        </is>
      </c>
      <c r="B8" s="23" t="n">
        <v>11</v>
      </c>
      <c r="C8" s="24" t="n">
        <v>1481553.28</v>
      </c>
      <c r="D8" s="24" t="n">
        <v>1123244.28</v>
      </c>
      <c r="E8" s="24" t="n">
        <v>414032</v>
      </c>
      <c r="F8" s="24" t="n">
        <v>1412587.72</v>
      </c>
      <c r="G8" s="24" t="n">
        <v>-289343.44</v>
      </c>
      <c r="H8" s="25" t="n">
        <v>-0.195297357108885</v>
      </c>
      <c r="I8" s="24" t="n">
        <v>1082281011.64</v>
      </c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</sheetData>
  <mergeCells count="2">
    <mergeCell ref="A2:N2"/>
    <mergeCell ref="A1:N1"/>
  </mergeCells>
  <conditionalFormatting sqref="G5:G8">
    <cfRule type="cellIs" priority="1" operator="lessThan" dxfId="0">
      <formula>0</formula>
    </cfRule>
  </conditionalFormatting>
  <conditionalFormatting sqref="I5:I8">
    <cfRule type="cellIs" priority="2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E7585"/>
    <outlinePr summaryBelow="1" summaryRight="1"/>
    <pageSetUpPr/>
  </sheetPr>
  <dimension ref="A1:O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6" customWidth="1" min="3" max="3"/>
    <col width="28" customWidth="1" min="4" max="4"/>
    <col width="14" customWidth="1" min="5" max="5"/>
    <col width="9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</cols>
  <sheetData>
    <row r="1" ht="32" customHeight="1">
      <c r="A1" s="1" t="inlineStr">
        <is>
          <t>Project Tracker — Profit Fade Watch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84 managed jobs ranked worst-fade first  •  fade = forecast margin − as-bid budget margin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Job</t>
        </is>
      </c>
      <c r="B4" s="22" t="inlineStr">
        <is>
          <t>Div</t>
        </is>
      </c>
      <c r="C4" s="22" t="inlineStr">
        <is>
          <t>PM</t>
        </is>
      </c>
      <c r="D4" s="22" t="inlineStr">
        <is>
          <t>Customer</t>
        </is>
      </c>
      <c r="E4" s="22" t="inlineStr">
        <is>
          <t>Contract</t>
        </is>
      </c>
      <c r="F4" s="22" t="inlineStr">
        <is>
          <t>% Comp</t>
        </is>
      </c>
      <c r="G4" s="22" t="inlineStr">
        <is>
          <t>Proj Margin</t>
        </is>
      </c>
      <c r="H4" s="22" t="inlineStr">
        <is>
          <t>Est Margin</t>
        </is>
      </c>
      <c r="I4" s="22" t="inlineStr">
        <is>
          <t>Profit Fade</t>
        </is>
      </c>
      <c r="J4" s="22" t="inlineStr">
        <is>
          <t>WIP Net</t>
        </is>
      </c>
      <c r="K4" s="22" t="inlineStr">
        <is>
          <t>Open A/R</t>
        </is>
      </c>
      <c r="L4" s="2" t="n"/>
      <c r="M4" s="2" t="n"/>
      <c r="N4" s="2" t="n"/>
      <c r="O4" s="2" t="n"/>
    </row>
    <row r="5">
      <c r="A5" s="23" t="inlineStr">
        <is>
          <t>2025.986 FedEx Hub</t>
        </is>
      </c>
      <c r="B5" s="23" t="inlineStr">
        <is>
          <t>TI</t>
        </is>
      </c>
      <c r="C5" s="23" t="inlineStr">
        <is>
          <t>Tommy Cohoat</t>
        </is>
      </c>
      <c r="D5" s="23" t="inlineStr">
        <is>
          <t>Dalmatian Fire</t>
        </is>
      </c>
      <c r="E5" s="24" t="n">
        <v>6000</v>
      </c>
      <c r="F5" s="25" t="n">
        <v>0.1699</v>
      </c>
      <c r="G5" s="25" t="n">
        <v>0.0147</v>
      </c>
      <c r="H5" s="25" t="n">
        <v>0.8833</v>
      </c>
      <c r="I5" s="25" t="n">
        <v>-0.8686</v>
      </c>
      <c r="J5" s="24" t="n">
        <v>-4980.6</v>
      </c>
      <c r="K5" s="24" t="n">
        <v>0</v>
      </c>
      <c r="L5" s="2" t="n"/>
      <c r="M5" s="2" t="n"/>
      <c r="N5" s="2" t="n"/>
      <c r="O5" s="2" t="n"/>
    </row>
    <row r="6">
      <c r="A6" s="23" t="inlineStr">
        <is>
          <t>2025.997 Belmont St Warehouse Clear Out 250-408</t>
        </is>
      </c>
      <c r="B6" s="23" t="inlineStr">
        <is>
          <t>TI</t>
        </is>
      </c>
      <c r="C6" s="23" t="inlineStr">
        <is>
          <t>Spencer Anderson</t>
        </is>
      </c>
      <c r="D6" s="23" t="inlineStr">
        <is>
          <t>DEEM, LLC</t>
        </is>
      </c>
      <c r="E6" s="24" t="n">
        <v>54090</v>
      </c>
      <c r="F6" s="25" t="n">
        <v>2.1661</v>
      </c>
      <c r="G6" s="25" t="n">
        <v>0.0015</v>
      </c>
      <c r="H6" s="25" t="n">
        <v>0.7983</v>
      </c>
      <c r="I6" s="25" t="n">
        <v>-0.7968</v>
      </c>
      <c r="J6" s="24" t="n">
        <v>63074.35</v>
      </c>
      <c r="K6" s="24" t="n">
        <v>0</v>
      </c>
      <c r="L6" s="2" t="n"/>
      <c r="M6" s="2" t="n"/>
      <c r="N6" s="2" t="n"/>
      <c r="O6" s="2" t="n"/>
    </row>
    <row r="7">
      <c r="A7" s="23" t="inlineStr">
        <is>
          <t>2025.980 Avon Bldg. 1 Canopies &amp; Pavilion</t>
        </is>
      </c>
      <c r="B7" s="23" t="inlineStr">
        <is>
          <t>TI</t>
        </is>
      </c>
      <c r="C7" s="23" t="inlineStr">
        <is>
          <t>Spencer Anderson</t>
        </is>
      </c>
      <c r="D7" s="23" t="inlineStr">
        <is>
          <t>The Peterson Company, LLC</t>
        </is>
      </c>
      <c r="E7" s="24" t="n">
        <v>116280</v>
      </c>
      <c r="F7" s="25" t="n">
        <v>1.0067</v>
      </c>
      <c r="G7" s="25" t="n">
        <v>0.0005999999999999999</v>
      </c>
      <c r="H7" s="25" t="n">
        <v>0.6536999999999999</v>
      </c>
      <c r="I7" s="25" t="n">
        <v>-0.6532</v>
      </c>
      <c r="J7" s="24" t="n">
        <v>779.08</v>
      </c>
      <c r="K7" s="24" t="n">
        <v>0</v>
      </c>
      <c r="L7" s="2" t="n"/>
      <c r="M7" s="2" t="n"/>
      <c r="N7" s="2" t="n"/>
      <c r="O7" s="2" t="n"/>
    </row>
    <row r="8">
      <c r="A8" s="23" t="inlineStr">
        <is>
          <t>MF.2024.903 Mirka Office Buildout</t>
        </is>
      </c>
      <c r="B8" s="23" t="inlineStr">
        <is>
          <t>MF</t>
        </is>
      </c>
      <c r="C8" s="23" t="inlineStr">
        <is>
          <t>Cole Garriott</t>
        </is>
      </c>
      <c r="D8" s="23" t="inlineStr">
        <is>
          <t>DEEM, LLC</t>
        </is>
      </c>
      <c r="E8" s="24" t="n">
        <v>175330</v>
      </c>
      <c r="F8" s="25" t="n">
        <v>1</v>
      </c>
      <c r="G8" s="25" t="n">
        <v>0.0004</v>
      </c>
      <c r="H8" s="25" t="n">
        <v>0.6411</v>
      </c>
      <c r="I8" s="25" t="n">
        <v>-0.6407</v>
      </c>
      <c r="J8" s="24" t="n">
        <v>0</v>
      </c>
      <c r="K8" s="24" t="n">
        <v>0</v>
      </c>
      <c r="L8" s="2" t="n"/>
      <c r="M8" s="2" t="n"/>
      <c r="N8" s="2" t="n"/>
      <c r="O8" s="2" t="n"/>
    </row>
    <row r="9">
      <c r="A9" s="23" t="inlineStr">
        <is>
          <t>2025.1031 Pita Way</t>
        </is>
      </c>
      <c r="B9" s="23" t="inlineStr">
        <is>
          <t>TI</t>
        </is>
      </c>
      <c r="C9" s="23" t="inlineStr">
        <is>
          <t>Spencer Anderson</t>
        </is>
      </c>
      <c r="D9" s="23" t="inlineStr">
        <is>
          <t>Kort Builders, Inc</t>
        </is>
      </c>
      <c r="E9" s="24" t="n">
        <v>9745</v>
      </c>
      <c r="F9" s="25" t="n">
        <v>0.9011</v>
      </c>
      <c r="G9" s="25" t="n">
        <v>0.0064</v>
      </c>
      <c r="H9" s="25" t="n">
        <v>0.624</v>
      </c>
      <c r="I9" s="25" t="n">
        <v>-0.6176</v>
      </c>
      <c r="J9" s="24" t="n">
        <v>-963.78</v>
      </c>
      <c r="K9" s="24" t="n">
        <v>0</v>
      </c>
      <c r="L9" s="2" t="n"/>
      <c r="M9" s="2" t="n"/>
      <c r="N9" s="2" t="n"/>
      <c r="O9" s="2" t="n"/>
    </row>
    <row r="10">
      <c r="A10" s="23" t="inlineStr">
        <is>
          <t>2024.929 DEEM Warehouse</t>
        </is>
      </c>
      <c r="B10" s="23" t="inlineStr">
        <is>
          <t>TI</t>
        </is>
      </c>
      <c r="C10" s="23" t="inlineStr">
        <is>
          <t>Tommy Cohoat</t>
        </is>
      </c>
      <c r="D10" s="23" t="inlineStr">
        <is>
          <t>DEEM, LLC</t>
        </is>
      </c>
      <c r="E10" s="24" t="n">
        <v>659384.05</v>
      </c>
      <c r="F10" s="25" t="n">
        <v>0.989</v>
      </c>
      <c r="G10" s="25" t="n">
        <v>0.0001</v>
      </c>
      <c r="H10" s="25" t="n">
        <v>0.6057</v>
      </c>
      <c r="I10" s="25" t="n">
        <v>-0.6056</v>
      </c>
      <c r="J10" s="24" t="n">
        <v>-7253.22</v>
      </c>
      <c r="K10" s="24" t="n">
        <v>0</v>
      </c>
      <c r="L10" s="2" t="n"/>
      <c r="M10" s="2" t="n"/>
      <c r="N10" s="2" t="n"/>
      <c r="O10" s="2" t="n"/>
    </row>
    <row r="11">
      <c r="A11" s="23" t="inlineStr">
        <is>
          <t>2023.795 Upland Brewery Clay Terrace</t>
        </is>
      </c>
      <c r="B11" s="23" t="inlineStr">
        <is>
          <t>TI</t>
        </is>
      </c>
      <c r="C11" s="23" t="inlineStr">
        <is>
          <t>Tommy Cohoat</t>
        </is>
      </c>
      <c r="D11" s="23" t="inlineStr">
        <is>
          <t>Bischoff Construction, LLC</t>
        </is>
      </c>
      <c r="E11" s="24" t="n">
        <v>101530</v>
      </c>
      <c r="F11" s="25" t="n">
        <v>1.2613</v>
      </c>
      <c r="G11" s="25" t="n">
        <v>0.0005999999999999999</v>
      </c>
      <c r="H11" s="25" t="n">
        <v>0.5916</v>
      </c>
      <c r="I11" s="25" t="n">
        <v>-0.5911</v>
      </c>
      <c r="J11" s="24" t="n">
        <v>26529.79</v>
      </c>
      <c r="K11" s="24" t="n">
        <v>0</v>
      </c>
      <c r="L11" s="2" t="n"/>
      <c r="M11" s="2" t="n"/>
      <c r="N11" s="2" t="n"/>
      <c r="O11" s="2" t="n"/>
    </row>
    <row r="12">
      <c r="A12" s="23" t="inlineStr">
        <is>
          <t>2025.1015 WBP Lot 4</t>
        </is>
      </c>
      <c r="B12" s="23" t="inlineStr">
        <is>
          <t>TI</t>
        </is>
      </c>
      <c r="C12" s="23" t="inlineStr">
        <is>
          <t>Tommy Cohoat</t>
        </is>
      </c>
      <c r="D12" s="23" t="inlineStr">
        <is>
          <t>Patch Development</t>
        </is>
      </c>
      <c r="E12" s="24" t="n">
        <v>175400</v>
      </c>
      <c r="F12" s="25" t="n">
        <v>0.9867</v>
      </c>
      <c r="G12" s="25" t="n">
        <v>0.0003</v>
      </c>
      <c r="H12" s="25" t="n">
        <v>0.5804</v>
      </c>
      <c r="I12" s="25" t="n">
        <v>-0.5800999999999999</v>
      </c>
      <c r="J12" s="24" t="n">
        <v>-2332.82</v>
      </c>
      <c r="K12" s="24" t="n">
        <v>0</v>
      </c>
      <c r="L12" s="2" t="n"/>
      <c r="M12" s="2" t="n"/>
      <c r="N12" s="2" t="n"/>
      <c r="O12" s="2" t="n"/>
    </row>
    <row r="13">
      <c r="A13" s="23" t="inlineStr">
        <is>
          <t>2025.1016 WBP Lot C</t>
        </is>
      </c>
      <c r="B13" s="23" t="inlineStr">
        <is>
          <t>TI</t>
        </is>
      </c>
      <c r="C13" s="23" t="inlineStr">
        <is>
          <t>Tommy Cohoat</t>
        </is>
      </c>
      <c r="D13" s="23" t="inlineStr">
        <is>
          <t>Patch Development</t>
        </is>
      </c>
      <c r="E13" s="24" t="n">
        <v>125700</v>
      </c>
      <c r="F13" s="25" t="n">
        <v>2.0553</v>
      </c>
      <c r="G13" s="25" t="n">
        <v>0.0005</v>
      </c>
      <c r="H13" s="25" t="n">
        <v>0.5749</v>
      </c>
      <c r="I13" s="25" t="n">
        <v>-0.5745</v>
      </c>
      <c r="J13" s="24" t="n">
        <v>132651.21</v>
      </c>
      <c r="K13" s="24" t="n">
        <v>13081.87</v>
      </c>
      <c r="L13" s="2" t="n"/>
      <c r="M13" s="2" t="n"/>
      <c r="N13" s="2" t="n"/>
      <c r="O13" s="2" t="n"/>
    </row>
    <row r="14">
      <c r="A14" s="23" t="inlineStr">
        <is>
          <t>2023.816 Upland Broad Ripple</t>
        </is>
      </c>
      <c r="B14" s="23" t="inlineStr">
        <is>
          <t>TI</t>
        </is>
      </c>
      <c r="C14" s="23" t="inlineStr">
        <is>
          <t>Tommy Cohoat</t>
        </is>
      </c>
      <c r="D14" s="23" t="inlineStr">
        <is>
          <t>Bischoff Construction, LLC</t>
        </is>
      </c>
      <c r="E14" s="24" t="n">
        <v>14450</v>
      </c>
      <c r="F14" s="25" t="n">
        <v>1.8144</v>
      </c>
      <c r="G14" s="25" t="n">
        <v>0.0039</v>
      </c>
      <c r="H14" s="25" t="n">
        <v>0.5606</v>
      </c>
      <c r="I14" s="25" t="n">
        <v>-0.5567</v>
      </c>
      <c r="J14" s="24" t="n">
        <v>11768.08</v>
      </c>
      <c r="K14" s="24" t="n">
        <v>0</v>
      </c>
      <c r="L14" s="2" t="n"/>
      <c r="M14" s="2" t="n"/>
      <c r="N14" s="2" t="n"/>
      <c r="O14" s="2" t="n"/>
    </row>
    <row r="15">
      <c r="A15" s="23" t="inlineStr">
        <is>
          <t>2026.1043 Deer Creek Building 1</t>
        </is>
      </c>
      <c r="B15" s="23" t="inlineStr">
        <is>
          <t>TI</t>
        </is>
      </c>
      <c r="C15" s="23" t="inlineStr">
        <is>
          <t>Tommy Cohoat</t>
        </is>
      </c>
      <c r="D15" s="23" t="inlineStr">
        <is>
          <t>Patch Development</t>
        </is>
      </c>
      <c r="E15" s="24" t="n">
        <v>135000</v>
      </c>
      <c r="F15" s="25" t="n">
        <v>0.8294</v>
      </c>
      <c r="G15" s="25" t="n">
        <v>0.0004</v>
      </c>
      <c r="H15" s="25" t="n">
        <v>0.5570000000000001</v>
      </c>
      <c r="I15" s="25" t="n">
        <v>-0.5566</v>
      </c>
      <c r="J15" s="24" t="n">
        <v>-23031</v>
      </c>
      <c r="K15" s="24" t="n">
        <v>13500</v>
      </c>
      <c r="L15" s="2" t="n"/>
      <c r="M15" s="2" t="n"/>
      <c r="N15" s="2" t="n"/>
      <c r="O15" s="2" t="n"/>
    </row>
    <row r="16">
      <c r="A16" s="23" t="inlineStr">
        <is>
          <t>2025.967 Bunge Project Flex</t>
        </is>
      </c>
      <c r="B16" s="23" t="inlineStr">
        <is>
          <t>TI</t>
        </is>
      </c>
      <c r="C16" s="23" t="inlineStr">
        <is>
          <t>Ben Garza</t>
        </is>
      </c>
      <c r="D16" s="23" t="inlineStr">
        <is>
          <t>Bunge North America (East), LLC</t>
        </is>
      </c>
      <c r="E16" s="24" t="n">
        <v>993046</v>
      </c>
      <c r="F16" s="25" t="n">
        <v>1</v>
      </c>
      <c r="G16" s="25" t="n">
        <v>0.0001</v>
      </c>
      <c r="H16" s="25" t="n">
        <v>0.5444</v>
      </c>
      <c r="I16" s="25" t="n">
        <v>-0.5444</v>
      </c>
      <c r="J16" s="24" t="n">
        <v>0</v>
      </c>
      <c r="K16" s="24" t="n">
        <v>99304.60000000001</v>
      </c>
      <c r="L16" s="2" t="n"/>
      <c r="M16" s="2" t="n"/>
      <c r="N16" s="2" t="n"/>
      <c r="O16" s="2" t="n"/>
    </row>
    <row r="17">
      <c r="A17" s="23" t="inlineStr">
        <is>
          <t>2026.1041 Whiteland Building 2 - Blackhawk</t>
        </is>
      </c>
      <c r="B17" s="23" t="inlineStr">
        <is>
          <t>TI</t>
        </is>
      </c>
      <c r="C17" s="23" t="inlineStr">
        <is>
          <t>Spencer Anderson</t>
        </is>
      </c>
      <c r="D17" s="23" t="inlineStr">
        <is>
          <t>Patch Development</t>
        </is>
      </c>
      <c r="E17" s="24" t="n">
        <v>187650</v>
      </c>
      <c r="F17" s="25" t="n">
        <v>0.6565</v>
      </c>
      <c r="G17" s="25" t="n">
        <v>0.0003</v>
      </c>
      <c r="H17" s="25" t="n">
        <v>0.5214</v>
      </c>
      <c r="I17" s="25" t="n">
        <v>-0.5211</v>
      </c>
      <c r="J17" s="24" t="n">
        <v>-33228.07</v>
      </c>
      <c r="K17" s="24" t="n">
        <v>44532.3</v>
      </c>
      <c r="L17" s="2" t="n"/>
      <c r="M17" s="2" t="n"/>
      <c r="N17" s="2" t="n"/>
      <c r="O17" s="2" t="n"/>
    </row>
    <row r="18">
      <c r="A18" s="23" t="inlineStr">
        <is>
          <t>2026.1052 Project Panther</t>
        </is>
      </c>
      <c r="B18" s="23" t="inlineStr">
        <is>
          <t>TI</t>
        </is>
      </c>
      <c r="C18" s="23" t="inlineStr">
        <is>
          <t>Spencer Anderson</t>
        </is>
      </c>
      <c r="D18" s="23" t="inlineStr">
        <is>
          <t>ARCO Design/Build</t>
        </is>
      </c>
      <c r="E18" s="24" t="n">
        <v>900893</v>
      </c>
      <c r="F18" s="25" t="n">
        <v>0.0561</v>
      </c>
      <c r="G18" s="25" t="n">
        <v>0.0001</v>
      </c>
      <c r="H18" s="25" t="n">
        <v>0.5089</v>
      </c>
      <c r="I18" s="25" t="n">
        <v>-0.5089</v>
      </c>
      <c r="J18" s="24" t="n">
        <v>50540.1</v>
      </c>
      <c r="K18" s="24" t="n">
        <v>0</v>
      </c>
      <c r="L18" s="2" t="n"/>
      <c r="M18" s="2" t="n"/>
      <c r="N18" s="2" t="n"/>
      <c r="O18" s="2" t="n"/>
    </row>
    <row r="19">
      <c r="A19" s="23" t="inlineStr">
        <is>
          <t>2024.920 SMC Mezzanine HVAC</t>
        </is>
      </c>
      <c r="B19" s="23" t="inlineStr">
        <is>
          <t>TI</t>
        </is>
      </c>
      <c r="C19" s="23" t="inlineStr">
        <is>
          <t>Trevor Anderson</t>
        </is>
      </c>
      <c r="D19" s="23" t="inlineStr">
        <is>
          <t>DEEM, LLC</t>
        </is>
      </c>
      <c r="E19" s="24" t="n">
        <v>2028</v>
      </c>
      <c r="F19" s="25" t="n">
        <v>1</v>
      </c>
      <c r="G19" s="25" t="n">
        <v>0.0263</v>
      </c>
      <c r="H19" s="25" t="n">
        <v>0.5339</v>
      </c>
      <c r="I19" s="25" t="n">
        <v>-0.5076000000000001</v>
      </c>
      <c r="J19" s="24" t="n">
        <v>0</v>
      </c>
      <c r="K19" s="24" t="n">
        <v>0</v>
      </c>
      <c r="L19" s="2" t="n"/>
      <c r="M19" s="2" t="n"/>
      <c r="N19" s="2" t="n"/>
      <c r="O19" s="2" t="n"/>
    </row>
    <row r="20">
      <c r="A20" s="23" t="inlineStr">
        <is>
          <t>2025.999 Romet PWSI</t>
        </is>
      </c>
      <c r="B20" s="23" t="inlineStr">
        <is>
          <t>TI</t>
        </is>
      </c>
      <c r="C20" s="23" t="inlineStr">
        <is>
          <t>Tommy Cohoat</t>
        </is>
      </c>
      <c r="D20" s="23" t="inlineStr">
        <is>
          <t>The Peterson Company, LLC</t>
        </is>
      </c>
      <c r="E20" s="24" t="n">
        <v>372490</v>
      </c>
      <c r="F20" s="25" t="n">
        <v>1.0036</v>
      </c>
      <c r="G20" s="25" t="n">
        <v>0.0001</v>
      </c>
      <c r="H20" s="25" t="n">
        <v>0.4905</v>
      </c>
      <c r="I20" s="25" t="n">
        <v>-0.4903</v>
      </c>
      <c r="J20" s="24" t="n">
        <v>1340.96</v>
      </c>
      <c r="K20" s="24" t="n">
        <v>0</v>
      </c>
      <c r="L20" s="2" t="n"/>
      <c r="M20" s="2" t="n"/>
      <c r="N20" s="2" t="n"/>
      <c r="O20" s="2" t="n"/>
    </row>
    <row r="21">
      <c r="A21" s="23" t="inlineStr">
        <is>
          <t>2024.957 SanMar AWR</t>
        </is>
      </c>
      <c r="B21" s="23" t="inlineStr">
        <is>
          <t>TI</t>
        </is>
      </c>
      <c r="C21" s="23" t="inlineStr">
        <is>
          <t>Cole Garriott</t>
        </is>
      </c>
      <c r="D21" s="23" t="inlineStr">
        <is>
          <t>The Peterson Company, LLC</t>
        </is>
      </c>
      <c r="E21" s="24" t="n">
        <v>34964</v>
      </c>
      <c r="F21" s="25" t="n">
        <v>1</v>
      </c>
      <c r="G21" s="25" t="n">
        <v>0.0014</v>
      </c>
      <c r="H21" s="25" t="n">
        <v>0.4873</v>
      </c>
      <c r="I21" s="25" t="n">
        <v>-0.4859</v>
      </c>
      <c r="J21" s="24" t="n">
        <v>0</v>
      </c>
      <c r="K21" s="24" t="n">
        <v>0</v>
      </c>
      <c r="L21" s="2" t="n"/>
      <c r="M21" s="2" t="n"/>
      <c r="N21" s="2" t="n"/>
      <c r="O21" s="2" t="n"/>
    </row>
    <row r="22">
      <c r="A22" s="23" t="inlineStr">
        <is>
          <t>2025.1027 Indy Boat Co</t>
        </is>
      </c>
      <c r="B22" s="23" t="inlineStr">
        <is>
          <t>TI</t>
        </is>
      </c>
      <c r="C22" s="23" t="inlineStr">
        <is>
          <t>Trevor Anderson</t>
        </is>
      </c>
      <c r="D22" s="23" t="inlineStr">
        <is>
          <t>Raley Wake, LLC</t>
        </is>
      </c>
      <c r="E22" s="24" t="n">
        <v>242452.3</v>
      </c>
      <c r="F22" s="25" t="n">
        <v>0.9696</v>
      </c>
      <c r="G22" s="25" t="n">
        <v>0.0002</v>
      </c>
      <c r="H22" s="25" t="n">
        <v>0.4702</v>
      </c>
      <c r="I22" s="25" t="n">
        <v>-0.47</v>
      </c>
      <c r="J22" s="24" t="n">
        <v>98735.85000000001</v>
      </c>
      <c r="K22" s="24" t="n">
        <v>0</v>
      </c>
      <c r="L22" s="2" t="n"/>
      <c r="M22" s="2" t="n"/>
      <c r="N22" s="2" t="n"/>
      <c r="O22" s="2" t="n"/>
    </row>
    <row r="23">
      <c r="A23" s="23" t="inlineStr">
        <is>
          <t>2023.731 Park 133 - ITS - TI Tenant Buildout</t>
        </is>
      </c>
      <c r="B23" s="23" t="inlineStr">
        <is>
          <t>TI</t>
        </is>
      </c>
      <c r="C23" s="23" t="inlineStr">
        <is>
          <t>Tommy Cohoat</t>
        </is>
      </c>
      <c r="D23" s="23" t="inlineStr">
        <is>
          <t>The Peterson Company, LLC</t>
        </is>
      </c>
      <c r="E23" s="24" t="n">
        <v>759684</v>
      </c>
      <c r="F23" s="25" t="n">
        <v>1.0081</v>
      </c>
      <c r="G23" s="25" t="n">
        <v>0.0001</v>
      </c>
      <c r="H23" s="25" t="n">
        <v>0.465</v>
      </c>
      <c r="I23" s="25" t="n">
        <v>-0.465</v>
      </c>
      <c r="J23" s="24" t="n">
        <v>6153.44</v>
      </c>
      <c r="K23" s="24" t="n">
        <v>0</v>
      </c>
      <c r="L23" s="2" t="n"/>
      <c r="M23" s="2" t="n"/>
      <c r="N23" s="2" t="n"/>
      <c r="O23" s="2" t="n"/>
    </row>
    <row r="24">
      <c r="A24" s="23" t="inlineStr">
        <is>
          <t>2026.1034 Stella's Ice Cream Shop</t>
        </is>
      </c>
      <c r="B24" s="23" t="inlineStr">
        <is>
          <t>TI</t>
        </is>
      </c>
      <c r="C24" s="23" t="inlineStr">
        <is>
          <t>Shawn Welcher</t>
        </is>
      </c>
      <c r="D24" s="23" t="inlineStr">
        <is>
          <t>The ACTS Collaborative, LLC</t>
        </is>
      </c>
      <c r="E24" s="24" t="n">
        <v>69155</v>
      </c>
      <c r="F24" s="25" t="n">
        <v>0.7302</v>
      </c>
      <c r="G24" s="25" t="n">
        <v>0.0007</v>
      </c>
      <c r="H24" s="25" t="n">
        <v>0.4653</v>
      </c>
      <c r="I24" s="25" t="n">
        <v>-0.4646</v>
      </c>
      <c r="J24" s="24" t="n">
        <v>-11742.52</v>
      </c>
      <c r="K24" s="24" t="n">
        <v>28129.5</v>
      </c>
      <c r="L24" s="2" t="n"/>
      <c r="M24" s="2" t="n"/>
      <c r="N24" s="2" t="n"/>
      <c r="O24" s="2" t="n"/>
    </row>
    <row r="25">
      <c r="A25" s="23" t="inlineStr">
        <is>
          <t>2026.1053 Lot 32 Vacant TI</t>
        </is>
      </c>
      <c r="B25" s="23" t="inlineStr">
        <is>
          <t>TI</t>
        </is>
      </c>
      <c r="C25" s="23" t="inlineStr">
        <is>
          <t>Spencer Anderson</t>
        </is>
      </c>
      <c r="D25" s="23" t="inlineStr">
        <is>
          <t>Holladay Construction Group</t>
        </is>
      </c>
      <c r="E25" s="24" t="n">
        <v>126210</v>
      </c>
      <c r="F25" s="25" t="n">
        <v>0.3544</v>
      </c>
      <c r="G25" s="25" t="n">
        <v>0.0004</v>
      </c>
      <c r="H25" s="25" t="n">
        <v>0.4593</v>
      </c>
      <c r="I25" s="25" t="n">
        <v>-0.4589</v>
      </c>
      <c r="J25" s="24" t="n">
        <v>44728.82</v>
      </c>
      <c r="K25" s="24" t="n">
        <v>0</v>
      </c>
      <c r="L25" s="2" t="n"/>
      <c r="M25" s="2" t="n"/>
      <c r="N25" s="2" t="n"/>
      <c r="O25" s="2" t="n"/>
    </row>
    <row r="26">
      <c r="A26" s="23" t="inlineStr">
        <is>
          <t>2024.953 Motorworks</t>
        </is>
      </c>
      <c r="B26" s="23" t="inlineStr">
        <is>
          <t>TI</t>
        </is>
      </c>
      <c r="C26" s="23" t="inlineStr">
        <is>
          <t>Tommy Cohoat</t>
        </is>
      </c>
      <c r="D26" s="23" t="inlineStr">
        <is>
          <t>Precision Dry Wall</t>
        </is>
      </c>
      <c r="E26" s="24" t="n">
        <v>2605.74</v>
      </c>
      <c r="F26" s="25" t="n">
        <v>1</v>
      </c>
      <c r="G26" s="25" t="n">
        <v>0.0183</v>
      </c>
      <c r="H26" s="25" t="n">
        <v>0.4762</v>
      </c>
      <c r="I26" s="25" t="n">
        <v>-0.4579</v>
      </c>
      <c r="J26" s="24" t="n">
        <v>0</v>
      </c>
      <c r="K26" s="24" t="n">
        <v>0</v>
      </c>
      <c r="L26" s="2" t="n"/>
      <c r="M26" s="2" t="n"/>
      <c r="N26" s="2" t="n"/>
      <c r="O26" s="2" t="n"/>
    </row>
    <row r="27">
      <c r="A27" s="23" t="inlineStr">
        <is>
          <t>2025.969 Carson</t>
        </is>
      </c>
      <c r="B27" s="23" t="inlineStr">
        <is>
          <t>TI</t>
        </is>
      </c>
      <c r="C27" s="23" t="inlineStr">
        <is>
          <t>Spencer Anderson</t>
        </is>
      </c>
      <c r="D27" s="23" t="inlineStr">
        <is>
          <t>DEEM, LLC</t>
        </is>
      </c>
      <c r="E27" s="24" t="n">
        <v>287418</v>
      </c>
      <c r="F27" s="25" t="n">
        <v>0.9989</v>
      </c>
      <c r="G27" s="25" t="n">
        <v>0.0002</v>
      </c>
      <c r="H27" s="25" t="n">
        <v>0.4573</v>
      </c>
      <c r="I27" s="25" t="n">
        <v>-0.4571</v>
      </c>
      <c r="J27" s="24" t="n">
        <v>-316.16</v>
      </c>
      <c r="K27" s="24" t="n">
        <v>0</v>
      </c>
      <c r="L27" s="2" t="n"/>
      <c r="M27" s="2" t="n"/>
      <c r="N27" s="2" t="n"/>
      <c r="O27" s="2" t="n"/>
    </row>
    <row r="28">
      <c r="A28" s="23" t="inlineStr">
        <is>
          <t>2025.1006 Keller Office</t>
        </is>
      </c>
      <c r="B28" s="23" t="inlineStr">
        <is>
          <t>TI</t>
        </is>
      </c>
      <c r="C28" s="23" t="inlineStr">
        <is>
          <t>Ben Garza</t>
        </is>
      </c>
      <c r="D28" s="23" t="inlineStr">
        <is>
          <t>ARCO Design/Build</t>
        </is>
      </c>
      <c r="E28" s="24" t="n">
        <v>276600</v>
      </c>
      <c r="F28" s="25" t="n">
        <v>1.0244</v>
      </c>
      <c r="G28" s="25" t="n">
        <v>0.0002</v>
      </c>
      <c r="H28" s="25" t="n">
        <v>0.4514</v>
      </c>
      <c r="I28" s="25" t="n">
        <v>-0.4512</v>
      </c>
      <c r="J28" s="24" t="n">
        <v>92076.53999999999</v>
      </c>
      <c r="K28" s="24" t="n">
        <v>191272.5</v>
      </c>
      <c r="L28" s="2" t="n"/>
      <c r="M28" s="2" t="n"/>
      <c r="N28" s="2" t="n"/>
      <c r="O28" s="2" t="n"/>
    </row>
    <row r="29">
      <c r="A29" s="23" t="inlineStr">
        <is>
          <t>2026.1051 Park 130 Building 8</t>
        </is>
      </c>
      <c r="B29" s="23" t="inlineStr">
        <is>
          <t>TI</t>
        </is>
      </c>
      <c r="C29" s="23" t="inlineStr">
        <is>
          <t>Spencer Anderson</t>
        </is>
      </c>
      <c r="D29" s="23" t="inlineStr">
        <is>
          <t>The Peterson Company, LLC</t>
        </is>
      </c>
      <c r="E29" s="24" t="n">
        <v>294700</v>
      </c>
      <c r="F29" s="25" t="n">
        <v>0.2205</v>
      </c>
      <c r="G29" s="25" t="n">
        <v>0.0001</v>
      </c>
      <c r="H29" s="25" t="n">
        <v>0.4399</v>
      </c>
      <c r="I29" s="25" t="n">
        <v>-0.4397</v>
      </c>
      <c r="J29" s="24" t="n">
        <v>64981.35</v>
      </c>
      <c r="K29" s="24" t="n">
        <v>0</v>
      </c>
      <c r="L29" s="2" t="n"/>
      <c r="M29" s="2" t="n"/>
      <c r="N29" s="2" t="n"/>
      <c r="O29" s="2" t="n"/>
    </row>
    <row r="30">
      <c r="A30" s="23" t="inlineStr">
        <is>
          <t>2025.1023 Vikan Products BTS</t>
        </is>
      </c>
      <c r="B30" s="23" t="inlineStr">
        <is>
          <t>TI</t>
        </is>
      </c>
      <c r="C30" s="23" t="inlineStr">
        <is>
          <t>Cole Garriott</t>
        </is>
      </c>
      <c r="D30" s="23" t="inlineStr">
        <is>
          <t>The Peterson Company, LLC</t>
        </is>
      </c>
      <c r="E30" s="24" t="n">
        <v>734790</v>
      </c>
      <c r="F30" s="25" t="n">
        <v>0.8411</v>
      </c>
      <c r="G30" s="25" t="n">
        <v>0.0001</v>
      </c>
      <c r="H30" s="25" t="n">
        <v>0.4382</v>
      </c>
      <c r="I30" s="25" t="n">
        <v>-0.4381</v>
      </c>
      <c r="J30" s="24" t="n">
        <v>-43279.12</v>
      </c>
      <c r="K30" s="24" t="n">
        <v>293268.15</v>
      </c>
      <c r="L30" s="2" t="n"/>
      <c r="M30" s="2" t="n"/>
      <c r="N30" s="2" t="n"/>
      <c r="O30" s="2" t="n"/>
    </row>
    <row r="31">
      <c r="A31" s="23" t="inlineStr">
        <is>
          <t>2025.979 Groundbreakers</t>
        </is>
      </c>
      <c r="B31" s="23" t="inlineStr">
        <is>
          <t>TI</t>
        </is>
      </c>
      <c r="C31" s="23" t="inlineStr">
        <is>
          <t>Trevor Anderson</t>
        </is>
      </c>
      <c r="D31" s="23" t="inlineStr">
        <is>
          <t>Patch Development</t>
        </is>
      </c>
      <c r="E31" s="24" t="n">
        <v>288504.91</v>
      </c>
      <c r="F31" s="25" t="n">
        <v>1</v>
      </c>
      <c r="G31" s="25" t="n">
        <v>0.0002</v>
      </c>
      <c r="H31" s="25" t="n">
        <v>0.4373</v>
      </c>
      <c r="I31" s="25" t="n">
        <v>-0.4372</v>
      </c>
      <c r="J31" s="24" t="n">
        <v>839.51</v>
      </c>
      <c r="K31" s="24" t="n">
        <v>0</v>
      </c>
      <c r="L31" s="2" t="n"/>
      <c r="M31" s="2" t="n"/>
      <c r="N31" s="2" t="n"/>
      <c r="O31" s="2" t="n"/>
    </row>
    <row r="32">
      <c r="A32" s="23" t="inlineStr">
        <is>
          <t>2026.1040 Lakeside Books</t>
        </is>
      </c>
      <c r="B32" s="23" t="inlineStr">
        <is>
          <t>TI</t>
        </is>
      </c>
      <c r="C32" s="23" t="inlineStr">
        <is>
          <t>Trevor Anderson</t>
        </is>
      </c>
      <c r="D32" s="23" t="inlineStr">
        <is>
          <t>The Peterson Company, LLC</t>
        </is>
      </c>
      <c r="E32" s="24" t="n">
        <v>10020</v>
      </c>
      <c r="F32" s="25" t="n">
        <v>1</v>
      </c>
      <c r="G32" s="25" t="n">
        <v>0.0044</v>
      </c>
      <c r="H32" s="25" t="n">
        <v>0.4408</v>
      </c>
      <c r="I32" s="25" t="n">
        <v>-0.4364</v>
      </c>
      <c r="J32" s="24" t="n">
        <v>0</v>
      </c>
      <c r="K32" s="24" t="n">
        <v>10020</v>
      </c>
      <c r="L32" s="2" t="n"/>
      <c r="M32" s="2" t="n"/>
      <c r="N32" s="2" t="n"/>
      <c r="O32" s="2" t="n"/>
    </row>
    <row r="33">
      <c r="A33" s="23" t="inlineStr">
        <is>
          <t>2026.1047 Springdale Building 4 Demising Walls</t>
        </is>
      </c>
      <c r="B33" s="23" t="inlineStr">
        <is>
          <t>TI</t>
        </is>
      </c>
      <c r="C33" s="23" t="inlineStr">
        <is>
          <t>Tommy Cohoat</t>
        </is>
      </c>
      <c r="D33" s="23" t="inlineStr">
        <is>
          <t>The Peterson Company, LLC</t>
        </is>
      </c>
      <c r="E33" s="24" t="n">
        <v>148800</v>
      </c>
      <c r="F33" s="25" t="n">
        <v>0.8235</v>
      </c>
      <c r="G33" s="25" t="n">
        <v>0.0003</v>
      </c>
      <c r="H33" s="25" t="n">
        <v>0.4281</v>
      </c>
      <c r="I33" s="25" t="n">
        <v>-0.4278</v>
      </c>
      <c r="J33" s="24" t="n">
        <v>-26263.2</v>
      </c>
      <c r="K33" s="24" t="n">
        <v>148800</v>
      </c>
      <c r="L33" s="2" t="n"/>
      <c r="M33" s="2" t="n"/>
      <c r="N33" s="2" t="n"/>
      <c r="O33" s="2" t="n"/>
    </row>
    <row r="34">
      <c r="A34" s="23" t="inlineStr">
        <is>
          <t>2025.1013 Lucas Oil Corydon</t>
        </is>
      </c>
      <c r="B34" s="23" t="inlineStr">
        <is>
          <t>TI</t>
        </is>
      </c>
      <c r="C34" s="23" t="inlineStr">
        <is>
          <t>Shawn Welcher</t>
        </is>
      </c>
      <c r="D34" s="23" t="inlineStr">
        <is>
          <t>Meyer Najem</t>
        </is>
      </c>
      <c r="E34" s="24" t="n">
        <v>103243.16</v>
      </c>
      <c r="F34" s="25" t="n">
        <v>1</v>
      </c>
      <c r="G34" s="25" t="n">
        <v>0.0004</v>
      </c>
      <c r="H34" s="25" t="n">
        <v>0.4252</v>
      </c>
      <c r="I34" s="25" t="n">
        <v>-0.4248</v>
      </c>
      <c r="J34" s="24" t="n">
        <v>3243.16</v>
      </c>
      <c r="K34" s="24" t="n">
        <v>100000</v>
      </c>
      <c r="L34" s="2" t="n"/>
      <c r="M34" s="2" t="n"/>
      <c r="N34" s="2" t="n"/>
      <c r="O34" s="2" t="n"/>
    </row>
    <row r="35">
      <c r="A35" s="23" t="inlineStr">
        <is>
          <t>2024.913 Walmart Phoenix</t>
        </is>
      </c>
      <c r="B35" s="23" t="inlineStr">
        <is>
          <t>TI</t>
        </is>
      </c>
      <c r="C35" s="23" t="inlineStr">
        <is>
          <t>Cole Garriott</t>
        </is>
      </c>
      <c r="D35" s="23" t="inlineStr">
        <is>
          <t>DEEM, LLC</t>
        </is>
      </c>
      <c r="E35" s="24" t="n">
        <v>2945439.34</v>
      </c>
      <c r="F35" s="25" t="n">
        <v>0.9459</v>
      </c>
      <c r="G35" s="25" t="n">
        <v>0</v>
      </c>
      <c r="H35" s="25" t="n">
        <v>0.4215</v>
      </c>
      <c r="I35" s="25" t="n">
        <v>-0.4215</v>
      </c>
      <c r="J35" s="24" t="n">
        <v>253838.16</v>
      </c>
      <c r="K35" s="24" t="n">
        <v>28912.51</v>
      </c>
      <c r="L35" s="2" t="n"/>
      <c r="M35" s="2" t="n"/>
      <c r="N35" s="2" t="n"/>
      <c r="O35" s="2" t="n"/>
    </row>
    <row r="36">
      <c r="A36" s="23" t="inlineStr">
        <is>
          <t>2022.639 Radial TI - Avon Building 2</t>
        </is>
      </c>
      <c r="B36" s="23" t="inlineStr">
        <is>
          <t>TI</t>
        </is>
      </c>
      <c r="C36" s="23" t="inlineStr">
        <is>
          <t>Tommy Cohoat</t>
        </is>
      </c>
      <c r="D36" s="23" t="inlineStr">
        <is>
          <t>The Peterson Company, LLC</t>
        </is>
      </c>
      <c r="E36" s="24" t="n">
        <v>758779</v>
      </c>
      <c r="F36" s="25" t="n">
        <v>1.1673</v>
      </c>
      <c r="G36" s="25" t="n">
        <v>0.0001</v>
      </c>
      <c r="H36" s="25" t="n">
        <v>0.4194</v>
      </c>
      <c r="I36" s="25" t="n">
        <v>-0.4194</v>
      </c>
      <c r="J36" s="24" t="n">
        <v>126943.73</v>
      </c>
      <c r="K36" s="24" t="n">
        <v>0</v>
      </c>
      <c r="L36" s="2" t="n"/>
      <c r="M36" s="2" t="n"/>
      <c r="N36" s="2" t="n"/>
      <c r="O36" s="2" t="n"/>
    </row>
    <row r="37">
      <c r="A37" s="23" t="inlineStr">
        <is>
          <t>2026.1045 First OnSite (Ameriplex)</t>
        </is>
      </c>
      <c r="B37" s="23" t="inlineStr">
        <is>
          <t>TI</t>
        </is>
      </c>
      <c r="C37" s="23" t="inlineStr">
        <is>
          <t>Spencer Anderson</t>
        </is>
      </c>
      <c r="D37" s="23" t="inlineStr">
        <is>
          <t>Holladay Construction Group</t>
        </is>
      </c>
      <c r="E37" s="24" t="n">
        <v>128000</v>
      </c>
      <c r="F37" s="25" t="n">
        <v>1.1071</v>
      </c>
      <c r="G37" s="25" t="n">
        <v>0.0003</v>
      </c>
      <c r="H37" s="25" t="n">
        <v>0.419</v>
      </c>
      <c r="I37" s="25" t="n">
        <v>-0.4187</v>
      </c>
      <c r="J37" s="24" t="n">
        <v>13708.8</v>
      </c>
      <c r="K37" s="24" t="n">
        <v>95060</v>
      </c>
      <c r="L37" s="2" t="n"/>
      <c r="M37" s="2" t="n"/>
      <c r="N37" s="2" t="n"/>
      <c r="O37" s="2" t="n"/>
    </row>
    <row r="38">
      <c r="A38" s="23" t="inlineStr">
        <is>
          <t>2025.1028 Northpoint</t>
        </is>
      </c>
      <c r="B38" s="23" t="inlineStr">
        <is>
          <t>TI</t>
        </is>
      </c>
      <c r="C38" s="23" t="inlineStr">
        <is>
          <t>Trevor Anderson</t>
        </is>
      </c>
      <c r="D38" s="23" t="inlineStr">
        <is>
          <t>Patch Development</t>
        </is>
      </c>
      <c r="E38" s="24" t="n">
        <v>243696</v>
      </c>
      <c r="F38" s="25" t="n">
        <v>0.4916</v>
      </c>
      <c r="G38" s="25" t="n">
        <v>0.0002</v>
      </c>
      <c r="H38" s="25" t="n">
        <v>0.4188</v>
      </c>
      <c r="I38" s="25" t="n">
        <v>-0.4187</v>
      </c>
      <c r="J38" s="24" t="n">
        <v>102385.95</v>
      </c>
      <c r="K38" s="24" t="n">
        <v>0</v>
      </c>
      <c r="L38" s="2" t="n"/>
      <c r="M38" s="2" t="n"/>
      <c r="N38" s="2" t="n"/>
      <c r="O38" s="2" t="n"/>
    </row>
    <row r="39">
      <c r="A39" s="23" t="inlineStr">
        <is>
          <t>MF.2025.1019 Town &amp; Country Apartments (NY MF Project - 22 bldgs)</t>
        </is>
      </c>
      <c r="B39" s="23" t="inlineStr">
        <is>
          <t>MF</t>
        </is>
      </c>
      <c r="C39" s="23" t="inlineStr">
        <is>
          <t>Kelden Tyson</t>
        </is>
      </c>
      <c r="D39" s="23" t="inlineStr">
        <is>
          <t>Marous Brothers Construction</t>
        </is>
      </c>
      <c r="E39" s="24" t="n">
        <v>8064307.39</v>
      </c>
      <c r="F39" s="25" t="n">
        <v>0.3523</v>
      </c>
      <c r="G39" s="25" t="n">
        <v>0</v>
      </c>
      <c r="H39" s="25" t="n">
        <v>0.4151</v>
      </c>
      <c r="I39" s="25" t="n">
        <v>-0.4151</v>
      </c>
      <c r="J39" s="24" t="n">
        <v>257210.76</v>
      </c>
      <c r="K39" s="24" t="n">
        <v>555463.41</v>
      </c>
      <c r="L39" s="2" t="n"/>
      <c r="M39" s="2" t="n"/>
      <c r="N39" s="2" t="n"/>
      <c r="O39" s="2" t="n"/>
    </row>
    <row r="40">
      <c r="A40" s="23" t="inlineStr">
        <is>
          <t>2023.843 Walmart Frederick</t>
        </is>
      </c>
      <c r="B40" s="23" t="inlineStr">
        <is>
          <t>TI</t>
        </is>
      </c>
      <c r="C40" s="23" t="inlineStr">
        <is>
          <t>Cole Garriott</t>
        </is>
      </c>
      <c r="D40" s="23" t="inlineStr">
        <is>
          <t>DEEM, LLC</t>
        </is>
      </c>
      <c r="E40" s="24" t="n">
        <v>2978233.94</v>
      </c>
      <c r="F40" s="25" t="n">
        <v>1</v>
      </c>
      <c r="G40" s="25" t="n">
        <v>0</v>
      </c>
      <c r="H40" s="25" t="n">
        <v>0.4146</v>
      </c>
      <c r="I40" s="25" t="n">
        <v>-0.4146</v>
      </c>
      <c r="J40" s="24" t="n">
        <v>0</v>
      </c>
      <c r="K40" s="24" t="n">
        <v>0</v>
      </c>
      <c r="L40" s="2" t="n"/>
      <c r="M40" s="2" t="n"/>
      <c r="N40" s="2" t="n"/>
      <c r="O40" s="2" t="n"/>
    </row>
    <row r="41">
      <c r="A41" s="23" t="inlineStr">
        <is>
          <t>2026.1036 Port Laredo Trade Center</t>
        </is>
      </c>
      <c r="B41" s="23" t="inlineStr">
        <is>
          <t>TI</t>
        </is>
      </c>
      <c r="C41" s="23" t="inlineStr">
        <is>
          <t>Ben Garza</t>
        </is>
      </c>
      <c r="D41" s="23" t="inlineStr">
        <is>
          <t>ARCO Design/Build</t>
        </is>
      </c>
      <c r="E41" s="24" t="n">
        <v>108475</v>
      </c>
      <c r="F41" s="25" t="n">
        <v>1</v>
      </c>
      <c r="G41" s="25" t="n">
        <v>0.0004</v>
      </c>
      <c r="H41" s="25" t="n">
        <v>0.4141</v>
      </c>
      <c r="I41" s="25" t="n">
        <v>-0.4138</v>
      </c>
      <c r="J41" s="24" t="n">
        <v>0</v>
      </c>
      <c r="K41" s="24" t="n">
        <v>108475</v>
      </c>
      <c r="L41" s="2" t="n"/>
      <c r="M41" s="2" t="n"/>
      <c r="N41" s="2" t="n"/>
      <c r="O41" s="2" t="n"/>
    </row>
    <row r="42">
      <c r="A42" s="23" t="inlineStr">
        <is>
          <t>2025.1001 Evolve Transporters</t>
        </is>
      </c>
      <c r="B42" s="23" t="inlineStr">
        <is>
          <t>TI</t>
        </is>
      </c>
      <c r="C42" s="23" t="inlineStr">
        <is>
          <t>Cole Garriott</t>
        </is>
      </c>
      <c r="D42" s="23" t="inlineStr">
        <is>
          <t>Compass Commercial Construction Group</t>
        </is>
      </c>
      <c r="E42" s="24" t="n">
        <v>1317620</v>
      </c>
      <c r="F42" s="25" t="n">
        <v>1.0102</v>
      </c>
      <c r="G42" s="25" t="n">
        <v>0</v>
      </c>
      <c r="H42" s="25" t="n">
        <v>0.4022</v>
      </c>
      <c r="I42" s="25" t="n">
        <v>-0.4022</v>
      </c>
      <c r="J42" s="24" t="n">
        <v>13439.72</v>
      </c>
      <c r="K42" s="24" t="n">
        <v>133103</v>
      </c>
      <c r="L42" s="2" t="n"/>
      <c r="M42" s="2" t="n"/>
      <c r="N42" s="2" t="n"/>
      <c r="O42" s="2" t="n"/>
    </row>
    <row r="43">
      <c r="A43" s="23" t="inlineStr">
        <is>
          <t>MF.2025.1007 The Approach</t>
        </is>
      </c>
      <c r="B43" s="23" t="inlineStr">
        <is>
          <t>MF</t>
        </is>
      </c>
      <c r="C43" s="23" t="inlineStr">
        <is>
          <t>Kelden Tyson</t>
        </is>
      </c>
      <c r="D43" s="23" t="inlineStr">
        <is>
          <t>KCG</t>
        </is>
      </c>
      <c r="E43" s="24" t="n">
        <v>5643379.34</v>
      </c>
      <c r="F43" s="25" t="n">
        <v>0.0005999999999999999</v>
      </c>
      <c r="G43" s="25" t="n">
        <v>0</v>
      </c>
      <c r="H43" s="25" t="n">
        <v>0.4018</v>
      </c>
      <c r="I43" s="25" t="n">
        <v>-0.4018</v>
      </c>
      <c r="J43" s="24" t="n">
        <v>3386.03</v>
      </c>
      <c r="K43" s="24" t="n">
        <v>0</v>
      </c>
      <c r="L43" s="2" t="n"/>
      <c r="M43" s="2" t="n"/>
      <c r="N43" s="2" t="n"/>
      <c r="O43" s="2" t="n"/>
    </row>
    <row r="44">
      <c r="A44" s="23" t="inlineStr">
        <is>
          <t>2026.1042 SND2 at ILP Bldg IV Whitestown</t>
        </is>
      </c>
      <c r="B44" s="23" t="inlineStr">
        <is>
          <t>TI</t>
        </is>
      </c>
      <c r="C44" s="23" t="inlineStr">
        <is>
          <t>Trevor Anderson</t>
        </is>
      </c>
      <c r="D44" s="23" t="inlineStr">
        <is>
          <t>Compass Commercial Construction Group</t>
        </is>
      </c>
      <c r="E44" s="24" t="n">
        <v>443007.26</v>
      </c>
      <c r="F44" s="25" t="n">
        <v>0.5414</v>
      </c>
      <c r="G44" s="25" t="n">
        <v>0.0001</v>
      </c>
      <c r="H44" s="25" t="n">
        <v>0.3969</v>
      </c>
      <c r="I44" s="25" t="n">
        <v>-0.3968</v>
      </c>
      <c r="J44" s="24" t="n">
        <v>-116883.21</v>
      </c>
      <c r="K44" s="24" t="n">
        <v>192058.3</v>
      </c>
      <c r="L44" s="2" t="n"/>
      <c r="M44" s="2" t="n"/>
      <c r="N44" s="2" t="n"/>
      <c r="O44" s="2" t="n"/>
    </row>
    <row r="45">
      <c r="A45" s="23" t="inlineStr">
        <is>
          <t>2025.966 C5 Bullitt III Logistics Center Warehouse</t>
        </is>
      </c>
      <c r="B45" s="23" t="inlineStr">
        <is>
          <t>TI</t>
        </is>
      </c>
      <c r="C45" s="23" t="inlineStr">
        <is>
          <t>Trevor Anderson</t>
        </is>
      </c>
      <c r="D45" s="23" t="inlineStr">
        <is>
          <t>The Peterson Company, LLC</t>
        </is>
      </c>
      <c r="E45" s="24" t="n">
        <v>415930</v>
      </c>
      <c r="F45" s="25" t="n">
        <v>1.0012</v>
      </c>
      <c r="G45" s="25" t="n">
        <v>0.0001</v>
      </c>
      <c r="H45" s="25" t="n">
        <v>0.3915</v>
      </c>
      <c r="I45" s="25" t="n">
        <v>-0.3914</v>
      </c>
      <c r="J45" s="24" t="n">
        <v>499.12</v>
      </c>
      <c r="K45" s="24" t="n">
        <v>0</v>
      </c>
      <c r="L45" s="2" t="n"/>
      <c r="M45" s="2" t="n"/>
      <c r="N45" s="2" t="n"/>
      <c r="O45" s="2" t="n"/>
    </row>
    <row r="46">
      <c r="A46" s="23" t="inlineStr">
        <is>
          <t>2022.617 The Junction Phase II</t>
        </is>
      </c>
      <c r="B46" s="23" t="inlineStr">
        <is>
          <t>TI</t>
        </is>
      </c>
      <c r="C46" s="23" t="inlineStr">
        <is>
          <t>Ted Wells</t>
        </is>
      </c>
      <c r="D46" s="23" t="inlineStr">
        <is>
          <t>EquiTeam LLC</t>
        </is>
      </c>
      <c r="E46" s="24" t="n">
        <v>304058.89</v>
      </c>
      <c r="F46" s="25" t="n">
        <v>1</v>
      </c>
      <c r="G46" s="25" t="n">
        <v>0.0001</v>
      </c>
      <c r="H46" s="25" t="n">
        <v>0.3904</v>
      </c>
      <c r="I46" s="25" t="n">
        <v>-0.3902</v>
      </c>
      <c r="J46" s="24" t="n">
        <v>0</v>
      </c>
      <c r="K46" s="24" t="n">
        <v>0</v>
      </c>
      <c r="L46" s="2" t="n"/>
      <c r="M46" s="2" t="n"/>
      <c r="N46" s="2" t="n"/>
      <c r="O46" s="2" t="n"/>
    </row>
    <row r="47">
      <c r="A47" s="23" t="inlineStr">
        <is>
          <t>2026.1056 Senator Banks Office</t>
        </is>
      </c>
      <c r="B47" s="23" t="inlineStr">
        <is>
          <t>TI</t>
        </is>
      </c>
      <c r="C47" s="23" t="inlineStr">
        <is>
          <t>Dustin Hurt</t>
        </is>
      </c>
      <c r="D47" s="23" t="inlineStr">
        <is>
          <t>BW Facility Management, LLC</t>
        </is>
      </c>
      <c r="E47" s="24" t="n">
        <v>47609</v>
      </c>
      <c r="F47" s="25" t="n">
        <v>0.3124</v>
      </c>
      <c r="G47" s="25" t="n">
        <v>0.0008</v>
      </c>
      <c r="H47" s="25" t="n">
        <v>0.3902</v>
      </c>
      <c r="I47" s="25" t="n">
        <v>-0.3894</v>
      </c>
      <c r="J47" s="24" t="n">
        <v>-19570.96</v>
      </c>
      <c r="K47" s="24" t="n">
        <v>34444.01</v>
      </c>
      <c r="L47" s="2" t="n"/>
      <c r="M47" s="2" t="n"/>
      <c r="N47" s="2" t="n"/>
      <c r="O47" s="2" t="n"/>
    </row>
    <row r="48">
      <c r="A48" s="23" t="inlineStr">
        <is>
          <t>2026.1046 Automatic Distributors (Park 130 Bldg 6)</t>
        </is>
      </c>
      <c r="B48" s="23" t="inlineStr">
        <is>
          <t>TI</t>
        </is>
      </c>
      <c r="C48" s="23" t="inlineStr">
        <is>
          <t>Cole Garriott</t>
        </is>
      </c>
      <c r="D48" s="23" t="inlineStr">
        <is>
          <t>The Peterson Company, LLC</t>
        </is>
      </c>
      <c r="E48" s="24" t="n">
        <v>171900</v>
      </c>
      <c r="F48" s="25" t="n">
        <v>0.6076</v>
      </c>
      <c r="G48" s="25" t="n">
        <v>0.0002</v>
      </c>
      <c r="H48" s="25" t="n">
        <v>0.3851</v>
      </c>
      <c r="I48" s="25" t="n">
        <v>-0.3849</v>
      </c>
      <c r="J48" s="24" t="n">
        <v>-50263.56</v>
      </c>
      <c r="K48" s="24" t="n">
        <v>122013</v>
      </c>
      <c r="L48" s="2" t="n"/>
      <c r="M48" s="2" t="n"/>
      <c r="N48" s="2" t="n"/>
      <c r="O48" s="2" t="n"/>
    </row>
    <row r="49">
      <c r="A49" s="23" t="inlineStr">
        <is>
          <t>2025.1011 Airport South Logistics Bldg. A</t>
        </is>
      </c>
      <c r="B49" s="23" t="inlineStr">
        <is>
          <t>TI</t>
        </is>
      </c>
      <c r="C49" s="23" t="inlineStr">
        <is>
          <t>Spencer Anderson</t>
        </is>
      </c>
      <c r="D49" s="23" t="inlineStr">
        <is>
          <t>ARCO Design/Build</t>
        </is>
      </c>
      <c r="E49" s="24" t="n">
        <v>134480</v>
      </c>
      <c r="F49" s="25" t="n">
        <v>0.0005</v>
      </c>
      <c r="G49" s="25" t="n">
        <v>0.0003</v>
      </c>
      <c r="H49" s="25" t="n">
        <v>0.3843</v>
      </c>
      <c r="I49" s="25" t="n">
        <v>-0.384</v>
      </c>
      <c r="J49" s="24" t="n">
        <v>67.23999999999999</v>
      </c>
      <c r="K49" s="24" t="n">
        <v>0</v>
      </c>
      <c r="L49" s="2" t="n"/>
      <c r="M49" s="2" t="n"/>
      <c r="N49" s="2" t="n"/>
      <c r="O49" s="2" t="n"/>
    </row>
    <row r="50">
      <c r="A50" s="23" t="inlineStr">
        <is>
          <t>2024.912 Upland Columbus</t>
        </is>
      </c>
      <c r="B50" s="23" t="inlineStr">
        <is>
          <t>TI</t>
        </is>
      </c>
      <c r="C50" s="23" t="inlineStr">
        <is>
          <t>Tommy Cohoat</t>
        </is>
      </c>
      <c r="D50" s="23" t="inlineStr">
        <is>
          <t>Bischoff Construction, LLC</t>
        </is>
      </c>
      <c r="E50" s="24" t="n">
        <v>116545</v>
      </c>
      <c r="F50" s="25" t="n">
        <v>0.994</v>
      </c>
      <c r="G50" s="25" t="n">
        <v>0.0003</v>
      </c>
      <c r="H50" s="25" t="n">
        <v>0.3717</v>
      </c>
      <c r="I50" s="25" t="n">
        <v>-0.3714</v>
      </c>
      <c r="J50" s="24" t="n">
        <v>-699.27</v>
      </c>
      <c r="K50" s="24" t="n">
        <v>2020</v>
      </c>
      <c r="L50" s="2" t="n"/>
      <c r="M50" s="2" t="n"/>
      <c r="N50" s="2" t="n"/>
      <c r="O50" s="2" t="n"/>
    </row>
    <row r="51">
      <c r="A51" s="23" t="inlineStr">
        <is>
          <t>2022.690 Klarity, Mind, &amp; Body</t>
        </is>
      </c>
      <c r="B51" s="23" t="inlineStr">
        <is>
          <t>TI</t>
        </is>
      </c>
      <c r="C51" s="23" t="inlineStr">
        <is>
          <t>Ted Wells</t>
        </is>
      </c>
      <c r="D51" s="23" t="inlineStr">
        <is>
          <t>EquiTeam LLC</t>
        </is>
      </c>
      <c r="E51" s="24" t="n">
        <v>66336.42</v>
      </c>
      <c r="F51" s="25" t="n">
        <v>0.8751</v>
      </c>
      <c r="G51" s="25" t="n">
        <v>0.0005999999999999999</v>
      </c>
      <c r="H51" s="25" t="n">
        <v>0.3668</v>
      </c>
      <c r="I51" s="25" t="n">
        <v>-0.3662</v>
      </c>
      <c r="J51" s="24" t="n">
        <v>-8285.43</v>
      </c>
      <c r="K51" s="24" t="n">
        <v>0</v>
      </c>
      <c r="L51" s="2" t="n"/>
      <c r="M51" s="2" t="n"/>
      <c r="N51" s="2" t="n"/>
      <c r="O51" s="2" t="n"/>
    </row>
    <row r="52">
      <c r="A52" s="23" t="inlineStr">
        <is>
          <t>2026.1033 Avon Demising Wall</t>
        </is>
      </c>
      <c r="B52" s="23" t="inlineStr">
        <is>
          <t>TI</t>
        </is>
      </c>
      <c r="C52" s="23" t="inlineStr">
        <is>
          <t>Ben Garza</t>
        </is>
      </c>
      <c r="D52" s="23" t="inlineStr">
        <is>
          <t>The Peterson Company, LLC</t>
        </is>
      </c>
      <c r="E52" s="24" t="n">
        <v>181500</v>
      </c>
      <c r="F52" s="25" t="n">
        <v>1</v>
      </c>
      <c r="G52" s="25" t="n">
        <v>0.0002</v>
      </c>
      <c r="H52" s="25" t="n">
        <v>0.3514</v>
      </c>
      <c r="I52" s="25" t="n">
        <v>-0.3513</v>
      </c>
      <c r="J52" s="24" t="n">
        <v>0</v>
      </c>
      <c r="K52" s="24" t="n">
        <v>181500</v>
      </c>
      <c r="L52" s="2" t="n"/>
      <c r="M52" s="2" t="n"/>
      <c r="N52" s="2" t="n"/>
      <c r="O52" s="2" t="n"/>
    </row>
    <row r="53">
      <c r="A53" s="23" t="inlineStr">
        <is>
          <t>2025.994 Stotan Port Laredo Spec Offices</t>
        </is>
      </c>
      <c r="B53" s="23" t="inlineStr">
        <is>
          <t>TI</t>
        </is>
      </c>
      <c r="C53" s="23" t="inlineStr">
        <is>
          <t>Ben Garza</t>
        </is>
      </c>
      <c r="D53" s="23" t="inlineStr">
        <is>
          <t>ARCO Design/Build</t>
        </is>
      </c>
      <c r="E53" s="24" t="n">
        <v>699328</v>
      </c>
      <c r="F53" s="25" t="n">
        <v>1</v>
      </c>
      <c r="G53" s="25" t="n">
        <v>0.0001</v>
      </c>
      <c r="H53" s="25" t="n">
        <v>0.3508</v>
      </c>
      <c r="I53" s="25" t="n">
        <v>-0.3507</v>
      </c>
      <c r="J53" s="24" t="n">
        <v>0</v>
      </c>
      <c r="K53" s="24" t="n">
        <v>114932.8</v>
      </c>
      <c r="L53" s="2" t="n"/>
      <c r="M53" s="2" t="n"/>
      <c r="N53" s="2" t="n"/>
      <c r="O53" s="2" t="n"/>
    </row>
    <row r="54">
      <c r="A54" s="23" t="inlineStr">
        <is>
          <t>2024.869 Prospect Lake Clean Water Center</t>
        </is>
      </c>
      <c r="B54" s="23" t="inlineStr">
        <is>
          <t>TI</t>
        </is>
      </c>
      <c r="C54" s="23" t="inlineStr">
        <is>
          <t>Cole Garriott</t>
        </is>
      </c>
      <c r="D54" s="23" t="inlineStr">
        <is>
          <t>Patterson Horth, Inc.</t>
        </is>
      </c>
      <c r="E54" s="24" t="n">
        <v>427542</v>
      </c>
      <c r="F54" s="25" t="n">
        <v>1</v>
      </c>
      <c r="G54" s="25" t="n">
        <v>0.0001</v>
      </c>
      <c r="H54" s="25" t="n">
        <v>0.3461</v>
      </c>
      <c r="I54" s="25" t="n">
        <v>-0.346</v>
      </c>
      <c r="J54" s="24" t="n">
        <v>0</v>
      </c>
      <c r="K54" s="24" t="n">
        <v>42754.2</v>
      </c>
      <c r="L54" s="2" t="n"/>
      <c r="M54" s="2" t="n"/>
      <c r="N54" s="2" t="n"/>
      <c r="O54" s="2" t="n"/>
    </row>
    <row r="55">
      <c r="A55" s="23" t="inlineStr">
        <is>
          <t>MF.2025.989-1 Springdale Cinema - Paint</t>
        </is>
      </c>
      <c r="B55" s="23" t="inlineStr">
        <is>
          <t>MF</t>
        </is>
      </c>
      <c r="C55" s="23" t="inlineStr">
        <is>
          <t>Ben Garza</t>
        </is>
      </c>
      <c r="D55" s="23" t="inlineStr">
        <is>
          <t>MILHAUS Construction</t>
        </is>
      </c>
      <c r="E55" s="24" t="n">
        <v>875000</v>
      </c>
      <c r="F55" s="25" t="n">
        <v>0.7506</v>
      </c>
      <c r="G55" s="25" t="n">
        <v>0</v>
      </c>
      <c r="H55" s="25" t="n">
        <v>0.3368</v>
      </c>
      <c r="I55" s="25" t="n">
        <v>-0.3368</v>
      </c>
      <c r="J55" s="24" t="n">
        <v>49725</v>
      </c>
      <c r="K55" s="24" t="n">
        <v>551610</v>
      </c>
      <c r="L55" s="2" t="n"/>
      <c r="M55" s="2" t="n"/>
      <c r="N55" s="2" t="n"/>
      <c r="O55" s="2" t="n"/>
    </row>
    <row r="56">
      <c r="A56" s="23" t="inlineStr">
        <is>
          <t>MF.2026.1050 AC Hotel</t>
        </is>
      </c>
      <c r="B56" s="23" t="inlineStr">
        <is>
          <t>MF</t>
        </is>
      </c>
      <c r="C56" s="23" t="inlineStr">
        <is>
          <t>Ben Garza</t>
        </is>
      </c>
      <c r="D56" s="23" t="inlineStr">
        <is>
          <t>Holladay Construction Group</t>
        </is>
      </c>
      <c r="E56" s="24" t="n">
        <v>1244040</v>
      </c>
      <c r="F56" s="25" t="n">
        <v>0.2098</v>
      </c>
      <c r="G56" s="25" t="n">
        <v>0</v>
      </c>
      <c r="H56" s="25" t="n">
        <v>0.327</v>
      </c>
      <c r="I56" s="25" t="n">
        <v>-0.3269</v>
      </c>
      <c r="J56" s="24" t="n">
        <v>58348.92</v>
      </c>
      <c r="K56" s="24" t="n">
        <v>202650.67</v>
      </c>
      <c r="L56" s="2" t="n"/>
      <c r="M56" s="2" t="n"/>
      <c r="N56" s="2" t="n"/>
      <c r="O56" s="2" t="n"/>
    </row>
    <row r="57">
      <c r="A57" s="23" t="inlineStr">
        <is>
          <t>MF.2025.975 The Eleven - Monon Square</t>
        </is>
      </c>
      <c r="B57" s="23" t="inlineStr">
        <is>
          <t>MF</t>
        </is>
      </c>
      <c r="C57" s="23" t="inlineStr">
        <is>
          <t>Shawn Welcher</t>
        </is>
      </c>
      <c r="D57" s="23" t="inlineStr">
        <is>
          <t>Centric Projects, LLC</t>
        </is>
      </c>
      <c r="E57" s="24" t="n">
        <v>465610</v>
      </c>
      <c r="F57" s="25" t="n">
        <v>0.1998</v>
      </c>
      <c r="G57" s="25" t="n">
        <v>0.0001</v>
      </c>
      <c r="H57" s="25" t="n">
        <v>0.3144</v>
      </c>
      <c r="I57" s="25" t="n">
        <v>-0.3143</v>
      </c>
      <c r="J57" s="24" t="n">
        <v>-159182.53</v>
      </c>
      <c r="K57" s="24" t="n">
        <v>252211.41</v>
      </c>
      <c r="L57" s="2" t="n"/>
      <c r="M57" s="2" t="n"/>
      <c r="N57" s="2" t="n"/>
      <c r="O57" s="2" t="n"/>
    </row>
    <row r="58">
      <c r="A58" s="23" t="inlineStr">
        <is>
          <t>2025.1032 65 Commerce Park Building 7</t>
        </is>
      </c>
      <c r="B58" s="23" t="inlineStr">
        <is>
          <t>TI</t>
        </is>
      </c>
      <c r="C58" s="23" t="inlineStr">
        <is>
          <t>Trevor Anderson</t>
        </is>
      </c>
      <c r="D58" s="23" t="inlineStr">
        <is>
          <t>Compass Commercial Construction Group</t>
        </is>
      </c>
      <c r="E58" s="24" t="n">
        <v>133900</v>
      </c>
      <c r="F58" s="25" t="n">
        <v>0.8877</v>
      </c>
      <c r="G58" s="25" t="n">
        <v>0.0002</v>
      </c>
      <c r="H58" s="25" t="n">
        <v>0.3127</v>
      </c>
      <c r="I58" s="25" t="n">
        <v>-0.3125</v>
      </c>
      <c r="J58" s="24" t="n">
        <v>47548.83</v>
      </c>
      <c r="K58" s="24" t="n">
        <v>71314.2</v>
      </c>
      <c r="L58" s="2" t="n"/>
      <c r="M58" s="2" t="n"/>
      <c r="N58" s="2" t="n"/>
      <c r="O58" s="2" t="n"/>
    </row>
    <row r="59">
      <c r="A59" s="23" t="inlineStr">
        <is>
          <t>2023.847 Ireland Home</t>
        </is>
      </c>
      <c r="B59" s="23" t="inlineStr">
        <is>
          <t>TI</t>
        </is>
      </c>
      <c r="C59" s="23" t="inlineStr">
        <is>
          <t>Tommy Cohoat</t>
        </is>
      </c>
      <c r="D59" s="23" t="inlineStr">
        <is>
          <t>Bischoff Construction, LLC</t>
        </is>
      </c>
      <c r="E59" s="24" t="n">
        <v>52636.92</v>
      </c>
      <c r="F59" s="25" t="n">
        <v>1.1123</v>
      </c>
      <c r="G59" s="25" t="n">
        <v>0.0005999999999999999</v>
      </c>
      <c r="H59" s="25" t="n">
        <v>0.3095</v>
      </c>
      <c r="I59" s="25" t="n">
        <v>-0.3089</v>
      </c>
      <c r="J59" s="24" t="n">
        <v>5911.13</v>
      </c>
      <c r="K59" s="24" t="n">
        <v>0</v>
      </c>
      <c r="L59" s="2" t="n"/>
      <c r="M59" s="2" t="n"/>
      <c r="N59" s="2" t="n"/>
      <c r="O59" s="2" t="n"/>
    </row>
    <row r="60">
      <c r="A60" s="23" t="inlineStr">
        <is>
          <t>MF.2026.1044 Everstead Apartments</t>
        </is>
      </c>
      <c r="B60" s="23" t="inlineStr">
        <is>
          <t>MF</t>
        </is>
      </c>
      <c r="C60" s="23" t="inlineStr">
        <is>
          <t>Ben Garza</t>
        </is>
      </c>
      <c r="D60" s="23" t="inlineStr">
        <is>
          <t>Grand Contracting</t>
        </is>
      </c>
      <c r="E60" s="24" t="n">
        <v>4391740</v>
      </c>
      <c r="F60" s="25" t="n">
        <v>0</v>
      </c>
      <c r="G60" s="25" t="n">
        <v>0</v>
      </c>
      <c r="H60" s="25" t="n">
        <v>0.3052</v>
      </c>
      <c r="I60" s="25" t="n">
        <v>-0.3052</v>
      </c>
      <c r="J60" s="24" t="n">
        <v>0</v>
      </c>
      <c r="K60" s="24" t="n">
        <v>0</v>
      </c>
      <c r="L60" s="2" t="n"/>
      <c r="M60" s="2" t="n"/>
      <c r="N60" s="2" t="n"/>
      <c r="O60" s="2" t="n"/>
    </row>
    <row r="61">
      <c r="A61" s="23" t="inlineStr">
        <is>
          <t>MF.2025.992 Young's Creek Apartments</t>
        </is>
      </c>
      <c r="B61" s="23" t="inlineStr">
        <is>
          <t>MF</t>
        </is>
      </c>
      <c r="C61" s="23" t="inlineStr">
        <is>
          <t>Kelden Tyson</t>
        </is>
      </c>
      <c r="D61" s="23" t="inlineStr">
        <is>
          <t>Shiel Sexton</t>
        </is>
      </c>
      <c r="E61" s="24" t="n">
        <v>488752.35</v>
      </c>
      <c r="F61" s="25" t="n">
        <v>1</v>
      </c>
      <c r="G61" s="25" t="n">
        <v>0.0001</v>
      </c>
      <c r="H61" s="25" t="n">
        <v>0.3026</v>
      </c>
      <c r="I61" s="25" t="n">
        <v>-0.3025</v>
      </c>
      <c r="J61" s="24" t="n">
        <v>0</v>
      </c>
      <c r="K61" s="24" t="n">
        <v>272493.11</v>
      </c>
      <c r="L61" s="2" t="n"/>
      <c r="M61" s="2" t="n"/>
      <c r="N61" s="2" t="n"/>
      <c r="O61" s="2" t="n"/>
    </row>
    <row r="62">
      <c r="A62" s="23" t="inlineStr">
        <is>
          <t>MF.2025.972 Union Flats - Fishers</t>
        </is>
      </c>
      <c r="B62" s="23" t="inlineStr">
        <is>
          <t>MF</t>
        </is>
      </c>
      <c r="C62" s="23" t="inlineStr">
        <is>
          <t>Ben Garza</t>
        </is>
      </c>
      <c r="D62" s="23" t="inlineStr">
        <is>
          <t>Thompson Thrift Construction</t>
        </is>
      </c>
      <c r="E62" s="24" t="n">
        <v>3838166</v>
      </c>
      <c r="F62" s="25" t="n">
        <v>0.8736</v>
      </c>
      <c r="G62" s="25" t="n">
        <v>0</v>
      </c>
      <c r="H62" s="25" t="n">
        <v>0.3011</v>
      </c>
      <c r="I62" s="25" t="n">
        <v>-0.3011</v>
      </c>
      <c r="J62" s="24" t="n">
        <v>626945.67</v>
      </c>
      <c r="K62" s="24" t="n">
        <v>1141266.15</v>
      </c>
      <c r="L62" s="2" t="n"/>
      <c r="M62" s="2" t="n"/>
      <c r="N62" s="2" t="n"/>
      <c r="O62" s="2" t="n"/>
    </row>
    <row r="63">
      <c r="A63" s="23" t="inlineStr">
        <is>
          <t>MF.2024.928 Holliday Farms Assisted Living - Zionsville</t>
        </is>
      </c>
      <c r="B63" s="23" t="inlineStr">
        <is>
          <t>MF</t>
        </is>
      </c>
      <c r="C63" s="23" t="inlineStr">
        <is>
          <t>Ben Garza</t>
        </is>
      </c>
      <c r="D63" s="23" t="inlineStr">
        <is>
          <t>Avenue Construction, Inc.</t>
        </is>
      </c>
      <c r="E63" s="24" t="n">
        <v>2731383.75</v>
      </c>
      <c r="F63" s="25" t="n">
        <v>1.0014</v>
      </c>
      <c r="G63" s="25" t="n">
        <v>0</v>
      </c>
      <c r="H63" s="25" t="n">
        <v>0.2986</v>
      </c>
      <c r="I63" s="25" t="n">
        <v>-0.2986</v>
      </c>
      <c r="J63" s="24" t="n">
        <v>3823.94</v>
      </c>
      <c r="K63" s="24" t="n">
        <v>392366.31</v>
      </c>
      <c r="L63" s="2" t="n"/>
      <c r="M63" s="2" t="n"/>
      <c r="N63" s="2" t="n"/>
      <c r="O63" s="2" t="n"/>
    </row>
    <row r="64">
      <c r="A64" s="23" t="inlineStr">
        <is>
          <t>MF.2025.963 Home 2 Suites</t>
        </is>
      </c>
      <c r="B64" s="23" t="inlineStr">
        <is>
          <t>MF</t>
        </is>
      </c>
      <c r="C64" s="23" t="inlineStr">
        <is>
          <t>Kelden Tyson</t>
        </is>
      </c>
      <c r="D64" s="23" t="inlineStr">
        <is>
          <t>Meyer Najem</t>
        </is>
      </c>
      <c r="E64" s="24" t="n">
        <v>580227.88</v>
      </c>
      <c r="F64" s="25" t="n">
        <v>1</v>
      </c>
      <c r="G64" s="25" t="n">
        <v>0.0001</v>
      </c>
      <c r="H64" s="25" t="n">
        <v>0.2964</v>
      </c>
      <c r="I64" s="25" t="n">
        <v>-0.2964</v>
      </c>
      <c r="J64" s="24" t="n">
        <v>0</v>
      </c>
      <c r="K64" s="24" t="n">
        <v>58022.79</v>
      </c>
      <c r="L64" s="2" t="n"/>
      <c r="M64" s="2" t="n"/>
      <c r="N64" s="2" t="n"/>
      <c r="O64" s="2" t="n"/>
    </row>
    <row r="65">
      <c r="A65" s="23" t="inlineStr">
        <is>
          <t>MF.2025.976 Firefly Youth Housing</t>
        </is>
      </c>
      <c r="B65" s="23" t="inlineStr">
        <is>
          <t>MF</t>
        </is>
      </c>
      <c r="C65" s="23" t="inlineStr">
        <is>
          <t>Spencer Anderson</t>
        </is>
      </c>
      <c r="D65" s="23" t="inlineStr">
        <is>
          <t>Stenz Corp</t>
        </is>
      </c>
      <c r="E65" s="24" t="n">
        <v>250736.11</v>
      </c>
      <c r="F65" s="25" t="n">
        <v>1</v>
      </c>
      <c r="G65" s="25" t="n">
        <v>0.0001</v>
      </c>
      <c r="H65" s="25" t="n">
        <v>0.2814</v>
      </c>
      <c r="I65" s="25" t="n">
        <v>-0.2813</v>
      </c>
      <c r="J65" s="24" t="n">
        <v>25073.61</v>
      </c>
      <c r="K65" s="24" t="n">
        <v>73125</v>
      </c>
      <c r="L65" s="2" t="n"/>
      <c r="M65" s="2" t="n"/>
      <c r="N65" s="2" t="n"/>
      <c r="O65" s="2" t="n"/>
    </row>
    <row r="66">
      <c r="A66" s="23" t="inlineStr">
        <is>
          <t>2025.1021 Convivio</t>
        </is>
      </c>
      <c r="B66" s="23" t="inlineStr">
        <is>
          <t>TI</t>
        </is>
      </c>
      <c r="C66" s="23" t="inlineStr">
        <is>
          <t>Shawn Welcher</t>
        </is>
      </c>
      <c r="D66" s="23" t="inlineStr">
        <is>
          <t>The Peterson Company, LLC</t>
        </is>
      </c>
      <c r="E66" s="24" t="n">
        <v>87788.25999999999</v>
      </c>
      <c r="F66" s="25" t="n">
        <v>1</v>
      </c>
      <c r="G66" s="25" t="n">
        <v>0.0003</v>
      </c>
      <c r="H66" s="25" t="n">
        <v>0.2809</v>
      </c>
      <c r="I66" s="25" t="n">
        <v>-0.2806</v>
      </c>
      <c r="J66" s="24" t="n">
        <v>0</v>
      </c>
      <c r="K66" s="24" t="n">
        <v>0</v>
      </c>
      <c r="L66" s="2" t="n"/>
      <c r="M66" s="2" t="n"/>
      <c r="N66" s="2" t="n"/>
      <c r="O66" s="2" t="n"/>
    </row>
    <row r="67">
      <c r="A67" s="23" t="inlineStr">
        <is>
          <t>2025.960 Langham Whiteland South Lockers</t>
        </is>
      </c>
      <c r="B67" s="23" t="inlineStr">
        <is>
          <t>TI</t>
        </is>
      </c>
      <c r="C67" s="23" t="inlineStr">
        <is>
          <t>Spencer Anderson</t>
        </is>
      </c>
      <c r="D67" s="23" t="inlineStr">
        <is>
          <t>DEEM, LLC</t>
        </is>
      </c>
      <c r="E67" s="24" t="n">
        <v>72797</v>
      </c>
      <c r="F67" s="25" t="n">
        <v>1.0101</v>
      </c>
      <c r="G67" s="25" t="n">
        <v>0.0004</v>
      </c>
      <c r="H67" s="25" t="n">
        <v>0.2713</v>
      </c>
      <c r="I67" s="25" t="n">
        <v>-0.2709</v>
      </c>
      <c r="J67" s="24" t="n">
        <v>735.25</v>
      </c>
      <c r="K67" s="24" t="n">
        <v>0</v>
      </c>
      <c r="L67" s="2" t="n"/>
      <c r="M67" s="2" t="n"/>
      <c r="N67" s="2" t="n"/>
      <c r="O67" s="2" t="n"/>
    </row>
    <row r="68">
      <c r="A68" s="23" t="inlineStr">
        <is>
          <t>2022.625 Walmart 7611</t>
        </is>
      </c>
      <c r="B68" s="23" t="inlineStr">
        <is>
          <t>TI</t>
        </is>
      </c>
      <c r="C68" s="23" t="inlineStr">
        <is>
          <t>Cole Garriott</t>
        </is>
      </c>
      <c r="D68" s="23" t="inlineStr">
        <is>
          <t>Massa Multimedia Architecture (MMA)</t>
        </is>
      </c>
      <c r="E68" s="24" t="n">
        <v>983441</v>
      </c>
      <c r="F68" s="25" t="n">
        <v>1</v>
      </c>
      <c r="G68" s="25" t="n">
        <v>0</v>
      </c>
      <c r="H68" s="25" t="n">
        <v>0.2703</v>
      </c>
      <c r="I68" s="25" t="n">
        <v>-0.2703</v>
      </c>
      <c r="J68" s="24" t="n">
        <v>1300</v>
      </c>
      <c r="K68" s="24" t="n">
        <v>0</v>
      </c>
      <c r="L68" s="2" t="n"/>
      <c r="M68" s="2" t="n"/>
      <c r="N68" s="2" t="n"/>
      <c r="O68" s="2" t="n"/>
    </row>
    <row r="69">
      <c r="A69" s="23" t="inlineStr">
        <is>
          <t>2025.1024 Metro Lion</t>
        </is>
      </c>
      <c r="B69" s="23" t="inlineStr">
        <is>
          <t>TI</t>
        </is>
      </c>
      <c r="C69" s="23" t="inlineStr">
        <is>
          <t>Ben Garza</t>
        </is>
      </c>
      <c r="D69" s="23" t="inlineStr">
        <is>
          <t>DEEM, LLC</t>
        </is>
      </c>
      <c r="E69" s="24" t="n">
        <v>786710</v>
      </c>
      <c r="F69" s="25" t="n">
        <v>1</v>
      </c>
      <c r="G69" s="25" t="n">
        <v>0</v>
      </c>
      <c r="H69" s="25" t="n">
        <v>0.2687</v>
      </c>
      <c r="I69" s="25" t="n">
        <v>-0.2687</v>
      </c>
      <c r="J69" s="24" t="n">
        <v>0</v>
      </c>
      <c r="K69" s="24" t="n">
        <v>1300</v>
      </c>
      <c r="L69" s="2" t="n"/>
      <c r="M69" s="2" t="n"/>
      <c r="N69" s="2" t="n"/>
      <c r="O69" s="2" t="n"/>
    </row>
    <row r="70">
      <c r="A70" s="23" t="inlineStr">
        <is>
          <t>MF.2024.927 Jeffersonian Apartments</t>
        </is>
      </c>
      <c r="B70" s="23" t="inlineStr">
        <is>
          <t>MF</t>
        </is>
      </c>
      <c r="C70" s="23" t="inlineStr">
        <is>
          <t>Ben Garza</t>
        </is>
      </c>
      <c r="D70" s="23" t="inlineStr">
        <is>
          <t>Stenz Corp</t>
        </is>
      </c>
      <c r="E70" s="24" t="n">
        <v>461337.65</v>
      </c>
      <c r="F70" s="25" t="n">
        <v>1</v>
      </c>
      <c r="G70" s="25" t="n">
        <v>0.0001</v>
      </c>
      <c r="H70" s="25" t="n">
        <v>0.2677</v>
      </c>
      <c r="I70" s="25" t="n">
        <v>-0.2677</v>
      </c>
      <c r="J70" s="24" t="n">
        <v>-0</v>
      </c>
      <c r="K70" s="24" t="n">
        <v>46133.76</v>
      </c>
      <c r="L70" s="2" t="n"/>
      <c r="M70" s="2" t="n"/>
      <c r="N70" s="2" t="n"/>
      <c r="O70" s="2" t="n"/>
    </row>
    <row r="71">
      <c r="A71" s="23" t="inlineStr">
        <is>
          <t>MF.2024.894 Hamilton County Jail Boiler Mechanical Pad</t>
        </is>
      </c>
      <c r="B71" s="23" t="inlineStr">
        <is>
          <t>MF</t>
        </is>
      </c>
      <c r="C71" s="23" t="inlineStr">
        <is>
          <t>Dustin Hurt</t>
        </is>
      </c>
      <c r="D71" s="23" t="inlineStr">
        <is>
          <t>DEEM, LLC</t>
        </is>
      </c>
      <c r="E71" s="24" t="n">
        <v>3515</v>
      </c>
      <c r="F71" s="25" t="n">
        <v>0.9258999999999999</v>
      </c>
      <c r="G71" s="25" t="n">
        <v>0.0074</v>
      </c>
      <c r="H71" s="25" t="n">
        <v>0.2603</v>
      </c>
      <c r="I71" s="25" t="n">
        <v>-0.2529</v>
      </c>
      <c r="J71" s="24" t="n">
        <v>-260.46</v>
      </c>
      <c r="K71" s="24" t="n">
        <v>0</v>
      </c>
      <c r="L71" s="2" t="n"/>
      <c r="M71" s="2" t="n"/>
      <c r="N71" s="2" t="n"/>
      <c r="O71" s="2" t="n"/>
    </row>
    <row r="72">
      <c r="A72" s="23" t="inlineStr">
        <is>
          <t>MF.2025.977 Civic Square Condos</t>
        </is>
      </c>
      <c r="B72" s="23" t="inlineStr">
        <is>
          <t>MF</t>
        </is>
      </c>
      <c r="C72" s="23" t="inlineStr">
        <is>
          <t>Trevor Anderson</t>
        </is>
      </c>
      <c r="D72" s="23" t="inlineStr">
        <is>
          <t>Novo Development Group, LLC</t>
        </is>
      </c>
      <c r="E72" s="24" t="n">
        <v>603098</v>
      </c>
      <c r="F72" s="25" t="n">
        <v>0.9984</v>
      </c>
      <c r="G72" s="25" t="n">
        <v>0</v>
      </c>
      <c r="H72" s="25" t="n">
        <v>0.2466</v>
      </c>
      <c r="I72" s="25" t="n">
        <v>-0.2465</v>
      </c>
      <c r="J72" s="24" t="n">
        <v>-964.96</v>
      </c>
      <c r="K72" s="24" t="n">
        <v>60309.8</v>
      </c>
      <c r="L72" s="2" t="n"/>
      <c r="M72" s="2" t="n"/>
      <c r="N72" s="2" t="n"/>
      <c r="O72" s="2" t="n"/>
    </row>
    <row r="73">
      <c r="A73" s="23" t="inlineStr">
        <is>
          <t>MF.2024.906 Shamrock Elementary LGI Classrooms</t>
        </is>
      </c>
      <c r="B73" s="23" t="inlineStr">
        <is>
          <t>MF</t>
        </is>
      </c>
      <c r="C73" s="23" t="inlineStr">
        <is>
          <t>Dustin Hurt</t>
        </is>
      </c>
      <c r="D73" s="23" t="inlineStr">
        <is>
          <t>LTB Construction, Inc.</t>
        </is>
      </c>
      <c r="E73" s="24" t="n">
        <v>8830</v>
      </c>
      <c r="F73" s="25" t="n">
        <v>0.3935</v>
      </c>
      <c r="G73" s="25" t="n">
        <v>0.0028</v>
      </c>
      <c r="H73" s="25" t="n">
        <v>0.248</v>
      </c>
      <c r="I73" s="25" t="n">
        <v>-0.2452</v>
      </c>
      <c r="J73" s="24" t="n">
        <v>-5355.4</v>
      </c>
      <c r="K73" s="24" t="n">
        <v>0</v>
      </c>
      <c r="L73" s="2" t="n"/>
      <c r="M73" s="2" t="n"/>
      <c r="N73" s="2" t="n"/>
      <c r="O73" s="2" t="n"/>
    </row>
    <row r="74">
      <c r="A74" s="23" t="inlineStr">
        <is>
          <t>2025.1012 Airport South Logistics Bldg. B</t>
        </is>
      </c>
      <c r="B74" s="23" t="inlineStr">
        <is>
          <t>TI</t>
        </is>
      </c>
      <c r="C74" s="23" t="inlineStr">
        <is>
          <t>Spencer Anderson</t>
        </is>
      </c>
      <c r="D74" s="23" t="inlineStr">
        <is>
          <t>ARCO Design/Build</t>
        </is>
      </c>
      <c r="E74" s="24" t="n">
        <v>128180</v>
      </c>
      <c r="F74" s="25" t="n">
        <v>1.0042</v>
      </c>
      <c r="G74" s="25" t="n">
        <v>0.0002</v>
      </c>
      <c r="H74" s="25" t="n">
        <v>0.2403</v>
      </c>
      <c r="I74" s="25" t="n">
        <v>-0.2401</v>
      </c>
      <c r="J74" s="24" t="n">
        <v>25473.06</v>
      </c>
      <c r="K74" s="24" t="n">
        <v>93376.8</v>
      </c>
      <c r="L74" s="2" t="n"/>
      <c r="M74" s="2" t="n"/>
      <c r="N74" s="2" t="n"/>
      <c r="O74" s="2" t="n"/>
    </row>
    <row r="75">
      <c r="A75" s="23" t="inlineStr">
        <is>
          <t>MF.2024.941 Oak Trace</t>
        </is>
      </c>
      <c r="B75" s="23" t="inlineStr">
        <is>
          <t>MF</t>
        </is>
      </c>
      <c r="C75" s="23" t="inlineStr">
        <is>
          <t>Dustin Hurt</t>
        </is>
      </c>
      <c r="D75" s="23" t="inlineStr">
        <is>
          <t>Westfield Community Management, LLC</t>
        </is>
      </c>
      <c r="E75" s="24" t="n">
        <v>76730</v>
      </c>
      <c r="F75" s="25" t="n">
        <v>1.0008</v>
      </c>
      <c r="G75" s="25" t="n">
        <v>0.0003</v>
      </c>
      <c r="H75" s="25" t="n">
        <v>0.2286</v>
      </c>
      <c r="I75" s="25" t="n">
        <v>-0.2283</v>
      </c>
      <c r="J75" s="24" t="n">
        <v>61.38</v>
      </c>
      <c r="K75" s="24" t="n">
        <v>0</v>
      </c>
      <c r="L75" s="2" t="n"/>
      <c r="M75" s="2" t="n"/>
      <c r="N75" s="2" t="n"/>
      <c r="O75" s="2" t="n"/>
    </row>
    <row r="76">
      <c r="A76" s="23" t="inlineStr">
        <is>
          <t>2022.654 Upland Brewery Northside</t>
        </is>
      </c>
      <c r="B76" s="23" t="inlineStr">
        <is>
          <t>TI</t>
        </is>
      </c>
      <c r="C76" s="23" t="inlineStr">
        <is>
          <t>Tommy Cohoat</t>
        </is>
      </c>
      <c r="D76" s="23" t="inlineStr">
        <is>
          <t>Seven Four Construction</t>
        </is>
      </c>
      <c r="E76" s="24" t="n">
        <v>175860.53</v>
      </c>
      <c r="F76" s="25" t="n">
        <v>0.986</v>
      </c>
      <c r="G76" s="25" t="n">
        <v>0.0001</v>
      </c>
      <c r="H76" s="25" t="n">
        <v>0.2079</v>
      </c>
      <c r="I76" s="25" t="n">
        <v>-0.2078</v>
      </c>
      <c r="J76" s="24" t="n">
        <v>-2462.05</v>
      </c>
      <c r="K76" s="24" t="n">
        <v>0</v>
      </c>
      <c r="L76" s="2" t="n"/>
      <c r="M76" s="2" t="n"/>
      <c r="N76" s="2" t="n"/>
      <c r="O76" s="2" t="n"/>
    </row>
    <row r="77">
      <c r="A77" s="23" t="inlineStr">
        <is>
          <t>MF.2023.840 Paint at 804 14th Ave Nashville</t>
        </is>
      </c>
      <c r="B77" s="23" t="inlineStr">
        <is>
          <t>MF</t>
        </is>
      </c>
      <c r="C77" s="23" t="inlineStr">
        <is>
          <t>Kelden Tyson</t>
        </is>
      </c>
      <c r="D77" s="23" t="inlineStr">
        <is>
          <t>ZMX Inc.</t>
        </is>
      </c>
      <c r="E77" s="24" t="n">
        <v>280782.67</v>
      </c>
      <c r="F77" s="25" t="n">
        <v>1.0111</v>
      </c>
      <c r="G77" s="25" t="n">
        <v>0.0001</v>
      </c>
      <c r="H77" s="25" t="n">
        <v>0.1872</v>
      </c>
      <c r="I77" s="25" t="n">
        <v>-0.1872</v>
      </c>
      <c r="J77" s="24" t="n">
        <v>3116.69</v>
      </c>
      <c r="K77" s="24" t="n">
        <v>-19741.84</v>
      </c>
      <c r="L77" s="2" t="n"/>
      <c r="M77" s="2" t="n"/>
      <c r="N77" s="2" t="n"/>
      <c r="O77" s="2" t="n"/>
    </row>
    <row r="78">
      <c r="A78" s="23" t="inlineStr">
        <is>
          <t>2026.1037 CV - Castle Rock</t>
        </is>
      </c>
      <c r="B78" s="23" t="inlineStr">
        <is>
          <t>TI</t>
        </is>
      </c>
      <c r="C78" s="23" t="inlineStr">
        <is>
          <t>Ben Garza</t>
        </is>
      </c>
      <c r="D78" s="23" t="inlineStr">
        <is>
          <t>Bischoff Construction, LLC</t>
        </is>
      </c>
      <c r="E78" s="24" t="n">
        <v>127451</v>
      </c>
      <c r="F78" s="25" t="n">
        <v>1</v>
      </c>
      <c r="G78" s="25" t="n">
        <v>0.0001</v>
      </c>
      <c r="H78" s="25" t="n">
        <v>0.1859</v>
      </c>
      <c r="I78" s="25" t="n">
        <v>-0.1857</v>
      </c>
      <c r="J78" s="24" t="n">
        <v>0</v>
      </c>
      <c r="K78" s="24" t="n">
        <v>2000</v>
      </c>
      <c r="L78" s="2" t="n"/>
      <c r="M78" s="2" t="n"/>
      <c r="N78" s="2" t="n"/>
      <c r="O78" s="2" t="n"/>
    </row>
    <row r="79">
      <c r="A79" s="23" t="inlineStr">
        <is>
          <t>2023.776 Keefe Group TI</t>
        </is>
      </c>
      <c r="B79" s="23" t="inlineStr">
        <is>
          <t>TI</t>
        </is>
      </c>
      <c r="C79" s="23" t="inlineStr">
        <is>
          <t>Tommy Cohoat</t>
        </is>
      </c>
      <c r="D79" s="23" t="inlineStr">
        <is>
          <t>The Peterson Company, LLC</t>
        </is>
      </c>
      <c r="E79" s="24" t="n">
        <v>113525</v>
      </c>
      <c r="F79" s="25" t="n">
        <v>0.9963</v>
      </c>
      <c r="G79" s="25" t="n">
        <v>0.0002</v>
      </c>
      <c r="H79" s="25" t="n">
        <v>0.1842</v>
      </c>
      <c r="I79" s="25" t="n">
        <v>-0.1841</v>
      </c>
      <c r="J79" s="24" t="n">
        <v>-420.04</v>
      </c>
      <c r="K79" s="24" t="n">
        <v>0</v>
      </c>
      <c r="L79" s="2" t="n"/>
      <c r="M79" s="2" t="n"/>
      <c r="N79" s="2" t="n"/>
      <c r="O79" s="2" t="n"/>
    </row>
    <row r="80">
      <c r="A80" s="23" t="inlineStr">
        <is>
          <t>MF.2023.785 Drywall at 804 14th Ave Nashville</t>
        </is>
      </c>
      <c r="B80" s="23" t="inlineStr">
        <is>
          <t>MF</t>
        </is>
      </c>
      <c r="C80" s="23" t="inlineStr">
        <is>
          <t>Kelden Tyson</t>
        </is>
      </c>
      <c r="D80" s="23" t="inlineStr">
        <is>
          <t>ZMX Inc.</t>
        </is>
      </c>
      <c r="E80" s="24" t="n">
        <v>739513.88</v>
      </c>
      <c r="F80" s="25" t="n">
        <v>1.0041</v>
      </c>
      <c r="G80" s="25" t="n">
        <v>0</v>
      </c>
      <c r="H80" s="25" t="n">
        <v>0.1777</v>
      </c>
      <c r="I80" s="25" t="n">
        <v>-0.1777</v>
      </c>
      <c r="J80" s="24" t="n">
        <v>3032.01</v>
      </c>
      <c r="K80" s="24" t="n">
        <v>10646.9</v>
      </c>
      <c r="L80" s="2" t="n"/>
      <c r="M80" s="2" t="n"/>
      <c r="N80" s="2" t="n"/>
      <c r="O80" s="2" t="n"/>
    </row>
    <row r="81">
      <c r="A81" s="23" t="inlineStr">
        <is>
          <t>MF.2024.875 Purdue Student Housing</t>
        </is>
      </c>
      <c r="B81" s="23" t="inlineStr">
        <is>
          <t>MF</t>
        </is>
      </c>
      <c r="C81" s="23" t="inlineStr">
        <is>
          <t>Kelden Tyson</t>
        </is>
      </c>
      <c r="D81" s="23" t="inlineStr">
        <is>
          <t>Marous Brothers Construction</t>
        </is>
      </c>
      <c r="E81" s="24" t="n">
        <v>6171928.99</v>
      </c>
      <c r="F81" s="25" t="n">
        <v>1.0019</v>
      </c>
      <c r="G81" s="25" t="n">
        <v>0</v>
      </c>
      <c r="H81" s="25" t="n">
        <v>0.1595</v>
      </c>
      <c r="I81" s="25" t="n">
        <v>-0.1595</v>
      </c>
      <c r="J81" s="24" t="n">
        <v>11726.67</v>
      </c>
      <c r="K81" s="24" t="n">
        <v>0</v>
      </c>
      <c r="L81" s="2" t="n"/>
      <c r="M81" s="2" t="n"/>
      <c r="N81" s="2" t="n"/>
      <c r="O81" s="2" t="n"/>
    </row>
    <row r="82">
      <c r="A82" s="23" t="inlineStr">
        <is>
          <t>MF.2024.892 The Lofts at Headwaters Park</t>
        </is>
      </c>
      <c r="B82" s="23" t="inlineStr">
        <is>
          <t>MF</t>
        </is>
      </c>
      <c r="C82" s="23" t="inlineStr">
        <is>
          <t>Ben Garza</t>
        </is>
      </c>
      <c r="D82" s="23" t="inlineStr">
        <is>
          <t>J.C. Hart Company, Inc.</t>
        </is>
      </c>
      <c r="E82" s="24" t="n">
        <v>4286845.96</v>
      </c>
      <c r="F82" s="25" t="n">
        <v>0.9977</v>
      </c>
      <c r="G82" s="25" t="n">
        <v>0</v>
      </c>
      <c r="H82" s="25" t="n">
        <v>0.1567</v>
      </c>
      <c r="I82" s="25" t="n">
        <v>-0.1567</v>
      </c>
      <c r="J82" s="24" t="n">
        <v>497203.69</v>
      </c>
      <c r="K82" s="24" t="n">
        <v>159486.39</v>
      </c>
      <c r="L82" s="2" t="n"/>
      <c r="M82" s="2" t="n"/>
      <c r="N82" s="2" t="n"/>
      <c r="O82" s="2" t="n"/>
    </row>
    <row r="83">
      <c r="A83" s="23" t="inlineStr">
        <is>
          <t>2025.1026 HNTB Buildout (Salesforce Tower)</t>
        </is>
      </c>
      <c r="B83" s="23" t="inlineStr">
        <is>
          <t>TI</t>
        </is>
      </c>
      <c r="C83" s="23" t="inlineStr">
        <is>
          <t>Ben Garza</t>
        </is>
      </c>
      <c r="D83" s="23" t="inlineStr">
        <is>
          <t>Skender Construction of Indiana LLC</t>
        </is>
      </c>
      <c r="E83" s="24" t="n">
        <v>476552.38</v>
      </c>
      <c r="F83" s="25" t="n">
        <v>0.999</v>
      </c>
      <c r="G83" s="25" t="n">
        <v>0</v>
      </c>
      <c r="H83" s="25" t="n">
        <v>0.1364</v>
      </c>
      <c r="I83" s="25" t="n">
        <v>-0.1363</v>
      </c>
      <c r="J83" s="24" t="n">
        <v>27006.23</v>
      </c>
      <c r="K83" s="24" t="n">
        <v>325965.98</v>
      </c>
      <c r="L83" s="2" t="n"/>
      <c r="M83" s="2" t="n"/>
      <c r="N83" s="2" t="n"/>
      <c r="O83" s="2" t="n"/>
    </row>
    <row r="84">
      <c r="A84" s="23" t="inlineStr">
        <is>
          <t>2023.839 Hamilton County National Guard Readiness Center</t>
        </is>
      </c>
      <c r="B84" s="23" t="inlineStr">
        <is>
          <t>TI</t>
        </is>
      </c>
      <c r="C84" s="23" t="inlineStr">
        <is>
          <t>Tommy Cohoat</t>
        </is>
      </c>
      <c r="D84" s="23" t="inlineStr">
        <is>
          <t>Patterson Horth, Inc.</t>
        </is>
      </c>
      <c r="E84" s="24" t="n">
        <v>1538998.61</v>
      </c>
      <c r="F84" s="25" t="n">
        <v>1.0907</v>
      </c>
      <c r="G84" s="25" t="n">
        <v>0</v>
      </c>
      <c r="H84" s="25" t="n">
        <v>0.1288</v>
      </c>
      <c r="I84" s="25" t="n">
        <v>-0.1288</v>
      </c>
      <c r="J84" s="24" t="n">
        <v>139587.17</v>
      </c>
      <c r="K84" s="24" t="n">
        <v>107210.99</v>
      </c>
      <c r="L84" s="2" t="n"/>
      <c r="M84" s="2" t="n"/>
      <c r="N84" s="2" t="n"/>
      <c r="O84" s="2" t="n"/>
    </row>
    <row r="85">
      <c r="A85" s="23" t="inlineStr">
        <is>
          <t>2026.1039 Upland Prospect Street</t>
        </is>
      </c>
      <c r="B85" s="23" t="inlineStr">
        <is>
          <t>TI</t>
        </is>
      </c>
      <c r="C85" s="23" t="inlineStr">
        <is>
          <t>Tommy Cohoat</t>
        </is>
      </c>
      <c r="D85" s="23" t="inlineStr">
        <is>
          <t>Bischoff Construction, LLC</t>
        </is>
      </c>
      <c r="E85" s="24" t="n">
        <v>6500</v>
      </c>
      <c r="F85" s="25" t="n">
        <v>0.9931</v>
      </c>
      <c r="G85" s="25" t="n">
        <v>0.0002</v>
      </c>
      <c r="H85" s="25" t="n">
        <v>0.0154</v>
      </c>
      <c r="I85" s="25" t="n">
        <v>-0.0151</v>
      </c>
      <c r="J85" s="24" t="n">
        <v>-44.85</v>
      </c>
      <c r="K85" s="24" t="n">
        <v>0</v>
      </c>
      <c r="L85" s="2" t="n"/>
      <c r="M85" s="2" t="n"/>
      <c r="N85" s="2" t="n"/>
      <c r="O85" s="2" t="n"/>
    </row>
    <row r="86">
      <c r="A86" s="23" t="inlineStr">
        <is>
          <t>MF.2024.924 Monon Trail Elementary</t>
        </is>
      </c>
      <c r="B86" s="23" t="inlineStr">
        <is>
          <t>MF</t>
        </is>
      </c>
      <c r="C86" s="23" t="inlineStr">
        <is>
          <t>Dustin Hurt</t>
        </is>
      </c>
      <c r="D86" s="23" t="inlineStr">
        <is>
          <t>LTB Construction, Inc.</t>
        </is>
      </c>
      <c r="E86" s="24" t="n">
        <v>4550</v>
      </c>
      <c r="F86" s="25" t="n">
        <v>0.3029</v>
      </c>
      <c r="G86" s="25" t="n">
        <v>-0.0031</v>
      </c>
      <c r="H86" s="25" t="n">
        <v>-0.1429</v>
      </c>
      <c r="I86" s="25" t="n">
        <v>0.1397</v>
      </c>
      <c r="J86" s="24" t="n">
        <v>-3171.81</v>
      </c>
      <c r="K86" s="24" t="n">
        <v>0</v>
      </c>
      <c r="L86" s="2" t="n"/>
      <c r="M86" s="2" t="n"/>
      <c r="N86" s="2" t="n"/>
      <c r="O86" s="2" t="n"/>
    </row>
    <row r="87">
      <c r="A87" s="23" t="inlineStr">
        <is>
          <t>2025.993 Batesville Public Library</t>
        </is>
      </c>
      <c r="B87" s="23" t="inlineStr">
        <is>
          <t>TI</t>
        </is>
      </c>
      <c r="C87" s="23" t="inlineStr">
        <is>
          <t>Shawn Welcher</t>
        </is>
      </c>
      <c r="D87" s="23" t="inlineStr">
        <is>
          <t>Meyer Najem</t>
        </is>
      </c>
      <c r="E87" s="24" t="n">
        <v>63852.15</v>
      </c>
      <c r="F87" s="25" t="n">
        <v>1</v>
      </c>
      <c r="G87" s="25" t="n">
        <v>-0.0003</v>
      </c>
      <c r="H87" s="25" t="n">
        <v>-0.1632</v>
      </c>
      <c r="I87" s="25" t="n">
        <v>0.163</v>
      </c>
      <c r="J87" s="24" t="n">
        <v>1177.15</v>
      </c>
      <c r="K87" s="24" t="n">
        <v>60528</v>
      </c>
      <c r="L87" s="2" t="n"/>
      <c r="M87" s="2" t="n"/>
      <c r="N87" s="2" t="n"/>
      <c r="O87" s="2" t="n"/>
    </row>
    <row r="88">
      <c r="A88" s="23" t="inlineStr">
        <is>
          <t>2024.874 Noblesville HS Academic Addition &amp; Renovation</t>
        </is>
      </c>
      <c r="B88" s="23" t="inlineStr">
        <is>
          <t>TI</t>
        </is>
      </c>
      <c r="C88" s="23" t="inlineStr">
        <is>
          <t>Trevor Anderson</t>
        </is>
      </c>
      <c r="D88" s="23" t="inlineStr">
        <is>
          <t>The Peterson Company, LLC</t>
        </is>
      </c>
      <c r="E88" s="24" t="n">
        <v>154487</v>
      </c>
      <c r="F88" s="25" t="n">
        <v>1</v>
      </c>
      <c r="G88" s="25" t="n">
        <v>-0.0002</v>
      </c>
      <c r="H88" s="25" t="n">
        <v>-0.3007</v>
      </c>
      <c r="I88" s="25" t="n">
        <v>0.3005</v>
      </c>
      <c r="J88" s="24" t="n">
        <v>0</v>
      </c>
      <c r="K88" s="24" t="n">
        <v>-14964</v>
      </c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</sheetData>
  <mergeCells count="2">
    <mergeCell ref="A2:N2"/>
    <mergeCell ref="A1:N1"/>
  </mergeCells>
  <conditionalFormatting sqref="I5:I88">
    <cfRule type="colorScale" priority="1">
      <colorScale>
        <cfvo type="num" val="-0.2"/>
        <cfvo type="num" val="0"/>
        <cfvo type="num" val="0.2"/>
        <color rgb="00FF6B6B"/>
        <color rgb="00FFFF99"/>
        <color rgb="0035C77F"/>
      </colorScale>
    </cfRule>
  </conditionalFormatting>
  <conditionalFormatting sqref="J5:J88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E7585"/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WIP &amp; Profit Fade — by Project 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Over/under-billing and margin fade concentration  •  Knowify AJR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Project Manager</t>
        </is>
      </c>
      <c r="B4" s="22" t="inlineStr">
        <is>
          <t>Jobs</t>
        </is>
      </c>
      <c r="C4" s="22" t="inlineStr">
        <is>
          <t>Contract</t>
        </is>
      </c>
      <c r="D4" s="22" t="inlineStr">
        <is>
          <t>Earned Rev</t>
        </is>
      </c>
      <c r="E4" s="22" t="inlineStr">
        <is>
          <t>Invoiced</t>
        </is>
      </c>
      <c r="F4" s="22" t="inlineStr">
        <is>
          <t>Overbilled</t>
        </is>
      </c>
      <c r="G4" s="22" t="inlineStr">
        <is>
          <t>Underbilled</t>
        </is>
      </c>
      <c r="H4" s="22" t="inlineStr">
        <is>
          <t>Profit $</t>
        </is>
      </c>
      <c r="I4" s="22" t="inlineStr">
        <is>
          <t>Avg Fade</t>
        </is>
      </c>
      <c r="J4" s="2" t="n"/>
      <c r="K4" s="2" t="n"/>
      <c r="L4" s="2" t="n"/>
      <c r="M4" s="2" t="n"/>
      <c r="N4" s="2" t="n"/>
      <c r="O4" s="2" t="n"/>
    </row>
    <row r="5">
      <c r="A5" s="23" t="inlineStr">
        <is>
          <t>Kelden Tyson</t>
        </is>
      </c>
      <c r="B5" s="23" t="n">
        <v>7</v>
      </c>
      <c r="C5" s="24" t="n">
        <v>21968892.5</v>
      </c>
      <c r="D5" s="24" t="n">
        <v>11123522.66</v>
      </c>
      <c r="E5" s="24" t="n">
        <v>10845050.5</v>
      </c>
      <c r="F5" s="24" t="n">
        <v>0</v>
      </c>
      <c r="G5" s="24" t="n">
        <v>278472.16</v>
      </c>
      <c r="H5" s="24" t="n">
        <v>2529065.16</v>
      </c>
      <c r="I5" s="25" t="n">
        <v>-0.2771714285714286</v>
      </c>
      <c r="J5" s="2" t="n"/>
      <c r="K5" s="2" t="n"/>
      <c r="L5" s="2" t="n"/>
      <c r="M5" s="2" t="n"/>
      <c r="N5" s="2" t="n"/>
      <c r="O5" s="2" t="n"/>
    </row>
    <row r="6">
      <c r="A6" s="23" t="inlineStr">
        <is>
          <t>Ben Garza</t>
        </is>
      </c>
      <c r="B6" s="23" t="n">
        <v>15</v>
      </c>
      <c r="C6" s="24" t="n">
        <v>21478175.74</v>
      </c>
      <c r="D6" s="24" t="n">
        <v>15400262.83</v>
      </c>
      <c r="E6" s="24" t="n">
        <v>14045132.84</v>
      </c>
      <c r="F6" s="24" t="n">
        <v>0</v>
      </c>
      <c r="G6" s="24" t="n">
        <v>1355129.99</v>
      </c>
      <c r="H6" s="24" t="n">
        <v>3727694.98</v>
      </c>
      <c r="I6" s="25" t="n">
        <v>-0.3130066666666667</v>
      </c>
      <c r="J6" s="2" t="n"/>
      <c r="K6" s="2" t="n"/>
      <c r="L6" s="2" t="n"/>
      <c r="M6" s="2" t="n"/>
      <c r="N6" s="2" t="n"/>
      <c r="O6" s="2" t="n"/>
    </row>
    <row r="7">
      <c r="A7" s="23" t="inlineStr">
        <is>
          <t>Cole Garriott</t>
        </is>
      </c>
      <c r="B7" s="23" t="n">
        <v>9</v>
      </c>
      <c r="C7" s="24" t="n">
        <v>9769260.279999999</v>
      </c>
      <c r="D7" s="24" t="n">
        <v>9439140.039999999</v>
      </c>
      <c r="E7" s="24" t="n">
        <v>9264104.84</v>
      </c>
      <c r="F7" s="24" t="n">
        <v>93542.67999999999</v>
      </c>
      <c r="G7" s="24" t="n">
        <v>268577.88</v>
      </c>
      <c r="H7" s="24" t="n">
        <v>3995964.279999999</v>
      </c>
      <c r="I7" s="25" t="n">
        <v>-0.4226888888888889</v>
      </c>
      <c r="J7" s="2" t="n"/>
      <c r="K7" s="2" t="n"/>
      <c r="L7" s="2" t="n"/>
      <c r="M7" s="2" t="n"/>
      <c r="N7" s="2" t="n"/>
      <c r="O7" s="2" t="n"/>
    </row>
    <row r="8">
      <c r="A8" s="23" t="inlineStr">
        <is>
          <t>Tommy Cohoat</t>
        </is>
      </c>
      <c r="B8" s="23" t="n">
        <v>18</v>
      </c>
      <c r="C8" s="24" t="n">
        <v>5263888.850000001</v>
      </c>
      <c r="D8" s="24" t="n">
        <v>5647287.310000001</v>
      </c>
      <c r="E8" s="24" t="n">
        <v>5263888.850000001</v>
      </c>
      <c r="F8" s="24" t="n">
        <v>67487.04999999999</v>
      </c>
      <c r="G8" s="24" t="n">
        <v>450885.51</v>
      </c>
      <c r="H8" s="24" t="n">
        <v>1713382.65</v>
      </c>
      <c r="I8" s="25" t="n">
        <v>-0.4338722222222223</v>
      </c>
      <c r="J8" s="2" t="n"/>
      <c r="K8" s="2" t="n"/>
      <c r="L8" s="2" t="n"/>
      <c r="M8" s="2" t="n"/>
      <c r="N8" s="2" t="n"/>
      <c r="O8" s="2" t="n"/>
    </row>
    <row r="9">
      <c r="A9" s="23" t="inlineStr">
        <is>
          <t>(Unassigned)</t>
        </is>
      </c>
      <c r="B9" s="23" t="n">
        <v>221</v>
      </c>
      <c r="C9" s="24" t="n">
        <v>3511824.009999999</v>
      </c>
      <c r="D9" s="24" t="n">
        <v>1083403815.14</v>
      </c>
      <c r="E9" s="24" t="n">
        <v>3160441.199999999</v>
      </c>
      <c r="F9" s="24" t="n">
        <v>2093979.59</v>
      </c>
      <c r="G9" s="24" t="n">
        <v>1082337353.53</v>
      </c>
      <c r="H9" s="24" t="n">
        <v>442799.46</v>
      </c>
      <c r="I9" s="25" t="n">
        <v>0</v>
      </c>
      <c r="J9" s="2" t="n"/>
      <c r="K9" s="2" t="n"/>
      <c r="L9" s="2" t="n"/>
      <c r="M9" s="2" t="n"/>
      <c r="N9" s="2" t="n"/>
      <c r="O9" s="2" t="n"/>
    </row>
    <row r="10">
      <c r="A10" s="23" t="inlineStr">
        <is>
          <t>Spencer Anderson</t>
        </is>
      </c>
      <c r="B10" s="23" t="n">
        <v>14</v>
      </c>
      <c r="C10" s="24" t="n">
        <v>2902929.11</v>
      </c>
      <c r="D10" s="24" t="n">
        <v>1408311.75</v>
      </c>
      <c r="E10" s="24" t="n">
        <v>1153658.1</v>
      </c>
      <c r="F10" s="24" t="n">
        <v>34508.01</v>
      </c>
      <c r="G10" s="24" t="n">
        <v>289161.66</v>
      </c>
      <c r="H10" s="24" t="n">
        <v>426035.54</v>
      </c>
      <c r="I10" s="25" t="n">
        <v>-0.4652538461538461</v>
      </c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Trevor Anderson</t>
        </is>
      </c>
      <c r="B11" s="23" t="n">
        <v>10</v>
      </c>
      <c r="C11" s="24" t="n">
        <v>2537123.47</v>
      </c>
      <c r="D11" s="24" t="n">
        <v>2187191.93</v>
      </c>
      <c r="E11" s="24" t="n">
        <v>2055030.84</v>
      </c>
      <c r="F11" s="24" t="n">
        <v>117848.17</v>
      </c>
      <c r="G11" s="24" t="n">
        <v>250009.26</v>
      </c>
      <c r="H11" s="24" t="n">
        <v>619877.3200000001</v>
      </c>
      <c r="I11" s="25" t="n">
        <v>-0.33166</v>
      </c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Shawn Welcher</t>
        </is>
      </c>
      <c r="B12" s="23" t="n">
        <v>5</v>
      </c>
      <c r="C12" s="24" t="n">
        <v>789648.5700000001</v>
      </c>
      <c r="D12" s="24" t="n">
        <v>398409.4300000001</v>
      </c>
      <c r="E12" s="24" t="n">
        <v>564914.17</v>
      </c>
      <c r="F12" s="24" t="n">
        <v>170925.05</v>
      </c>
      <c r="G12" s="24" t="n">
        <v>4420.309999999999</v>
      </c>
      <c r="H12" s="24" t="n">
        <v>297582.31</v>
      </c>
      <c r="I12" s="25" t="n">
        <v>-0.26426</v>
      </c>
      <c r="J12" s="2" t="n"/>
      <c r="K12" s="2" t="n"/>
      <c r="L12" s="2" t="n"/>
      <c r="M12" s="2" t="n"/>
      <c r="N12" s="2" t="n"/>
      <c r="O12" s="2" t="n"/>
    </row>
    <row r="13">
      <c r="A13" s="23" t="inlineStr">
        <is>
          <t>Ted Wells</t>
        </is>
      </c>
      <c r="B13" s="23" t="n">
        <v>3</v>
      </c>
      <c r="C13" s="24" t="n">
        <v>370396.31</v>
      </c>
      <c r="D13" s="24" t="n">
        <v>362550.67</v>
      </c>
      <c r="E13" s="24" t="n">
        <v>370395.32</v>
      </c>
      <c r="F13" s="24" t="n">
        <v>8285.43</v>
      </c>
      <c r="G13" s="24" t="n">
        <v>440.78</v>
      </c>
      <c r="H13" s="24" t="n">
        <v>68931.89999999999</v>
      </c>
      <c r="I13" s="25" t="n">
        <v>-0.3782</v>
      </c>
      <c r="J13" s="2" t="n"/>
      <c r="K13" s="2" t="n"/>
      <c r="L13" s="2" t="n"/>
      <c r="M13" s="2" t="n"/>
      <c r="N13" s="2" t="n"/>
      <c r="O13" s="2" t="n"/>
    </row>
    <row r="14">
      <c r="A14" s="23" t="inlineStr">
        <is>
          <t>Dustin Hurt</t>
        </is>
      </c>
      <c r="B14" s="23" t="n">
        <v>6</v>
      </c>
      <c r="C14" s="24" t="n">
        <v>146234</v>
      </c>
      <c r="D14" s="24" t="n">
        <v>99771.77</v>
      </c>
      <c r="E14" s="24" t="n">
        <v>128069.01</v>
      </c>
      <c r="F14" s="24" t="n">
        <v>28358.63</v>
      </c>
      <c r="G14" s="24" t="n">
        <v>61.38</v>
      </c>
      <c r="H14" s="24" t="n">
        <v>56995.26</v>
      </c>
      <c r="I14" s="25" t="n">
        <v>-0.19522</v>
      </c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</sheetData>
  <mergeCells count="2">
    <mergeCell ref="A2:N2"/>
    <mergeCell ref="A1:N1"/>
  </mergeCells>
  <conditionalFormatting sqref="I5:I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62B38"/>
    <outlinePr summaryBelow="1" summaryRight="1"/>
    <pageSetUpPr/>
  </sheetPr>
  <dimension ref="A1:O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Accounts Receivable Aging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By customer &amp; bucket (QuickBooks, as of 2026-06-17)  •  retainage shown separately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Customer</t>
        </is>
      </c>
      <c r="B4" s="22" t="inlineStr">
        <is>
          <t>Current</t>
        </is>
      </c>
      <c r="C4" s="22" t="inlineStr">
        <is>
          <t>1-30</t>
        </is>
      </c>
      <c r="D4" s="22" t="inlineStr">
        <is>
          <t>31-60</t>
        </is>
      </c>
      <c r="E4" s="22" t="inlineStr">
        <is>
          <t>61-90</t>
        </is>
      </c>
      <c r="F4" s="22" t="inlineStr">
        <is>
          <t>91+</t>
        </is>
      </c>
      <c r="G4" s="22" t="inlineStr">
        <is>
          <t>Total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3" t="inlineStr">
        <is>
          <t>The Peterson Company, LLC</t>
        </is>
      </c>
      <c r="B5" s="24" t="n">
        <v>1164329.53</v>
      </c>
      <c r="C5" s="24" t="n">
        <v>54936.18</v>
      </c>
      <c r="D5" s="24" t="n">
        <v>702311.21</v>
      </c>
      <c r="E5" s="24" t="n">
        <v>0</v>
      </c>
      <c r="F5" s="24" t="n">
        <v>0</v>
      </c>
      <c r="G5" s="39" t="n">
        <v>1921576.92</v>
      </c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3" t="inlineStr">
        <is>
          <t>Skender Construction of Indiana LLC</t>
        </is>
      </c>
      <c r="B6" s="24" t="n">
        <v>647564.65</v>
      </c>
      <c r="C6" s="24" t="n">
        <v>708983.51</v>
      </c>
      <c r="D6" s="24" t="n">
        <v>134622.54</v>
      </c>
      <c r="E6" s="24" t="n">
        <v>111708.94</v>
      </c>
      <c r="F6" s="24" t="n">
        <v>46273.32</v>
      </c>
      <c r="G6" s="39" t="n">
        <v>1649152.96</v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3" t="inlineStr">
        <is>
          <t>MILHAUS Construction</t>
        </is>
      </c>
      <c r="B7" s="24" t="n">
        <v>509895</v>
      </c>
      <c r="C7" s="24" t="n">
        <v>206955</v>
      </c>
      <c r="D7" s="24" t="n">
        <v>510367.5</v>
      </c>
      <c r="E7" s="24" t="n">
        <v>256635</v>
      </c>
      <c r="F7" s="24" t="n">
        <v>0</v>
      </c>
      <c r="G7" s="39" t="n">
        <v>1483852.5</v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3" t="inlineStr">
        <is>
          <t>Thompson Thrift Construction</t>
        </is>
      </c>
      <c r="B8" s="24" t="n">
        <v>569642.4</v>
      </c>
      <c r="C8" s="24" t="n">
        <v>571623.75</v>
      </c>
      <c r="D8" s="24" t="n">
        <v>0</v>
      </c>
      <c r="E8" s="24" t="n">
        <v>0</v>
      </c>
      <c r="F8" s="24" t="n">
        <v>51060</v>
      </c>
      <c r="G8" s="39" t="n">
        <v>1192326.15</v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3" t="inlineStr">
        <is>
          <t>Clark Construction</t>
        </is>
      </c>
      <c r="B9" s="24" t="n">
        <v>889172</v>
      </c>
      <c r="C9" s="24" t="n">
        <v>129947</v>
      </c>
      <c r="D9" s="24" t="n">
        <v>0</v>
      </c>
      <c r="E9" s="24" t="n">
        <v>0</v>
      </c>
      <c r="F9" s="24" t="n">
        <v>0</v>
      </c>
      <c r="G9" s="39" t="n">
        <v>1019119</v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3" t="inlineStr">
        <is>
          <t>Old Town Construction</t>
        </is>
      </c>
      <c r="B10" s="24" t="n">
        <v>352057.58</v>
      </c>
      <c r="C10" s="24" t="n">
        <v>0</v>
      </c>
      <c r="D10" s="24" t="n">
        <v>407993.89</v>
      </c>
      <c r="E10" s="24" t="n">
        <v>0</v>
      </c>
      <c r="F10" s="24" t="n">
        <v>0</v>
      </c>
      <c r="G10" s="39" t="n">
        <v>760051.47</v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Marous Brothers Construction</t>
        </is>
      </c>
      <c r="B11" s="24" t="n">
        <v>119746.42</v>
      </c>
      <c r="C11" s="24" t="n">
        <v>435716.98</v>
      </c>
      <c r="D11" s="24" t="n">
        <v>0.01</v>
      </c>
      <c r="E11" s="24" t="n">
        <v>0</v>
      </c>
      <c r="F11" s="24" t="n">
        <v>0</v>
      </c>
      <c r="G11" s="39" t="n">
        <v>555463.41</v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ARCO Design/Build</t>
        </is>
      </c>
      <c r="B12" s="24" t="n">
        <v>385369.33</v>
      </c>
      <c r="C12" s="24" t="n">
        <v>26117.77</v>
      </c>
      <c r="D12" s="24" t="n">
        <v>73818</v>
      </c>
      <c r="E12" s="24" t="n">
        <v>0</v>
      </c>
      <c r="F12" s="24" t="n">
        <v>22752</v>
      </c>
      <c r="G12" s="39" t="n">
        <v>508057.1</v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3" t="inlineStr">
        <is>
          <t>Avenue Construction, Inc.</t>
        </is>
      </c>
      <c r="B13" s="24" t="n">
        <v>387512.38</v>
      </c>
      <c r="C13" s="24" t="n">
        <v>0</v>
      </c>
      <c r="D13" s="24" t="n">
        <v>66047.2</v>
      </c>
      <c r="E13" s="24" t="n">
        <v>0</v>
      </c>
      <c r="F13" s="24" t="n">
        <v>0</v>
      </c>
      <c r="G13" s="39" t="n">
        <v>453559.58</v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3" t="inlineStr">
        <is>
          <t>Compass Commercial Construction Group</t>
        </is>
      </c>
      <c r="B14" s="24" t="n">
        <v>352621.67</v>
      </c>
      <c r="C14" s="24" t="n">
        <v>0</v>
      </c>
      <c r="D14" s="24" t="n">
        <v>68841.53999999999</v>
      </c>
      <c r="E14" s="24" t="n">
        <v>0</v>
      </c>
      <c r="F14" s="24" t="n">
        <v>0</v>
      </c>
      <c r="G14" s="39" t="n">
        <v>421463.21</v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3" t="inlineStr">
        <is>
          <t>Garmong Construction Services</t>
        </is>
      </c>
      <c r="B15" s="24" t="n">
        <v>141648.31</v>
      </c>
      <c r="C15" s="24" t="n">
        <v>236453.93</v>
      </c>
      <c r="D15" s="24" t="n">
        <v>0</v>
      </c>
      <c r="E15" s="24" t="n">
        <v>0</v>
      </c>
      <c r="F15" s="24" t="n">
        <v>0</v>
      </c>
      <c r="G15" s="39" t="n">
        <v>378102.24</v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3" t="inlineStr">
        <is>
          <t>ACS-Affiliated Construction Services, Inc.</t>
        </is>
      </c>
      <c r="B16" s="24" t="n">
        <v>45416.23</v>
      </c>
      <c r="C16" s="24" t="n">
        <v>36620.15</v>
      </c>
      <c r="D16" s="24" t="n">
        <v>72880.67</v>
      </c>
      <c r="E16" s="24" t="n">
        <v>0</v>
      </c>
      <c r="F16" s="24" t="n">
        <v>144737.82</v>
      </c>
      <c r="G16" s="39" t="n">
        <v>299654.87</v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3" t="inlineStr">
        <is>
          <t>Holladay Construction Group</t>
        </is>
      </c>
      <c r="B17" s="24" t="n">
        <v>202650.67</v>
      </c>
      <c r="C17" s="24" t="n">
        <v>82260</v>
      </c>
      <c r="D17" s="24" t="n">
        <v>0</v>
      </c>
      <c r="E17" s="24" t="n">
        <v>0</v>
      </c>
      <c r="F17" s="24" t="n">
        <v>0</v>
      </c>
      <c r="G17" s="39" t="n">
        <v>284910.67</v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3" t="inlineStr">
        <is>
          <t>Shiel Sexton</t>
        </is>
      </c>
      <c r="B18" s="24" t="n">
        <v>24028.81</v>
      </c>
      <c r="C18" s="24" t="n">
        <v>0</v>
      </c>
      <c r="D18" s="24" t="n">
        <v>248464.3</v>
      </c>
      <c r="E18" s="24" t="n">
        <v>0</v>
      </c>
      <c r="F18" s="24" t="n">
        <v>0</v>
      </c>
      <c r="G18" s="39" t="n">
        <v>272493.11</v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3" t="inlineStr">
        <is>
          <t>Centric Projects, LLC</t>
        </is>
      </c>
      <c r="B19" s="24" t="n">
        <v>174505.69</v>
      </c>
      <c r="C19" s="24" t="n">
        <v>77705.72</v>
      </c>
      <c r="D19" s="24" t="n">
        <v>0</v>
      </c>
      <c r="E19" s="24" t="n">
        <v>0</v>
      </c>
      <c r="F19" s="24" t="n">
        <v>0</v>
      </c>
      <c r="G19" s="39" t="n">
        <v>252211.41</v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Meyer Najem</t>
        </is>
      </c>
      <c r="B20" s="24" t="n">
        <v>6267.5</v>
      </c>
      <c r="C20" s="24" t="n">
        <v>0</v>
      </c>
      <c r="D20" s="24" t="n">
        <v>0</v>
      </c>
      <c r="E20" s="24" t="n">
        <v>26925.21</v>
      </c>
      <c r="F20" s="24" t="n">
        <v>188023.46</v>
      </c>
      <c r="G20" s="39" t="n">
        <v>221216.17</v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3" t="inlineStr">
        <is>
          <t>J.C. Hart Company, Inc.</t>
        </is>
      </c>
      <c r="B21" s="24" t="n">
        <v>96132.92</v>
      </c>
      <c r="C21" s="24" t="n">
        <v>63353.47</v>
      </c>
      <c r="D21" s="24" t="n">
        <v>0</v>
      </c>
      <c r="E21" s="24" t="n">
        <v>0</v>
      </c>
      <c r="F21" s="24" t="n">
        <v>0</v>
      </c>
      <c r="G21" s="39" t="n">
        <v>159486.39</v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3" t="inlineStr">
        <is>
          <t>Patterson Horth, Inc.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143724.99</v>
      </c>
      <c r="G22" s="39" t="n">
        <v>143724.99</v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3" t="inlineStr">
        <is>
          <t>Arbor Homes</t>
        </is>
      </c>
      <c r="B23" s="24" t="n">
        <v>112439.58</v>
      </c>
      <c r="C23" s="24" t="n">
        <v>0</v>
      </c>
      <c r="D23" s="24" t="n">
        <v>0</v>
      </c>
      <c r="E23" s="24" t="n">
        <v>20386.58</v>
      </c>
      <c r="F23" s="24" t="n">
        <v>-12094.76</v>
      </c>
      <c r="G23" s="39" t="n">
        <v>120731.4</v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3" t="inlineStr">
        <is>
          <t>Flores Drywall and Remodeling LLC</t>
        </is>
      </c>
      <c r="B24" s="24" t="n">
        <v>91048.89999999999</v>
      </c>
      <c r="C24" s="24" t="n">
        <v>15112.12</v>
      </c>
      <c r="D24" s="24" t="n">
        <v>0</v>
      </c>
      <c r="E24" s="24" t="n">
        <v>0</v>
      </c>
      <c r="F24" s="24" t="n">
        <v>0</v>
      </c>
      <c r="G24" s="39" t="n">
        <v>106161.02</v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3" t="inlineStr">
        <is>
          <t>DEEM, LLC</t>
        </is>
      </c>
      <c r="B25" s="24" t="n">
        <v>61895.38</v>
      </c>
      <c r="C25" s="24" t="n">
        <v>2000</v>
      </c>
      <c r="D25" s="24" t="n">
        <v>4225.5</v>
      </c>
      <c r="E25" s="24" t="n">
        <v>28757.01</v>
      </c>
      <c r="F25" s="24" t="n">
        <v>5000.03</v>
      </c>
      <c r="G25" s="39" t="n">
        <v>101877.92</v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3" t="inlineStr">
        <is>
          <t>Patch Development</t>
        </is>
      </c>
      <c r="B26" s="24" t="n">
        <v>15211.87</v>
      </c>
      <c r="C26" s="24" t="n">
        <v>44532.3</v>
      </c>
      <c r="D26" s="24" t="n">
        <v>1350</v>
      </c>
      <c r="E26" s="24" t="n">
        <v>0</v>
      </c>
      <c r="F26" s="24" t="n">
        <v>39000</v>
      </c>
      <c r="G26" s="39" t="n">
        <v>100094.17</v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3" t="inlineStr">
        <is>
          <t>Stenz Corp</t>
        </is>
      </c>
      <c r="B27" s="24" t="n">
        <v>9190.370000000001</v>
      </c>
      <c r="C27" s="24" t="n">
        <v>9000</v>
      </c>
      <c r="D27" s="24" t="n">
        <v>36934.63</v>
      </c>
      <c r="E27" s="24" t="n">
        <v>18000</v>
      </c>
      <c r="F27" s="24" t="n">
        <v>0</v>
      </c>
      <c r="G27" s="39" t="n">
        <v>73125</v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3" t="inlineStr">
        <is>
          <t>Novo Development Group, LLC</t>
        </is>
      </c>
      <c r="B28" s="24" t="n">
        <v>60165.16</v>
      </c>
      <c r="C28" s="24" t="n">
        <v>0</v>
      </c>
      <c r="D28" s="24" t="n">
        <v>-1973.34</v>
      </c>
      <c r="E28" s="24" t="n">
        <v>0</v>
      </c>
      <c r="F28" s="24" t="n">
        <v>0</v>
      </c>
      <c r="G28" s="39" t="n">
        <v>58191.82000000001</v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3" t="inlineStr">
        <is>
          <t>GSI - Gregory Scott Inabnit LLC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52867.87</v>
      </c>
      <c r="G29" s="39" t="n">
        <v>52867.87</v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3" t="inlineStr">
        <is>
          <t>County Prestress &amp; Precast, LLC</t>
        </is>
      </c>
      <c r="B30" s="24" t="n">
        <v>30500</v>
      </c>
      <c r="C30" s="24" t="n">
        <v>0</v>
      </c>
      <c r="D30" s="24" t="n">
        <v>22000</v>
      </c>
      <c r="E30" s="24" t="n">
        <v>0</v>
      </c>
      <c r="F30" s="24" t="n">
        <v>0</v>
      </c>
      <c r="G30" s="39" t="n">
        <v>52500</v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3" t="inlineStr">
        <is>
          <t>Precision Dry Wall</t>
        </is>
      </c>
      <c r="B31" s="24" t="n">
        <v>26295.22</v>
      </c>
      <c r="C31" s="24" t="n">
        <v>16327.53</v>
      </c>
      <c r="D31" s="24" t="n">
        <v>0</v>
      </c>
      <c r="E31" s="24" t="n">
        <v>0</v>
      </c>
      <c r="F31" s="24" t="n">
        <v>0</v>
      </c>
      <c r="G31" s="39" t="n">
        <v>42622.75</v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3" t="inlineStr">
        <is>
          <t>BW Facility Management, LLC</t>
        </is>
      </c>
      <c r="B32" s="24" t="n">
        <v>34444.01</v>
      </c>
      <c r="C32" s="24" t="n">
        <v>0</v>
      </c>
      <c r="D32" s="24" t="n">
        <v>0</v>
      </c>
      <c r="E32" s="24" t="n">
        <v>0</v>
      </c>
      <c r="F32" s="24" t="n">
        <v>0</v>
      </c>
      <c r="G32" s="39" t="n">
        <v>34444.01</v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3" t="inlineStr">
        <is>
          <t>Kjt General Construction</t>
        </is>
      </c>
      <c r="B33" s="24" t="n">
        <v>0</v>
      </c>
      <c r="C33" s="24" t="n">
        <v>0</v>
      </c>
      <c r="D33" s="24" t="n">
        <v>0</v>
      </c>
      <c r="E33" s="24" t="n">
        <v>2072.89</v>
      </c>
      <c r="F33" s="24" t="n">
        <v>26152.31</v>
      </c>
      <c r="G33" s="39" t="n">
        <v>28225.2</v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3" t="inlineStr">
        <is>
          <t>The ACTS Collaborative, LLC</t>
        </is>
      </c>
      <c r="B34" s="24" t="n">
        <v>28129.5</v>
      </c>
      <c r="C34" s="24" t="n">
        <v>0</v>
      </c>
      <c r="D34" s="24" t="n">
        <v>0</v>
      </c>
      <c r="E34" s="24" t="n">
        <v>0</v>
      </c>
      <c r="F34" s="24" t="n">
        <v>0</v>
      </c>
      <c r="G34" s="39" t="n">
        <v>28129.5</v>
      </c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3" t="inlineStr">
        <is>
          <t>Pro Fix Drywaller, LLC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22972.34</v>
      </c>
      <c r="G35" s="39" t="n">
        <v>22972.34</v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3" t="inlineStr">
        <is>
          <t>Mitsch Design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19000</v>
      </c>
      <c r="G36" s="39" t="n">
        <v>19000</v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3" t="inlineStr">
        <is>
          <t>Yaggi's White Glove Delivery, LLC</t>
        </is>
      </c>
      <c r="B37" s="24" t="n">
        <v>0</v>
      </c>
      <c r="C37" s="24" t="n">
        <v>0</v>
      </c>
      <c r="D37" s="24" t="n">
        <v>0</v>
      </c>
      <c r="E37" s="24" t="n">
        <v>0</v>
      </c>
      <c r="F37" s="24" t="n">
        <v>18935.33</v>
      </c>
      <c r="G37" s="39" t="n">
        <v>18935.33</v>
      </c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3" t="inlineStr">
        <is>
          <t>Daniel T Swanson</t>
        </is>
      </c>
      <c r="B38" s="24" t="n">
        <v>0</v>
      </c>
      <c r="C38" s="24" t="n">
        <v>16000</v>
      </c>
      <c r="D38" s="24" t="n">
        <v>0</v>
      </c>
      <c r="E38" s="24" t="n">
        <v>0</v>
      </c>
      <c r="F38" s="24" t="n">
        <v>0</v>
      </c>
      <c r="G38" s="39" t="n">
        <v>16000</v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3" t="inlineStr">
        <is>
          <t>Becknell Industries</t>
        </is>
      </c>
      <c r="B39" s="24" t="n">
        <v>13100</v>
      </c>
      <c r="C39" s="24" t="n">
        <v>0</v>
      </c>
      <c r="D39" s="24" t="n">
        <v>0</v>
      </c>
      <c r="E39" s="24" t="n">
        <v>0</v>
      </c>
      <c r="F39" s="24" t="n">
        <v>2500</v>
      </c>
      <c r="G39" s="39" t="n">
        <v>15600</v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3" t="inlineStr">
        <is>
          <t>Community Drywall</t>
        </is>
      </c>
      <c r="B40" s="24" t="n">
        <v>0</v>
      </c>
      <c r="C40" s="24" t="n">
        <v>0</v>
      </c>
      <c r="D40" s="24" t="n">
        <v>0</v>
      </c>
      <c r="E40" s="24" t="n">
        <v>0</v>
      </c>
      <c r="F40" s="24" t="n">
        <v>13844.41</v>
      </c>
      <c r="G40" s="39" t="n">
        <v>13844.41</v>
      </c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3" t="inlineStr">
        <is>
          <t>Big Dawg Drywall</t>
        </is>
      </c>
      <c r="B41" s="24" t="n">
        <v>0</v>
      </c>
      <c r="C41" s="24" t="n">
        <v>5928.42</v>
      </c>
      <c r="D41" s="24" t="n">
        <v>0</v>
      </c>
      <c r="E41" s="24" t="n">
        <v>0</v>
      </c>
      <c r="F41" s="24" t="n">
        <v>7365.93</v>
      </c>
      <c r="G41" s="39" t="n">
        <v>13294.35</v>
      </c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3" t="inlineStr">
        <is>
          <t>Michael Valentine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12430.13</v>
      </c>
      <c r="G42" s="39" t="n">
        <v>12430.13</v>
      </c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3" t="inlineStr">
        <is>
          <t>ZMX Inc.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10646.9</v>
      </c>
      <c r="G43" s="39" t="n">
        <v>10646.9</v>
      </c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3" t="inlineStr">
        <is>
          <t>Cargo Loop, LLC</t>
        </is>
      </c>
      <c r="B44" s="24" t="n">
        <v>10417</v>
      </c>
      <c r="C44" s="24" t="n">
        <v>0</v>
      </c>
      <c r="D44" s="24" t="n">
        <v>0</v>
      </c>
      <c r="E44" s="24" t="n">
        <v>0</v>
      </c>
      <c r="F44" s="24" t="n">
        <v>0</v>
      </c>
      <c r="G44" s="39" t="n">
        <v>10417</v>
      </c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3" t="inlineStr">
        <is>
          <t>Indiana Steel Fabricating</t>
        </is>
      </c>
      <c r="B45" s="24" t="n">
        <v>8000</v>
      </c>
      <c r="C45" s="24" t="n">
        <v>0</v>
      </c>
      <c r="D45" s="24" t="n">
        <v>0</v>
      </c>
      <c r="E45" s="24" t="n">
        <v>0</v>
      </c>
      <c r="F45" s="24" t="n">
        <v>0</v>
      </c>
      <c r="G45" s="39" t="n">
        <v>8000</v>
      </c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3" t="inlineStr">
        <is>
          <t>Cornerstone Flooring</t>
        </is>
      </c>
      <c r="B46" s="24" t="n">
        <v>0</v>
      </c>
      <c r="C46" s="24" t="n">
        <v>0</v>
      </c>
      <c r="D46" s="24" t="n">
        <v>0</v>
      </c>
      <c r="E46" s="24" t="n">
        <v>7500</v>
      </c>
      <c r="F46" s="24" t="n">
        <v>0</v>
      </c>
      <c r="G46" s="39" t="n">
        <v>7500</v>
      </c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3" t="inlineStr">
        <is>
          <t>JRA Architecture, LLC</t>
        </is>
      </c>
      <c r="B47" s="24" t="n">
        <v>0</v>
      </c>
      <c r="C47" s="24" t="n">
        <v>6000</v>
      </c>
      <c r="D47" s="24" t="n">
        <v>0</v>
      </c>
      <c r="E47" s="24" t="n">
        <v>0</v>
      </c>
      <c r="F47" s="24" t="n">
        <v>0</v>
      </c>
      <c r="G47" s="39" t="n">
        <v>6000</v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3" t="inlineStr">
        <is>
          <t>Lauth Group, Inc.</t>
        </is>
      </c>
      <c r="B48" s="24" t="n">
        <v>0</v>
      </c>
      <c r="C48" s="24" t="n">
        <v>0</v>
      </c>
      <c r="D48" s="24" t="n">
        <v>0</v>
      </c>
      <c r="E48" s="24" t="n">
        <v>0</v>
      </c>
      <c r="F48" s="24" t="n">
        <v>5000</v>
      </c>
      <c r="G48" s="39" t="n">
        <v>5000</v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3" t="inlineStr">
        <is>
          <t>MDG Holdings, LLC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4708.82</v>
      </c>
      <c r="G49" s="39" t="n">
        <v>4708.82</v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3" t="inlineStr">
        <is>
          <t>DLR Group</t>
        </is>
      </c>
      <c r="B50" s="24" t="n">
        <v>0</v>
      </c>
      <c r="C50" s="24" t="n">
        <v>0</v>
      </c>
      <c r="D50" s="24" t="n">
        <v>4500</v>
      </c>
      <c r="E50" s="24" t="n">
        <v>0</v>
      </c>
      <c r="F50" s="24" t="n">
        <v>0</v>
      </c>
      <c r="G50" s="39" t="n">
        <v>4500</v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3" t="inlineStr">
        <is>
          <t>Total Drywall Solutions Inc</t>
        </is>
      </c>
      <c r="B51" s="24" t="n">
        <v>0</v>
      </c>
      <c r="C51" s="24" t="n">
        <v>0</v>
      </c>
      <c r="D51" s="24" t="n">
        <v>0</v>
      </c>
      <c r="E51" s="24" t="n">
        <v>0</v>
      </c>
      <c r="F51" s="24" t="n">
        <v>4485.21</v>
      </c>
      <c r="G51" s="39" t="n">
        <v>4485.21</v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3" t="inlineStr">
        <is>
          <t>Bischoff Construction, LLC</t>
        </is>
      </c>
      <c r="B52" s="24" t="n">
        <v>4020</v>
      </c>
      <c r="C52" s="24" t="n">
        <v>0</v>
      </c>
      <c r="D52" s="24" t="n">
        <v>0</v>
      </c>
      <c r="E52" s="24" t="n">
        <v>0</v>
      </c>
      <c r="F52" s="24" t="n">
        <v>0</v>
      </c>
      <c r="G52" s="39" t="n">
        <v>4020</v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3" t="inlineStr">
        <is>
          <t>Forge Construction, LLC</t>
        </is>
      </c>
      <c r="B53" s="24" t="n">
        <v>3600</v>
      </c>
      <c r="C53" s="24" t="n">
        <v>0</v>
      </c>
      <c r="D53" s="24" t="n">
        <v>0</v>
      </c>
      <c r="E53" s="24" t="n">
        <v>0</v>
      </c>
      <c r="F53" s="24" t="n">
        <v>0</v>
      </c>
      <c r="G53" s="39" t="n">
        <v>3600</v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3" t="inlineStr">
        <is>
          <t>Enviro-Max</t>
        </is>
      </c>
      <c r="B54" s="24" t="n">
        <v>0</v>
      </c>
      <c r="C54" s="24" t="n">
        <v>0</v>
      </c>
      <c r="D54" s="24" t="n">
        <v>0</v>
      </c>
      <c r="E54" s="24" t="n">
        <v>3500</v>
      </c>
      <c r="F54" s="24" t="n">
        <v>0</v>
      </c>
      <c r="G54" s="39" t="n">
        <v>3500</v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3" t="inlineStr">
        <is>
          <t>Convivio Italian Artisan Cuisine (SPIGA Noblesville)</t>
        </is>
      </c>
      <c r="B55" s="24" t="n">
        <v>2555.2</v>
      </c>
      <c r="C55" s="24" t="n">
        <v>0</v>
      </c>
      <c r="D55" s="24" t="n">
        <v>0</v>
      </c>
      <c r="E55" s="24" t="n">
        <v>0</v>
      </c>
      <c r="F55" s="24" t="n">
        <v>0</v>
      </c>
      <c r="G55" s="39" t="n">
        <v>2555.2</v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3" t="inlineStr">
        <is>
          <t>Diaz Gutter and Drywall, LLC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2399.42</v>
      </c>
      <c r="G56" s="39" t="n">
        <v>2399.42</v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3" t="inlineStr">
        <is>
          <t>Indianapolis Fire Department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768.35</v>
      </c>
      <c r="G57" s="39" t="n">
        <v>768.35</v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3" t="inlineStr">
        <is>
          <t>Priority Constructors</t>
        </is>
      </c>
      <c r="B58" s="24" t="n">
        <v>0</v>
      </c>
      <c r="C58" s="24" t="n">
        <v>0</v>
      </c>
      <c r="D58" s="24" t="n">
        <v>0</v>
      </c>
      <c r="E58" s="24" t="n">
        <v>0</v>
      </c>
      <c r="F58" s="24" t="n">
        <v>720.0599999999999</v>
      </c>
      <c r="G58" s="39" t="n">
        <v>720.0599999999999</v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3" t="inlineStr">
        <is>
          <t>The Home Depot, Inc.</t>
        </is>
      </c>
      <c r="B59" s="24" t="n">
        <v>0</v>
      </c>
      <c r="C59" s="24" t="n">
        <v>0</v>
      </c>
      <c r="D59" s="24" t="n">
        <v>0</v>
      </c>
      <c r="E59" s="24" t="n">
        <v>0</v>
      </c>
      <c r="F59" s="24" t="n">
        <v>585.54</v>
      </c>
      <c r="G59" s="39" t="n">
        <v>585.54</v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40" t="inlineStr">
        <is>
          <t>TOTAL TRADE A/R</t>
        </is>
      </c>
      <c r="B60" s="41" t="n">
        <v>6579573.280000001</v>
      </c>
      <c r="C60" s="41" t="n">
        <v>2745573.830000001</v>
      </c>
      <c r="D60" s="41" t="n">
        <v>2352383.65</v>
      </c>
      <c r="E60" s="41" t="n">
        <v>475485.63</v>
      </c>
      <c r="F60" s="41" t="n">
        <v>833859.48</v>
      </c>
      <c r="G60" s="41" t="n">
        <v>12986875.87</v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42" t="inlineStr">
        <is>
          <t>Retainage Receivable (held, not aging)</t>
        </is>
      </c>
      <c r="B61" s="2" t="n"/>
      <c r="C61" s="2" t="n"/>
      <c r="D61" s="2" t="n"/>
      <c r="E61" s="2" t="n"/>
      <c r="F61" s="2" t="n"/>
      <c r="G61" s="43" t="n">
        <v>3136194.46</v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62B38"/>
    <outlinePr summaryBelow="1" summaryRight="1"/>
    <pageSetUpPr/>
  </sheetPr>
  <dimension ref="A1:O1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Accounts Payable Aging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By vendor &amp; bucket (QuickBooks, as of 2026-06-17)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Vendor</t>
        </is>
      </c>
      <c r="B4" s="22" t="inlineStr">
        <is>
          <t>Current</t>
        </is>
      </c>
      <c r="C4" s="22" t="inlineStr">
        <is>
          <t>1-30</t>
        </is>
      </c>
      <c r="D4" s="22" t="inlineStr">
        <is>
          <t>31-60</t>
        </is>
      </c>
      <c r="E4" s="22" t="inlineStr">
        <is>
          <t>61-90</t>
        </is>
      </c>
      <c r="F4" s="22" t="inlineStr">
        <is>
          <t>91+</t>
        </is>
      </c>
      <c r="G4" s="22" t="inlineStr">
        <is>
          <t>Total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3" t="inlineStr">
        <is>
          <t>Foundation Building Materials (FBM)</t>
        </is>
      </c>
      <c r="B5" s="24" t="n">
        <v>832567.5600000001</v>
      </c>
      <c r="C5" s="24" t="n">
        <v>0</v>
      </c>
      <c r="D5" s="24" t="n">
        <v>-620.9400000000001</v>
      </c>
      <c r="E5" s="24" t="n">
        <v>0</v>
      </c>
      <c r="F5" s="24" t="n">
        <v>-2979.13</v>
      </c>
      <c r="G5" s="39" t="n">
        <v>828967.4900000001</v>
      </c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3" t="inlineStr">
        <is>
          <t>Home Depot (HD Pro)</t>
        </is>
      </c>
      <c r="B6" s="24" t="n">
        <v>739119.02</v>
      </c>
      <c r="C6" s="24" t="n">
        <v>0</v>
      </c>
      <c r="D6" s="24" t="n">
        <v>0</v>
      </c>
      <c r="E6" s="24" t="n">
        <v>0</v>
      </c>
      <c r="F6" s="24" t="n">
        <v>0</v>
      </c>
      <c r="G6" s="39" t="n">
        <v>739119.02</v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3" t="inlineStr">
        <is>
          <t>Lowe's</t>
        </is>
      </c>
      <c r="B7" s="24" t="n">
        <v>303594.49</v>
      </c>
      <c r="C7" s="24" t="n">
        <v>14199.9</v>
      </c>
      <c r="D7" s="24" t="n">
        <v>20320.44</v>
      </c>
      <c r="E7" s="24" t="n">
        <v>0</v>
      </c>
      <c r="F7" s="24" t="n">
        <v>76.41</v>
      </c>
      <c r="G7" s="39" t="n">
        <v>338191.24</v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3" t="inlineStr">
        <is>
          <t>Sherwin Williams</t>
        </is>
      </c>
      <c r="B8" s="24" t="n">
        <v>203177.5</v>
      </c>
      <c r="C8" s="24" t="n">
        <v>1839.06</v>
      </c>
      <c r="D8" s="24" t="n">
        <v>-10.27</v>
      </c>
      <c r="E8" s="24" t="n">
        <v>-486.97</v>
      </c>
      <c r="F8" s="24" t="n">
        <v>-494.67</v>
      </c>
      <c r="G8" s="39" t="n">
        <v>204024.65</v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3" t="inlineStr">
        <is>
          <t>United (GMS)/Cherokee Building Materials</t>
        </is>
      </c>
      <c r="B9" s="24" t="n">
        <v>177526.44</v>
      </c>
      <c r="C9" s="24" t="n">
        <v>0</v>
      </c>
      <c r="D9" s="24" t="n">
        <v>0</v>
      </c>
      <c r="E9" s="24" t="n">
        <v>0</v>
      </c>
      <c r="F9" s="24" t="n">
        <v>0</v>
      </c>
      <c r="G9" s="39" t="n">
        <v>177526.44</v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3" t="inlineStr">
        <is>
          <t>Mendoza Construction LLC (V)</t>
        </is>
      </c>
      <c r="B10" s="24" t="n">
        <v>146738.27</v>
      </c>
      <c r="C10" s="24" t="n">
        <v>3000</v>
      </c>
      <c r="D10" s="24" t="n">
        <v>3736.5</v>
      </c>
      <c r="E10" s="24" t="n">
        <v>0</v>
      </c>
      <c r="F10" s="24" t="n">
        <v>9485.379999999999</v>
      </c>
      <c r="G10" s="39" t="n">
        <v>162960.15</v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Interior Supply Inc (ISI)</t>
        </is>
      </c>
      <c r="B11" s="24" t="n">
        <v>129139.47</v>
      </c>
      <c r="C11" s="24" t="n">
        <v>0</v>
      </c>
      <c r="D11" s="24" t="n">
        <v>13.37</v>
      </c>
      <c r="E11" s="24" t="n">
        <v>0</v>
      </c>
      <c r="F11" s="24" t="n">
        <v>0</v>
      </c>
      <c r="G11" s="39" t="n">
        <v>129152.84</v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Internal Drywall Division</t>
        </is>
      </c>
      <c r="B12" s="24" t="n">
        <v>113560.43</v>
      </c>
      <c r="C12" s="24" t="n">
        <v>0</v>
      </c>
      <c r="D12" s="24" t="n">
        <v>0</v>
      </c>
      <c r="E12" s="24" t="n">
        <v>0</v>
      </c>
      <c r="F12" s="24" t="n">
        <v>0</v>
      </c>
      <c r="G12" s="39" t="n">
        <v>113560.43</v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3" t="inlineStr">
        <is>
          <t>Prime Drywall Services LLC</t>
        </is>
      </c>
      <c r="B13" s="24" t="n">
        <v>92882.96000000001</v>
      </c>
      <c r="C13" s="24" t="n">
        <v>0</v>
      </c>
      <c r="D13" s="24" t="n">
        <v>3000</v>
      </c>
      <c r="E13" s="24" t="n">
        <v>404.64</v>
      </c>
      <c r="F13" s="24" t="n">
        <v>3200.56</v>
      </c>
      <c r="G13" s="39" t="n">
        <v>99488.16</v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3" t="inlineStr">
        <is>
          <t>Nemix Painting &amp; Construction LLC</t>
        </is>
      </c>
      <c r="B14" s="24" t="n">
        <v>60338.96</v>
      </c>
      <c r="C14" s="24" t="n">
        <v>1985.5</v>
      </c>
      <c r="D14" s="24" t="n">
        <v>0</v>
      </c>
      <c r="E14" s="24" t="n">
        <v>11248.05</v>
      </c>
      <c r="F14" s="24" t="n">
        <v>8485.76</v>
      </c>
      <c r="G14" s="39" t="n">
        <v>82058.26999999999</v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3" t="inlineStr">
        <is>
          <t>Home Depot</t>
        </is>
      </c>
      <c r="B15" s="24" t="n">
        <v>71539.66</v>
      </c>
      <c r="C15" s="24" t="n">
        <v>0</v>
      </c>
      <c r="D15" s="24" t="n">
        <v>0</v>
      </c>
      <c r="E15" s="24" t="n">
        <v>0</v>
      </c>
      <c r="F15" s="24" t="n">
        <v>0</v>
      </c>
      <c r="G15" s="39" t="n">
        <v>71539.66</v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3" t="inlineStr">
        <is>
          <t>Jose Antonio Gallegos Alvarez</t>
        </is>
      </c>
      <c r="B16" s="24" t="n">
        <v>54757.04</v>
      </c>
      <c r="C16" s="24" t="n">
        <v>1260</v>
      </c>
      <c r="D16" s="24" t="n">
        <v>1962.2</v>
      </c>
      <c r="E16" s="24" t="n">
        <v>6076.3</v>
      </c>
      <c r="F16" s="24" t="n">
        <v>7185.34</v>
      </c>
      <c r="G16" s="39" t="n">
        <v>71240.88</v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3" t="inlineStr">
        <is>
          <t>AZS General Construction Corp</t>
        </is>
      </c>
      <c r="B17" s="24" t="n">
        <v>39860.36</v>
      </c>
      <c r="C17" s="24" t="n">
        <v>6800</v>
      </c>
      <c r="D17" s="24" t="n">
        <v>6663.8</v>
      </c>
      <c r="E17" s="24" t="n">
        <v>2568.19</v>
      </c>
      <c r="F17" s="24" t="n">
        <v>7604.3</v>
      </c>
      <c r="G17" s="39" t="n">
        <v>63496.65000000001</v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3" t="inlineStr">
        <is>
          <t>United Rentals Inc.</t>
        </is>
      </c>
      <c r="B18" s="24" t="n">
        <v>50995.72</v>
      </c>
      <c r="C18" s="24" t="n">
        <v>0</v>
      </c>
      <c r="D18" s="24" t="n">
        <v>0</v>
      </c>
      <c r="E18" s="24" t="n">
        <v>0</v>
      </c>
      <c r="F18" s="24" t="n">
        <v>0</v>
      </c>
      <c r="G18" s="39" t="n">
        <v>50995.72</v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3" t="inlineStr">
        <is>
          <t>MacAllister Rentals (R)</t>
        </is>
      </c>
      <c r="B19" s="24" t="n">
        <v>47500.09</v>
      </c>
      <c r="C19" s="24" t="n">
        <v>0</v>
      </c>
      <c r="D19" s="24" t="n">
        <v>0</v>
      </c>
      <c r="E19" s="24" t="n">
        <v>0</v>
      </c>
      <c r="F19" s="24" t="n">
        <v>-133.75</v>
      </c>
      <c r="G19" s="39" t="n">
        <v>47366.34</v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Mendoza Innovations, LLC</t>
        </is>
      </c>
      <c r="B20" s="24" t="n">
        <v>0</v>
      </c>
      <c r="C20" s="24" t="n">
        <v>46637.84</v>
      </c>
      <c r="D20" s="24" t="n">
        <v>0</v>
      </c>
      <c r="E20" s="24" t="n">
        <v>0</v>
      </c>
      <c r="F20" s="24" t="n">
        <v>0</v>
      </c>
      <c r="G20" s="39" t="n">
        <v>46637.84</v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3" t="inlineStr">
        <is>
          <t>C&amp;C Martinez Drywall LLC</t>
        </is>
      </c>
      <c r="B21" s="24" t="n">
        <v>38293.86</v>
      </c>
      <c r="C21" s="24" t="n">
        <v>0</v>
      </c>
      <c r="D21" s="24" t="n">
        <v>0</v>
      </c>
      <c r="E21" s="24" t="n">
        <v>3310.96</v>
      </c>
      <c r="F21" s="24" t="n">
        <v>1305.46</v>
      </c>
      <c r="G21" s="39" t="n">
        <v>42910.28</v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3" t="inlineStr">
        <is>
          <t>GTZ Builders, LLC (Paulo)</t>
        </is>
      </c>
      <c r="B22" s="24" t="n">
        <v>30842.4</v>
      </c>
      <c r="C22" s="24" t="n">
        <v>0</v>
      </c>
      <c r="D22" s="24" t="n">
        <v>0</v>
      </c>
      <c r="E22" s="24" t="n">
        <v>0</v>
      </c>
      <c r="F22" s="24" t="n">
        <v>0</v>
      </c>
      <c r="G22" s="39" t="n">
        <v>30842.4</v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3" t="inlineStr">
        <is>
          <t>Iracheta Drywall LLC</t>
        </is>
      </c>
      <c r="B23" s="24" t="n">
        <v>25249.02</v>
      </c>
      <c r="C23" s="24" t="n">
        <v>0</v>
      </c>
      <c r="D23" s="24" t="n">
        <v>0</v>
      </c>
      <c r="E23" s="24" t="n">
        <v>0</v>
      </c>
      <c r="F23" s="24" t="n">
        <v>1972.98</v>
      </c>
      <c r="G23" s="39" t="n">
        <v>27222</v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3" t="inlineStr">
        <is>
          <t>Indy Pro Painters Services, LLC</t>
        </is>
      </c>
      <c r="B24" s="24" t="n">
        <v>11669.8</v>
      </c>
      <c r="C24" s="24" t="n">
        <v>0</v>
      </c>
      <c r="D24" s="24" t="n">
        <v>1800</v>
      </c>
      <c r="E24" s="24" t="n">
        <v>3822.5</v>
      </c>
      <c r="F24" s="24" t="n">
        <v>9740</v>
      </c>
      <c r="G24" s="39" t="n">
        <v>27032.3</v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3" t="inlineStr">
        <is>
          <t>LH Industrial</t>
        </is>
      </c>
      <c r="B25" s="24" t="n">
        <v>20346.53</v>
      </c>
      <c r="C25" s="24" t="n">
        <v>0</v>
      </c>
      <c r="D25" s="24" t="n">
        <v>0</v>
      </c>
      <c r="E25" s="24" t="n">
        <v>-117.52</v>
      </c>
      <c r="F25" s="24" t="n">
        <v>0</v>
      </c>
      <c r="G25" s="39" t="n">
        <v>20229.01</v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3" t="inlineStr">
        <is>
          <t>Haines, Jones, &amp; Cadbury, LLC</t>
        </is>
      </c>
      <c r="B26" s="24" t="n">
        <v>18675.29</v>
      </c>
      <c r="C26" s="24" t="n">
        <v>0</v>
      </c>
      <c r="D26" s="24" t="n">
        <v>0</v>
      </c>
      <c r="E26" s="24" t="n">
        <v>0</v>
      </c>
      <c r="F26" s="24" t="n">
        <v>0</v>
      </c>
      <c r="G26" s="39" t="n">
        <v>18675.29</v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3" t="inlineStr">
        <is>
          <t>Riteway Tool &amp; Fasteners</t>
        </is>
      </c>
      <c r="B27" s="24" t="n">
        <v>17855.06</v>
      </c>
      <c r="C27" s="24" t="n">
        <v>0</v>
      </c>
      <c r="D27" s="24" t="n">
        <v>0</v>
      </c>
      <c r="E27" s="24" t="n">
        <v>0</v>
      </c>
      <c r="F27" s="24" t="n">
        <v>-44.73</v>
      </c>
      <c r="G27" s="39" t="n">
        <v>17810.33</v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3" t="inlineStr">
        <is>
          <t>Sandra Yanett Ayala LLC</t>
        </is>
      </c>
      <c r="B28" s="24" t="n">
        <v>5476.52</v>
      </c>
      <c r="C28" s="24" t="n">
        <v>0</v>
      </c>
      <c r="D28" s="24" t="n">
        <v>2668.78</v>
      </c>
      <c r="E28" s="24" t="n">
        <v>7456.06</v>
      </c>
      <c r="F28" s="24" t="n">
        <v>0</v>
      </c>
      <c r="G28" s="39" t="n">
        <v>15601.36</v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3" t="inlineStr">
        <is>
          <t>ABC Supply Interiors, Inc. (L&amp;W)</t>
        </is>
      </c>
      <c r="B29" s="24" t="n">
        <v>18002.12</v>
      </c>
      <c r="C29" s="24" t="n">
        <v>0</v>
      </c>
      <c r="D29" s="24" t="n">
        <v>0</v>
      </c>
      <c r="E29" s="24" t="n">
        <v>0</v>
      </c>
      <c r="F29" s="24" t="n">
        <v>-3711.8</v>
      </c>
      <c r="G29" s="39" t="n">
        <v>14290.32</v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3" t="inlineStr">
        <is>
          <t>BA Construction Remodeling LLC</t>
        </is>
      </c>
      <c r="B30" s="24" t="n">
        <v>12443</v>
      </c>
      <c r="C30" s="24" t="n">
        <v>0</v>
      </c>
      <c r="D30" s="24" t="n">
        <v>0</v>
      </c>
      <c r="E30" s="24" t="n">
        <v>0</v>
      </c>
      <c r="F30" s="24" t="n">
        <v>0</v>
      </c>
      <c r="G30" s="39" t="n">
        <v>12443</v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3" t="inlineStr">
        <is>
          <t>Saravia Drywall, LLC</t>
        </is>
      </c>
      <c r="B31" s="24" t="n">
        <v>11280</v>
      </c>
      <c r="C31" s="24" t="n">
        <v>0</v>
      </c>
      <c r="D31" s="24" t="n">
        <v>0</v>
      </c>
      <c r="E31" s="24" t="n">
        <v>0</v>
      </c>
      <c r="F31" s="24" t="n">
        <v>0</v>
      </c>
      <c r="G31" s="39" t="n">
        <v>11280</v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3" t="inlineStr">
        <is>
          <t>Barahona Painting LLC</t>
        </is>
      </c>
      <c r="B32" s="24" t="n">
        <v>10397.46</v>
      </c>
      <c r="C32" s="24" t="n">
        <v>0</v>
      </c>
      <c r="D32" s="24" t="n">
        <v>0</v>
      </c>
      <c r="E32" s="24" t="n">
        <v>0</v>
      </c>
      <c r="F32" s="24" t="n">
        <v>0</v>
      </c>
      <c r="G32" s="39" t="n">
        <v>10397.46</v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3" t="inlineStr">
        <is>
          <t>JR Woodworks and Custom Cabinets LLC</t>
        </is>
      </c>
      <c r="B33" s="24" t="n">
        <v>6010</v>
      </c>
      <c r="C33" s="24" t="n">
        <v>3890</v>
      </c>
      <c r="D33" s="24" t="n">
        <v>0</v>
      </c>
      <c r="E33" s="24" t="n">
        <v>0</v>
      </c>
      <c r="F33" s="24" t="n">
        <v>0</v>
      </c>
      <c r="G33" s="39" t="n">
        <v>9900</v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3" t="inlineStr">
        <is>
          <t>Interior Product Supply (IPS) GMS Co (Cherokee BM)</t>
        </is>
      </c>
      <c r="B34" s="24" t="n">
        <v>9710.52</v>
      </c>
      <c r="C34" s="24" t="n">
        <v>0</v>
      </c>
      <c r="D34" s="24" t="n">
        <v>0</v>
      </c>
      <c r="E34" s="24" t="n">
        <v>0</v>
      </c>
      <c r="F34" s="24" t="n">
        <v>0</v>
      </c>
      <c r="G34" s="39" t="n">
        <v>9710.52</v>
      </c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3" t="inlineStr">
        <is>
          <t>GTO Drywall &amp; Metal Framing LLC</t>
        </is>
      </c>
      <c r="B35" s="24" t="n">
        <v>3325.4</v>
      </c>
      <c r="C35" s="24" t="n">
        <v>6089.4</v>
      </c>
      <c r="D35" s="24" t="n">
        <v>0</v>
      </c>
      <c r="E35" s="24" t="n">
        <v>0</v>
      </c>
      <c r="F35" s="24" t="n">
        <v>0</v>
      </c>
      <c r="G35" s="39" t="n">
        <v>9414.799999999999</v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3" t="inlineStr">
        <is>
          <t>Kjt General Construction LLC (V)</t>
        </is>
      </c>
      <c r="B36" s="24" t="n">
        <v>8971.91</v>
      </c>
      <c r="C36" s="24" t="n">
        <v>0</v>
      </c>
      <c r="D36" s="24" t="n">
        <v>0</v>
      </c>
      <c r="E36" s="24" t="n">
        <v>0</v>
      </c>
      <c r="F36" s="24" t="n">
        <v>0</v>
      </c>
      <c r="G36" s="39" t="n">
        <v>8971.91</v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3" t="inlineStr">
        <is>
          <t>4BRO Construction LLC</t>
        </is>
      </c>
      <c r="B37" s="24" t="n">
        <v>8825.790000000001</v>
      </c>
      <c r="C37" s="24" t="n">
        <v>0</v>
      </c>
      <c r="D37" s="24" t="n">
        <v>0</v>
      </c>
      <c r="E37" s="24" t="n">
        <v>0</v>
      </c>
      <c r="F37" s="24" t="n">
        <v>0</v>
      </c>
      <c r="G37" s="39" t="n">
        <v>8825.790000000001</v>
      </c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3" t="inlineStr">
        <is>
          <t>Professional Handling and Distribution</t>
        </is>
      </c>
      <c r="B38" s="24" t="n">
        <v>8356.219999999999</v>
      </c>
      <c r="C38" s="24" t="n">
        <v>0</v>
      </c>
      <c r="D38" s="24" t="n">
        <v>0</v>
      </c>
      <c r="E38" s="24" t="n">
        <v>0</v>
      </c>
      <c r="F38" s="24" t="n">
        <v>0</v>
      </c>
      <c r="G38" s="39" t="n">
        <v>8356.219999999999</v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3" t="inlineStr">
        <is>
          <t>Osorio Construction LLC (Rene)</t>
        </is>
      </c>
      <c r="B39" s="24" t="n">
        <v>8015</v>
      </c>
      <c r="C39" s="24" t="n">
        <v>0</v>
      </c>
      <c r="D39" s="24" t="n">
        <v>0</v>
      </c>
      <c r="E39" s="24" t="n">
        <v>0</v>
      </c>
      <c r="F39" s="24" t="n">
        <v>0</v>
      </c>
      <c r="G39" s="39" t="n">
        <v>8015</v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3" t="inlineStr">
        <is>
          <t>Bro's Drywall LLC</t>
        </is>
      </c>
      <c r="B40" s="24" t="n">
        <v>7732</v>
      </c>
      <c r="C40" s="24" t="n">
        <v>0</v>
      </c>
      <c r="D40" s="24" t="n">
        <v>48</v>
      </c>
      <c r="E40" s="24" t="n">
        <v>0</v>
      </c>
      <c r="F40" s="24" t="n">
        <v>24</v>
      </c>
      <c r="G40" s="39" t="n">
        <v>7804</v>
      </c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3" t="inlineStr">
        <is>
          <t>Escot Painting LLC</t>
        </is>
      </c>
      <c r="B41" s="24" t="n">
        <v>0</v>
      </c>
      <c r="C41" s="24" t="n">
        <v>0</v>
      </c>
      <c r="D41" s="24" t="n">
        <v>0</v>
      </c>
      <c r="E41" s="24" t="n">
        <v>7700</v>
      </c>
      <c r="F41" s="24" t="n">
        <v>0</v>
      </c>
      <c r="G41" s="39" t="n">
        <v>7700</v>
      </c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3" t="inlineStr">
        <is>
          <t>ADL Design &amp; Construction LLC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6316.5</v>
      </c>
      <c r="G42" s="39" t="n">
        <v>6316.5</v>
      </c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3" t="inlineStr">
        <is>
          <t>Top Team Quality Building LLC</t>
        </is>
      </c>
      <c r="B43" s="24" t="n">
        <v>5378.2</v>
      </c>
      <c r="C43" s="24" t="n">
        <v>0</v>
      </c>
      <c r="D43" s="24" t="n">
        <v>819.2</v>
      </c>
      <c r="E43" s="24" t="n">
        <v>0</v>
      </c>
      <c r="F43" s="24" t="n">
        <v>0</v>
      </c>
      <c r="G43" s="39" t="n">
        <v>6197.4</v>
      </c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3" t="inlineStr">
        <is>
          <t>Ociel Medina (Gem Interiors)</t>
        </is>
      </c>
      <c r="B44" s="24" t="n">
        <v>6101.04</v>
      </c>
      <c r="C44" s="24" t="n">
        <v>0</v>
      </c>
      <c r="D44" s="24" t="n">
        <v>0</v>
      </c>
      <c r="E44" s="24" t="n">
        <v>0</v>
      </c>
      <c r="F44" s="24" t="n">
        <v>0</v>
      </c>
      <c r="G44" s="39" t="n">
        <v>6101.04</v>
      </c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3" t="inlineStr">
        <is>
          <t>Precision Doors &amp; Hardware</t>
        </is>
      </c>
      <c r="B45" s="24" t="n">
        <v>0</v>
      </c>
      <c r="C45" s="24" t="n">
        <v>0</v>
      </c>
      <c r="D45" s="24" t="n">
        <v>0</v>
      </c>
      <c r="E45" s="24" t="n">
        <v>0</v>
      </c>
      <c r="F45" s="24" t="n">
        <v>6000</v>
      </c>
      <c r="G45" s="39" t="n">
        <v>6000</v>
      </c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3" t="inlineStr">
        <is>
          <t>Mariona Construction LLC</t>
        </is>
      </c>
      <c r="B46" s="24" t="n">
        <v>5328.35</v>
      </c>
      <c r="C46" s="24" t="n">
        <v>0</v>
      </c>
      <c r="D46" s="24" t="n">
        <v>0</v>
      </c>
      <c r="E46" s="24" t="n">
        <v>0</v>
      </c>
      <c r="F46" s="24" t="n">
        <v>0</v>
      </c>
      <c r="G46" s="39" t="n">
        <v>5328.35</v>
      </c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3" t="inlineStr">
        <is>
          <t>Oliverio Mejia H, LLC</t>
        </is>
      </c>
      <c r="B47" s="24" t="n">
        <v>2821.6</v>
      </c>
      <c r="C47" s="24" t="n">
        <v>2385</v>
      </c>
      <c r="D47" s="24" t="n">
        <v>0</v>
      </c>
      <c r="E47" s="24" t="n">
        <v>0</v>
      </c>
      <c r="F47" s="24" t="n">
        <v>0</v>
      </c>
      <c r="G47" s="39" t="n">
        <v>5206.6</v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3" t="inlineStr">
        <is>
          <t>Lion's Construction LLC</t>
        </is>
      </c>
      <c r="B48" s="24" t="n">
        <v>3942.55</v>
      </c>
      <c r="C48" s="24" t="n">
        <v>0</v>
      </c>
      <c r="D48" s="24" t="n">
        <v>0</v>
      </c>
      <c r="E48" s="24" t="n">
        <v>0</v>
      </c>
      <c r="F48" s="24" t="n">
        <v>617.1</v>
      </c>
      <c r="G48" s="39" t="n">
        <v>4559.650000000001</v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3" t="inlineStr">
        <is>
          <t>Deem</t>
        </is>
      </c>
      <c r="B49" s="24" t="n">
        <v>3325</v>
      </c>
      <c r="C49" s="24" t="n">
        <v>0</v>
      </c>
      <c r="D49" s="24" t="n">
        <v>0</v>
      </c>
      <c r="E49" s="24" t="n">
        <v>0</v>
      </c>
      <c r="F49" s="24" t="n">
        <v>0</v>
      </c>
      <c r="G49" s="39" t="n">
        <v>3325</v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3" t="inlineStr">
        <is>
          <t>Lot Construction, LLC (Omar)</t>
        </is>
      </c>
      <c r="B50" s="24" t="n">
        <v>1858.7</v>
      </c>
      <c r="C50" s="24" t="n">
        <v>0</v>
      </c>
      <c r="D50" s="24" t="n">
        <v>1293.6</v>
      </c>
      <c r="E50" s="24" t="n">
        <v>0</v>
      </c>
      <c r="F50" s="24" t="n">
        <v>0</v>
      </c>
      <c r="G50" s="39" t="n">
        <v>3152.3</v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3" t="inlineStr">
        <is>
          <t>JC Drywall LLC (JCD)</t>
        </is>
      </c>
      <c r="B51" s="24" t="n">
        <v>70</v>
      </c>
      <c r="C51" s="24" t="n">
        <v>0</v>
      </c>
      <c r="D51" s="24" t="n">
        <v>0</v>
      </c>
      <c r="E51" s="24" t="n">
        <v>0</v>
      </c>
      <c r="F51" s="24" t="n">
        <v>3077.1</v>
      </c>
      <c r="G51" s="39" t="n">
        <v>3147.1</v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3" t="inlineStr">
        <is>
          <t>Precise Tile and Stone LLC</t>
        </is>
      </c>
      <c r="B52" s="24" t="n">
        <v>3099.87</v>
      </c>
      <c r="C52" s="24" t="n">
        <v>0</v>
      </c>
      <c r="D52" s="24" t="n">
        <v>0</v>
      </c>
      <c r="E52" s="24" t="n">
        <v>0</v>
      </c>
      <c r="F52" s="24" t="n">
        <v>0</v>
      </c>
      <c r="G52" s="39" t="n">
        <v>3099.87</v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3" t="inlineStr">
        <is>
          <t>LL Herrera LLC</t>
        </is>
      </c>
      <c r="B53" s="24" t="n">
        <v>3056.61</v>
      </c>
      <c r="C53" s="24" t="n">
        <v>0</v>
      </c>
      <c r="D53" s="24" t="n">
        <v>0</v>
      </c>
      <c r="E53" s="24" t="n">
        <v>0</v>
      </c>
      <c r="F53" s="24" t="n">
        <v>0</v>
      </c>
      <c r="G53" s="39" t="n">
        <v>3056.61</v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3" t="inlineStr">
        <is>
          <t>Miracle Painting LLC - Jose Otoya</t>
        </is>
      </c>
      <c r="B54" s="24" t="n">
        <v>3054.15</v>
      </c>
      <c r="C54" s="24" t="n">
        <v>0</v>
      </c>
      <c r="D54" s="24" t="n">
        <v>0</v>
      </c>
      <c r="E54" s="24" t="n">
        <v>0</v>
      </c>
      <c r="F54" s="24" t="n">
        <v>0</v>
      </c>
      <c r="G54" s="39" t="n">
        <v>3054.15</v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3" t="inlineStr">
        <is>
          <t>Central Indiana Hardware (CIH)</t>
        </is>
      </c>
      <c r="B55" s="24" t="n">
        <v>2952.13</v>
      </c>
      <c r="C55" s="24" t="n">
        <v>0</v>
      </c>
      <c r="D55" s="24" t="n">
        <v>0</v>
      </c>
      <c r="E55" s="24" t="n">
        <v>0</v>
      </c>
      <c r="F55" s="24" t="n">
        <v>0</v>
      </c>
      <c r="G55" s="39" t="n">
        <v>2952.13</v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3" t="inlineStr">
        <is>
          <t>Lanmor Services</t>
        </is>
      </c>
      <c r="B56" s="24" t="n">
        <v>2945.15</v>
      </c>
      <c r="C56" s="24" t="n">
        <v>0</v>
      </c>
      <c r="D56" s="24" t="n">
        <v>0</v>
      </c>
      <c r="E56" s="24" t="n">
        <v>0</v>
      </c>
      <c r="F56" s="24" t="n">
        <v>0</v>
      </c>
      <c r="G56" s="39" t="n">
        <v>2945.15</v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3" t="inlineStr">
        <is>
          <t>Jordan Birge</t>
        </is>
      </c>
      <c r="B57" s="24" t="n">
        <v>2764.19</v>
      </c>
      <c r="C57" s="24" t="n">
        <v>0</v>
      </c>
      <c r="D57" s="24" t="n">
        <v>0</v>
      </c>
      <c r="E57" s="24" t="n">
        <v>0</v>
      </c>
      <c r="F57" s="24" t="n">
        <v>0</v>
      </c>
      <c r="G57" s="39" t="n">
        <v>2764.19</v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3" t="inlineStr">
        <is>
          <t>Construction Specialties, Inc.</t>
        </is>
      </c>
      <c r="B58" s="24" t="n">
        <v>2754.18</v>
      </c>
      <c r="C58" s="24" t="n">
        <v>0</v>
      </c>
      <c r="D58" s="24" t="n">
        <v>0</v>
      </c>
      <c r="E58" s="24" t="n">
        <v>0</v>
      </c>
      <c r="F58" s="24" t="n">
        <v>0</v>
      </c>
      <c r="G58" s="39" t="n">
        <v>2754.18</v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3" t="inlineStr">
        <is>
          <t>Hilti</t>
        </is>
      </c>
      <c r="B59" s="24" t="n">
        <v>2689.56</v>
      </c>
      <c r="C59" s="24" t="n">
        <v>0</v>
      </c>
      <c r="D59" s="24" t="n">
        <v>0</v>
      </c>
      <c r="E59" s="24" t="n">
        <v>0</v>
      </c>
      <c r="F59" s="24" t="n">
        <v>0</v>
      </c>
      <c r="G59" s="39" t="n">
        <v>2689.56</v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3" t="inlineStr">
        <is>
          <t>Browning Chapman, LLC</t>
        </is>
      </c>
      <c r="B60" s="24" t="n">
        <v>2550</v>
      </c>
      <c r="C60" s="24" t="n">
        <v>0</v>
      </c>
      <c r="D60" s="24" t="n">
        <v>0</v>
      </c>
      <c r="E60" s="24" t="n">
        <v>0</v>
      </c>
      <c r="F60" s="24" t="n">
        <v>0</v>
      </c>
      <c r="G60" s="39" t="n">
        <v>2550</v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3" t="inlineStr">
        <is>
          <t>Castillo (Victor) Drywall &amp; Scrap LLC</t>
        </is>
      </c>
      <c r="B61" s="24" t="n">
        <v>2471.9</v>
      </c>
      <c r="C61" s="24" t="n">
        <v>0</v>
      </c>
      <c r="D61" s="24" t="n">
        <v>0</v>
      </c>
      <c r="E61" s="24" t="n">
        <v>0</v>
      </c>
      <c r="F61" s="24" t="n">
        <v>0</v>
      </c>
      <c r="G61" s="39" t="n">
        <v>2471.9</v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3" t="inlineStr">
        <is>
          <t>Best Way of Indiana, Inc.</t>
        </is>
      </c>
      <c r="B62" s="24" t="n">
        <v>2408.11</v>
      </c>
      <c r="C62" s="24" t="n">
        <v>0</v>
      </c>
      <c r="D62" s="24" t="n">
        <v>0</v>
      </c>
      <c r="E62" s="24" t="n">
        <v>0</v>
      </c>
      <c r="F62" s="24" t="n">
        <v>0</v>
      </c>
      <c r="G62" s="39" t="n">
        <v>2408.11</v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3" t="inlineStr">
        <is>
          <t>RWR 504 Construction LLC</t>
        </is>
      </c>
      <c r="B63" s="24" t="n">
        <v>2280</v>
      </c>
      <c r="C63" s="24" t="n">
        <v>0</v>
      </c>
      <c r="D63" s="24" t="n">
        <v>0</v>
      </c>
      <c r="E63" s="24" t="n">
        <v>0</v>
      </c>
      <c r="F63" s="24" t="n">
        <v>0</v>
      </c>
      <c r="G63" s="39" t="n">
        <v>2280</v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3" t="inlineStr">
        <is>
          <t>Shaevitz Construction Inc.</t>
        </is>
      </c>
      <c r="B64" s="24" t="n">
        <v>2277.46</v>
      </c>
      <c r="C64" s="24" t="n">
        <v>0</v>
      </c>
      <c r="D64" s="24" t="n">
        <v>0</v>
      </c>
      <c r="E64" s="24" t="n">
        <v>0</v>
      </c>
      <c r="F64" s="24" t="n">
        <v>0</v>
      </c>
      <c r="G64" s="39" t="n">
        <v>2277.46</v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3" t="inlineStr">
        <is>
          <t>Sunbelt Rentals Inc.</t>
        </is>
      </c>
      <c r="B65" s="24" t="n">
        <v>1907.34</v>
      </c>
      <c r="C65" s="24" t="n">
        <v>0</v>
      </c>
      <c r="D65" s="24" t="n">
        <v>0</v>
      </c>
      <c r="E65" s="24" t="n">
        <v>0</v>
      </c>
      <c r="F65" s="24" t="n">
        <v>0</v>
      </c>
      <c r="G65" s="39" t="n">
        <v>1907.34</v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3" t="inlineStr">
        <is>
          <t>ProMasters Drywall &amp; Painting</t>
        </is>
      </c>
      <c r="B66" s="24" t="n">
        <v>0</v>
      </c>
      <c r="C66" s="24" t="n">
        <v>1770</v>
      </c>
      <c r="D66" s="24" t="n">
        <v>0</v>
      </c>
      <c r="E66" s="24" t="n">
        <v>0</v>
      </c>
      <c r="F66" s="24" t="n">
        <v>0</v>
      </c>
      <c r="G66" s="39" t="n">
        <v>1770</v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3" t="inlineStr">
        <is>
          <t>Alejandro Gonzalez-Rubio</t>
        </is>
      </c>
      <c r="B67" s="24" t="n">
        <v>1650</v>
      </c>
      <c r="C67" s="24" t="n">
        <v>0</v>
      </c>
      <c r="D67" s="24" t="n">
        <v>0</v>
      </c>
      <c r="E67" s="24" t="n">
        <v>0</v>
      </c>
      <c r="F67" s="24" t="n">
        <v>0</v>
      </c>
      <c r="G67" s="39" t="n">
        <v>1650</v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3" t="inlineStr">
        <is>
          <t>DIVISION 7 MTLS</t>
        </is>
      </c>
      <c r="B68" s="24" t="n">
        <v>1525.82</v>
      </c>
      <c r="C68" s="24" t="n">
        <v>0</v>
      </c>
      <c r="D68" s="24" t="n">
        <v>0</v>
      </c>
      <c r="E68" s="24" t="n">
        <v>0</v>
      </c>
      <c r="F68" s="24" t="n">
        <v>0</v>
      </c>
      <c r="G68" s="39" t="n">
        <v>1525.82</v>
      </c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3" t="inlineStr">
        <is>
          <t>6twenty-six inc</t>
        </is>
      </c>
      <c r="B69" s="24" t="n">
        <v>1337.5</v>
      </c>
      <c r="C69" s="24" t="n">
        <v>0</v>
      </c>
      <c r="D69" s="24" t="n">
        <v>0</v>
      </c>
      <c r="E69" s="24" t="n">
        <v>0</v>
      </c>
      <c r="F69" s="24" t="n">
        <v>0</v>
      </c>
      <c r="G69" s="39" t="n">
        <v>1337.5</v>
      </c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3" t="inlineStr">
        <is>
          <t>On-Site Supply</t>
        </is>
      </c>
      <c r="B70" s="24" t="n">
        <v>1143.4</v>
      </c>
      <c r="C70" s="24" t="n">
        <v>0</v>
      </c>
      <c r="D70" s="24" t="n">
        <v>0</v>
      </c>
      <c r="E70" s="24" t="n">
        <v>0</v>
      </c>
      <c r="F70" s="24" t="n">
        <v>0</v>
      </c>
      <c r="G70" s="39" t="n">
        <v>1143.4</v>
      </c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3" t="inlineStr">
        <is>
          <t>Southwest Solutions Group, Inc.</t>
        </is>
      </c>
      <c r="B71" s="24" t="n">
        <v>1080</v>
      </c>
      <c r="C71" s="24" t="n">
        <v>0</v>
      </c>
      <c r="D71" s="24" t="n">
        <v>0</v>
      </c>
      <c r="E71" s="24" t="n">
        <v>0</v>
      </c>
      <c r="F71" s="24" t="n">
        <v>0</v>
      </c>
      <c r="G71" s="39" t="n">
        <v>1080</v>
      </c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3" t="inlineStr">
        <is>
          <t>Oaks Dumpster Rental</t>
        </is>
      </c>
      <c r="B72" s="24" t="n">
        <v>960.22</v>
      </c>
      <c r="C72" s="24" t="n">
        <v>0</v>
      </c>
      <c r="D72" s="24" t="n">
        <v>0</v>
      </c>
      <c r="E72" s="24" t="n">
        <v>0</v>
      </c>
      <c r="F72" s="24" t="n">
        <v>0</v>
      </c>
      <c r="G72" s="39" t="n">
        <v>960.22</v>
      </c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3" t="inlineStr">
        <is>
          <t>Garza Towing LLC</t>
        </is>
      </c>
      <c r="B73" s="24" t="n">
        <v>0</v>
      </c>
      <c r="C73" s="24" t="n">
        <v>875</v>
      </c>
      <c r="D73" s="24" t="n">
        <v>0</v>
      </c>
      <c r="E73" s="24" t="n">
        <v>0</v>
      </c>
      <c r="F73" s="24" t="n">
        <v>0</v>
      </c>
      <c r="G73" s="39" t="n">
        <v>875</v>
      </c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3" t="inlineStr">
        <is>
          <t>7R Lawn Solutions, LLC</t>
        </is>
      </c>
      <c r="B74" s="24" t="n">
        <v>0</v>
      </c>
      <c r="C74" s="24" t="n">
        <v>836</v>
      </c>
      <c r="D74" s="24" t="n">
        <v>0</v>
      </c>
      <c r="E74" s="24" t="n">
        <v>0</v>
      </c>
      <c r="F74" s="24" t="n">
        <v>0</v>
      </c>
      <c r="G74" s="39" t="n">
        <v>836</v>
      </c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3" t="inlineStr">
        <is>
          <t>The Best Tile Installation (Nagio Company LLC)</t>
        </is>
      </c>
      <c r="B75" s="24" t="n">
        <v>833.75</v>
      </c>
      <c r="C75" s="24" t="n">
        <v>0</v>
      </c>
      <c r="D75" s="24" t="n">
        <v>0</v>
      </c>
      <c r="E75" s="24" t="n">
        <v>0</v>
      </c>
      <c r="F75" s="24" t="n">
        <v>0</v>
      </c>
      <c r="G75" s="39" t="n">
        <v>833.75</v>
      </c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3" t="inlineStr">
        <is>
          <t>Brother's Carpentry (Gustavo Gutierrez)</t>
        </is>
      </c>
      <c r="B76" s="24" t="n">
        <v>145.05</v>
      </c>
      <c r="C76" s="24" t="n">
        <v>0</v>
      </c>
      <c r="D76" s="24" t="n">
        <v>0</v>
      </c>
      <c r="E76" s="24" t="n">
        <v>0</v>
      </c>
      <c r="F76" s="24" t="n">
        <v>652</v>
      </c>
      <c r="G76" s="39" t="n">
        <v>797.05</v>
      </c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3" t="inlineStr">
        <is>
          <t>CraneWorks | CW Intermediate Holdco, LLC</t>
        </is>
      </c>
      <c r="B77" s="24" t="n">
        <v>789.4</v>
      </c>
      <c r="C77" s="24" t="n">
        <v>0</v>
      </c>
      <c r="D77" s="24" t="n">
        <v>0</v>
      </c>
      <c r="E77" s="24" t="n">
        <v>0</v>
      </c>
      <c r="F77" s="24" t="n">
        <v>0</v>
      </c>
      <c r="G77" s="39" t="n">
        <v>789.4</v>
      </c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3" t="inlineStr">
        <is>
          <t>Indianapolis Propane Exchange LLC</t>
        </is>
      </c>
      <c r="B78" s="24" t="n">
        <v>583.14</v>
      </c>
      <c r="C78" s="24" t="n">
        <v>0</v>
      </c>
      <c r="D78" s="24" t="n">
        <v>0</v>
      </c>
      <c r="E78" s="24" t="n">
        <v>0</v>
      </c>
      <c r="F78" s="24" t="n">
        <v>0</v>
      </c>
      <c r="G78" s="39" t="n">
        <v>583.14</v>
      </c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3" t="inlineStr">
        <is>
          <t>White Cap, L.P.</t>
        </is>
      </c>
      <c r="B79" s="24" t="n">
        <v>467.79</v>
      </c>
      <c r="C79" s="24" t="n">
        <v>0</v>
      </c>
      <c r="D79" s="24" t="n">
        <v>0</v>
      </c>
      <c r="E79" s="24" t="n">
        <v>0</v>
      </c>
      <c r="F79" s="24" t="n">
        <v>0</v>
      </c>
      <c r="G79" s="39" t="n">
        <v>467.79</v>
      </c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3" t="inlineStr">
        <is>
          <t>Julio Juarez (Expenses)</t>
        </is>
      </c>
      <c r="B80" s="24" t="n">
        <v>400</v>
      </c>
      <c r="C80" s="24" t="n">
        <v>0</v>
      </c>
      <c r="D80" s="24" t="n">
        <v>0</v>
      </c>
      <c r="E80" s="24" t="n">
        <v>0</v>
      </c>
      <c r="F80" s="24" t="n">
        <v>0</v>
      </c>
      <c r="G80" s="39" t="n">
        <v>400</v>
      </c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3" t="inlineStr">
        <is>
          <t>Pomp's Tire Service, Inc.</t>
        </is>
      </c>
      <c r="B81" s="24" t="n">
        <v>383.71</v>
      </c>
      <c r="C81" s="24" t="n">
        <v>0</v>
      </c>
      <c r="D81" s="24" t="n">
        <v>0</v>
      </c>
      <c r="E81" s="24" t="n">
        <v>0</v>
      </c>
      <c r="F81" s="24" t="n">
        <v>0</v>
      </c>
      <c r="G81" s="39" t="n">
        <v>383.71</v>
      </c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3" t="inlineStr">
        <is>
          <t>RGT Construction LLC</t>
        </is>
      </c>
      <c r="B82" s="24" t="n">
        <v>0</v>
      </c>
      <c r="C82" s="24" t="n">
        <v>0</v>
      </c>
      <c r="D82" s="24" t="n">
        <v>0</v>
      </c>
      <c r="E82" s="24" t="n">
        <v>0</v>
      </c>
      <c r="F82" s="24" t="n">
        <v>346.5</v>
      </c>
      <c r="G82" s="39" t="n">
        <v>346.5</v>
      </c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3" t="inlineStr">
        <is>
          <t>Gauge Telematics, Inc</t>
        </is>
      </c>
      <c r="B83" s="24" t="n">
        <v>345</v>
      </c>
      <c r="C83" s="24" t="n">
        <v>0</v>
      </c>
      <c r="D83" s="24" t="n">
        <v>0</v>
      </c>
      <c r="E83" s="24" t="n">
        <v>0</v>
      </c>
      <c r="F83" s="24" t="n">
        <v>0</v>
      </c>
      <c r="G83" s="39" t="n">
        <v>345</v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3" t="inlineStr">
        <is>
          <t>Garners Towing &amp; Transport</t>
        </is>
      </c>
      <c r="B84" s="24" t="n">
        <v>0</v>
      </c>
      <c r="C84" s="24" t="n">
        <v>0</v>
      </c>
      <c r="D84" s="24" t="n">
        <v>0</v>
      </c>
      <c r="E84" s="24" t="n">
        <v>312.5</v>
      </c>
      <c r="F84" s="24" t="n">
        <v>0</v>
      </c>
      <c r="G84" s="39" t="n">
        <v>312.5</v>
      </c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3" t="inlineStr">
        <is>
          <t>Reliable Access LLC</t>
        </is>
      </c>
      <c r="B85" s="24" t="n">
        <v>0</v>
      </c>
      <c r="C85" s="24" t="n">
        <v>275</v>
      </c>
      <c r="D85" s="24" t="n">
        <v>0</v>
      </c>
      <c r="E85" s="24" t="n">
        <v>0</v>
      </c>
      <c r="F85" s="24" t="n">
        <v>0</v>
      </c>
      <c r="G85" s="39" t="n">
        <v>275</v>
      </c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3" t="inlineStr">
        <is>
          <t>ARC Document Solutions, LLC</t>
        </is>
      </c>
      <c r="B86" s="24" t="n">
        <v>259.57</v>
      </c>
      <c r="C86" s="24" t="n">
        <v>0</v>
      </c>
      <c r="D86" s="24" t="n">
        <v>0</v>
      </c>
      <c r="E86" s="24" t="n">
        <v>0</v>
      </c>
      <c r="F86" s="24" t="n">
        <v>0</v>
      </c>
      <c r="G86" s="39" t="n">
        <v>259.57</v>
      </c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3" t="inlineStr">
        <is>
          <t>Chris Taylor</t>
        </is>
      </c>
      <c r="B87" s="24" t="n">
        <v>250</v>
      </c>
      <c r="C87" s="24" t="n">
        <v>0</v>
      </c>
      <c r="D87" s="24" t="n">
        <v>0</v>
      </c>
      <c r="E87" s="24" t="n">
        <v>0</v>
      </c>
      <c r="F87" s="24" t="n">
        <v>0</v>
      </c>
      <c r="G87" s="39" t="n">
        <v>250</v>
      </c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3" t="inlineStr">
        <is>
          <t>Enterprise Rent a Car</t>
        </is>
      </c>
      <c r="B88" s="24" t="n">
        <v>227.01</v>
      </c>
      <c r="C88" s="24" t="n">
        <v>0</v>
      </c>
      <c r="D88" s="24" t="n">
        <v>0</v>
      </c>
      <c r="E88" s="24" t="n">
        <v>0</v>
      </c>
      <c r="F88" s="24" t="n">
        <v>0</v>
      </c>
      <c r="G88" s="39" t="n">
        <v>227.01</v>
      </c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3" t="inlineStr">
        <is>
          <t>Mirabito Energy Products</t>
        </is>
      </c>
      <c r="B89" s="24" t="n">
        <v>110.13</v>
      </c>
      <c r="C89" s="24" t="n">
        <v>100.84</v>
      </c>
      <c r="D89" s="24" t="n">
        <v>0</v>
      </c>
      <c r="E89" s="24" t="n">
        <v>0</v>
      </c>
      <c r="F89" s="24" t="n">
        <v>0</v>
      </c>
      <c r="G89" s="39" t="n">
        <v>210.97</v>
      </c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3" t="inlineStr">
        <is>
          <t>ABM Parking Services</t>
        </is>
      </c>
      <c r="B90" s="24" t="n">
        <v>180</v>
      </c>
      <c r="C90" s="24" t="n">
        <v>0</v>
      </c>
      <c r="D90" s="24" t="n">
        <v>0</v>
      </c>
      <c r="E90" s="24" t="n">
        <v>0</v>
      </c>
      <c r="F90" s="24" t="n">
        <v>0</v>
      </c>
      <c r="G90" s="39" t="n">
        <v>180</v>
      </c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3" t="inlineStr">
        <is>
          <t>Victor Garza (Expenses)</t>
        </is>
      </c>
      <c r="B91" s="24" t="n">
        <v>0</v>
      </c>
      <c r="C91" s="24" t="n">
        <v>0</v>
      </c>
      <c r="D91" s="24" t="n">
        <v>165.68</v>
      </c>
      <c r="E91" s="24" t="n">
        <v>0</v>
      </c>
      <c r="F91" s="24" t="n">
        <v>0</v>
      </c>
      <c r="G91" s="39" t="n">
        <v>165.68</v>
      </c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3" t="inlineStr">
        <is>
          <t>Concentra</t>
        </is>
      </c>
      <c r="B92" s="24" t="n">
        <v>0</v>
      </c>
      <c r="C92" s="24" t="n">
        <v>0</v>
      </c>
      <c r="D92" s="24" t="n">
        <v>0</v>
      </c>
      <c r="E92" s="24" t="n">
        <v>125</v>
      </c>
      <c r="F92" s="24" t="n">
        <v>0</v>
      </c>
      <c r="G92" s="39" t="n">
        <v>125</v>
      </c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3" t="inlineStr">
        <is>
          <t>Luis Ruiz (Expenses)</t>
        </is>
      </c>
      <c r="B93" s="24" t="n">
        <v>0</v>
      </c>
      <c r="C93" s="24" t="n">
        <v>100</v>
      </c>
      <c r="D93" s="24" t="n">
        <v>0</v>
      </c>
      <c r="E93" s="24" t="n">
        <v>0</v>
      </c>
      <c r="F93" s="24" t="n">
        <v>0</v>
      </c>
      <c r="G93" s="39" t="n">
        <v>100</v>
      </c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3" t="inlineStr">
        <is>
          <t>Indy Crush Brothers, LLC (Indy Crusher)</t>
        </is>
      </c>
      <c r="B94" s="24" t="n">
        <v>0</v>
      </c>
      <c r="C94" s="24" t="n">
        <v>0</v>
      </c>
      <c r="D94" s="24" t="n">
        <v>0</v>
      </c>
      <c r="E94" s="24" t="n">
        <v>0</v>
      </c>
      <c r="F94" s="24" t="n">
        <v>10.8</v>
      </c>
      <c r="G94" s="39" t="n">
        <v>10.8</v>
      </c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3" t="inlineStr">
        <is>
          <t>Armstrong World Industries, Inc.</t>
        </is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-150.69</v>
      </c>
      <c r="G95" s="39" t="n">
        <v>-150.69</v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3" t="inlineStr">
        <is>
          <t>Kelley Bros Hardware Corp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-369.15</v>
      </c>
      <c r="G96" s="39" t="n">
        <v>-369.15</v>
      </c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3" t="inlineStr">
        <is>
          <t>Cherokee Building Materials, Inc. (GMS)</t>
        </is>
      </c>
      <c r="B97" s="24" t="n">
        <v>0</v>
      </c>
      <c r="C97" s="24" t="n">
        <v>0</v>
      </c>
      <c r="D97" s="24" t="n">
        <v>0</v>
      </c>
      <c r="E97" s="24" t="n">
        <v>0</v>
      </c>
      <c r="F97" s="24" t="n">
        <v>-627.67</v>
      </c>
      <c r="G97" s="39" t="n">
        <v>-627.67</v>
      </c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3" t="inlineStr">
        <is>
          <t>Valley Interior Products (GMS)</t>
        </is>
      </c>
      <c r="B98" s="24" t="n">
        <v>302.7</v>
      </c>
      <c r="C98" s="24" t="n">
        <v>0</v>
      </c>
      <c r="D98" s="24" t="n">
        <v>0</v>
      </c>
      <c r="E98" s="24" t="n">
        <v>0</v>
      </c>
      <c r="F98" s="24" t="n">
        <v>-1141.64</v>
      </c>
      <c r="G98" s="39" t="n">
        <v>-838.9400000000001</v>
      </c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3" t="inlineStr">
        <is>
          <t>84 Lumber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-1222.78</v>
      </c>
      <c r="G99" s="39" t="n">
        <v>-1222.78</v>
      </c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40" t="inlineStr">
        <is>
          <t>TOTAL A/P</t>
        </is>
      </c>
      <c r="B100" s="41" t="n">
        <v>3423786.150000001</v>
      </c>
      <c r="C100" s="41" t="n">
        <v>92043.53999999999</v>
      </c>
      <c r="D100" s="41" t="n">
        <v>41860.36</v>
      </c>
      <c r="E100" s="41" t="n">
        <v>42419.70999999999</v>
      </c>
      <c r="F100" s="41" t="n">
        <v>55224.17999999999</v>
      </c>
      <c r="G100" s="41" t="n">
        <v>3655333.94</v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5C77F"/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</cols>
  <sheetData>
    <row r="1" ht="32" customHeight="1">
      <c r="A1" s="1" t="inlineStr">
        <is>
          <t>Cash &amp; Liquidity — Covenant 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QuickBooks cash + LOC  •  covenant inputs are USER-MAINTAINED (see yellow)  •  as of 2026-06-17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6" t="inlineStr">
        <is>
          <t>Cash Balance</t>
        </is>
      </c>
      <c r="B5" s="44" t="n">
        <v>-54623.3</v>
      </c>
      <c r="C5" s="29" t="inlineStr">
        <is>
          <t>QuickBooks balance sheet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6" t="inlineStr">
        <is>
          <t>Operating Cash Flow (YTD)</t>
        </is>
      </c>
      <c r="B6" s="45" t="n">
        <v>1708994.16</v>
      </c>
      <c r="C6" s="29" t="inlineStr">
        <is>
          <t>QB cash flow statement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6" t="inlineStr">
        <is>
          <t>Investing Cash Flow (YTD)</t>
        </is>
      </c>
      <c r="B7" s="45" t="n">
        <v>212852.1</v>
      </c>
      <c r="C7" s="29" t="inlineStr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36" t="inlineStr">
        <is>
          <t>Financing Cash Flow (YTD)</t>
        </is>
      </c>
      <c r="B8" s="45" t="n">
        <v>-1650418.17</v>
      </c>
      <c r="C8" s="29" t="inlineStr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6" t="inlineStr">
        <is>
          <t>Net Cash Change (YTD)</t>
        </is>
      </c>
      <c r="B9" s="45" t="n">
        <v>271428.09</v>
      </c>
      <c r="C9" s="29" t="inlineStr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6" t="inlineStr">
        <is>
          <t>LOC Drawn</t>
        </is>
      </c>
      <c r="B11" s="45" t="n">
        <v>5440076.95</v>
      </c>
      <c r="C11" s="29" t="inlineStr">
        <is>
          <t>QB — Forum Line of Credit (0874)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36" t="inlineStr">
        <is>
          <t>LOC Limit</t>
        </is>
      </c>
      <c r="B12" s="46" t="n">
        <v>8000000</v>
      </c>
      <c r="C12" s="29" t="inlineStr">
        <is>
          <t>USER INPUT — set your Forum commitment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6" t="inlineStr">
        <is>
          <t>LOC Utilization</t>
        </is>
      </c>
      <c r="B13" s="47" t="n">
        <v>0.68000961875</v>
      </c>
      <c r="C13" s="29" t="inlineStr">
        <is>
          <t>drawn / limit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36" t="inlineStr">
        <is>
          <t>Advance Rate</t>
        </is>
      </c>
      <c r="B14" s="48" t="n">
        <v>0.8</v>
      </c>
      <c r="C14" s="29" t="inlineStr">
        <is>
          <t>USER INPUT — borrowing-base advance rate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6" t="inlineStr">
        <is>
          <t>Eligible A/R</t>
        </is>
      </c>
      <c r="B15" s="46" t="n">
        <v>12986875.87</v>
      </c>
      <c r="C15" s="29" t="inlineStr">
        <is>
          <t>USER INPUT — eligible borrowing base (default = trade A/R)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36" t="inlineStr">
        <is>
          <t>BBC Availability (headroom)</t>
        </is>
      </c>
      <c r="B16" s="49" t="n">
        <v>2559923.05</v>
      </c>
      <c r="C16" s="29" t="inlineStr">
        <is>
          <t>min(EligibleAR×Advance, Limit) − Drawn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6" t="inlineStr">
        <is>
          <t>Liquidity Status</t>
        </is>
      </c>
      <c r="B17" s="50" t="inlineStr">
        <is>
          <t>Healthy</t>
        </is>
      </c>
      <c r="C17" s="29" t="inlineStr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62B38"/>
    <outlinePr summaryBelow="1" summaryRight="1"/>
    <pageSetUpPr/>
  </sheetPr>
  <dimension ref="A1:O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</cols>
  <sheetData>
    <row r="1" ht="32" customHeight="1">
      <c r="A1" s="1" t="inlineStr">
        <is>
          <t>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QuickBooks, as of 2026-06-17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Account</t>
        </is>
      </c>
      <c r="B4" s="22" t="inlineStr">
        <is>
          <t>Section</t>
        </is>
      </c>
      <c r="C4" s="22" t="inlineStr">
        <is>
          <t>Amount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3" t="inlineStr">
        <is>
          <t>Cash</t>
        </is>
      </c>
      <c r="B5" s="23" t="inlineStr">
        <is>
          <t>Assets</t>
        </is>
      </c>
      <c r="C5" s="24" t="n">
        <v>-54623.3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3" t="inlineStr">
        <is>
          <t>Accounts Receivable</t>
        </is>
      </c>
      <c r="B6" s="23" t="inlineStr">
        <is>
          <t>Assets</t>
        </is>
      </c>
      <c r="C6" s="24" t="n">
        <v>12986875.87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3" t="inlineStr">
        <is>
          <t>Retainage Receivable</t>
        </is>
      </c>
      <c r="B7" s="23" t="inlineStr">
        <is>
          <t>Assets</t>
        </is>
      </c>
      <c r="C7" s="24" t="n">
        <v>3136194.46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3" t="inlineStr">
        <is>
          <t>Drywall Inventory</t>
        </is>
      </c>
      <c r="B8" s="23" t="inlineStr">
        <is>
          <t>Assets</t>
        </is>
      </c>
      <c r="C8" s="24" t="n">
        <v>593395.59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3" t="inlineStr">
        <is>
          <t>WIP Underbillings</t>
        </is>
      </c>
      <c r="B9" s="23" t="inlineStr">
        <is>
          <t>Assets</t>
        </is>
      </c>
      <c r="C9" s="24" t="n">
        <v>2889941.58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3" t="inlineStr">
        <is>
          <t>Other Current Assets (net)</t>
        </is>
      </c>
      <c r="B10" s="23" t="inlineStr">
        <is>
          <t>Assets</t>
        </is>
      </c>
      <c r="C10" s="24" t="n">
        <v>82113.84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Fixed Assets</t>
        </is>
      </c>
      <c r="B11" s="23" t="inlineStr">
        <is>
          <t>Assets</t>
        </is>
      </c>
      <c r="C11" s="24" t="n">
        <v>694113.61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Other Assets</t>
        </is>
      </c>
      <c r="B12" s="23" t="inlineStr">
        <is>
          <t>Assets</t>
        </is>
      </c>
      <c r="C12" s="24" t="n">
        <v>2223043.34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40" t="inlineStr">
        <is>
          <t>TOTAL ASSETS</t>
        </is>
      </c>
      <c r="B13" s="51" t="n"/>
      <c r="C13" s="41" t="n">
        <v>22551054.98999999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3" t="inlineStr">
        <is>
          <t>Accounts Payable</t>
        </is>
      </c>
      <c r="B15" s="23" t="inlineStr">
        <is>
          <t>Liabilities</t>
        </is>
      </c>
      <c r="C15" s="24" t="n">
        <v>3655333.94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3" t="inlineStr">
        <is>
          <t>Credit Cards</t>
        </is>
      </c>
      <c r="B16" s="23" t="inlineStr">
        <is>
          <t>Liabilities</t>
        </is>
      </c>
      <c r="C16" s="24" t="n">
        <v>15836.29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3" t="inlineStr">
        <is>
          <t>Line of Credit (Forum 0874)</t>
        </is>
      </c>
      <c r="B17" s="23" t="inlineStr">
        <is>
          <t>Liabilities</t>
        </is>
      </c>
      <c r="C17" s="24" t="n">
        <v>5440076.95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3" t="inlineStr">
        <is>
          <t>CapX Line of Credit (Forum 1708)</t>
        </is>
      </c>
      <c r="B18" s="23" t="inlineStr">
        <is>
          <t>Liabilities</t>
        </is>
      </c>
      <c r="C18" s="24" t="n">
        <v>333834.01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3" t="inlineStr">
        <is>
          <t>WIP Overbillings</t>
        </is>
      </c>
      <c r="B19" s="23" t="inlineStr">
        <is>
          <t>Liabilities</t>
        </is>
      </c>
      <c r="C19" s="24" t="n">
        <v>1651664.83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Other Current Liabilities (net)</t>
        </is>
      </c>
      <c r="B20" s="23" t="inlineStr">
        <is>
          <t>Liabilities</t>
        </is>
      </c>
      <c r="C20" s="24" t="n">
        <v>2747267.42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3" t="inlineStr">
        <is>
          <t>Long-term Liabilities</t>
        </is>
      </c>
      <c r="B21" s="23" t="inlineStr">
        <is>
          <t>Liabilities</t>
        </is>
      </c>
      <c r="C21" s="24" t="n">
        <v>8372.290000000001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40" t="inlineStr">
        <is>
          <t>TOTAL LIABILITIES</t>
        </is>
      </c>
      <c r="B22" s="51" t="n"/>
      <c r="C22" s="41" t="n">
        <v>13852385.73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3" t="inlineStr">
        <is>
          <t>Total Equity</t>
        </is>
      </c>
      <c r="B24" s="23" t="inlineStr">
        <is>
          <t>Equity</t>
        </is>
      </c>
      <c r="C24" s="24" t="n">
        <v>8698669.26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40" t="inlineStr">
        <is>
          <t>TOTAL EQUITY</t>
        </is>
      </c>
      <c r="B25" s="51" t="n"/>
      <c r="C25" s="41" t="n">
        <v>8698669.26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B740"/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4" customWidth="1" min="3" max="3"/>
  </cols>
  <sheetData>
    <row r="1" ht="32" customHeight="1">
      <c r="A1" s="1" t="inlineStr">
        <is>
          <t>Data Health &amp; Refresh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Trust panel — surfaces data-hygiene issues that would distort the numbers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Check</t>
        </is>
      </c>
      <c r="B4" s="22" t="inlineStr">
        <is>
          <t>Value</t>
        </is>
      </c>
      <c r="C4" s="22" t="inlineStr">
        <is>
          <t>Note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3" t="inlineStr">
        <is>
          <t>Last data refresh (as-of)</t>
        </is>
      </c>
      <c r="B5" s="36" t="inlineStr">
        <is>
          <t>2026-06-17</t>
        </is>
      </c>
      <c r="C5" s="52" t="inlineStr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3" t="inlineStr">
        <is>
          <t>Active jobs (Knowify)</t>
        </is>
      </c>
      <c r="B6" s="36" t="n">
        <v>308</v>
      </c>
      <c r="C6" s="52" t="inlineStr">
        <is>
          <t>JobsReport Total = 308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3" t="inlineStr">
        <is>
          <t>Managed jobs (PM + budget + ≥$1k)</t>
        </is>
      </c>
      <c r="B7" s="36" t="n">
        <v>84</v>
      </c>
      <c r="C7" s="52" t="inlineStr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3" t="inlineStr">
        <is>
          <t>Active jobs missing a PM</t>
        </is>
      </c>
      <c r="B8" s="36" t="n">
        <v>221</v>
      </c>
      <c r="C8" s="52" t="inlineStr">
        <is>
          <t>assign in Knowify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3" t="inlineStr">
        <is>
          <t>Active jobs missing a budget</t>
        </is>
      </c>
      <c r="B9" s="36" t="n">
        <v>220</v>
      </c>
      <c r="C9" s="52" t="inlineStr">
        <is>
          <t>load budget in Knowify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3" t="inlineStr">
        <is>
          <t>GL $ in UNALLOCATED division</t>
        </is>
      </c>
      <c r="B10" s="36" t="inlineStr">
        <is>
          <t>$0</t>
        </is>
      </c>
      <c r="C10" s="52" t="inlineStr">
        <is>
          <t>fix QuickBooks Class tagging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YTD2026 Revenue ties to QB</t>
        </is>
      </c>
      <c r="B11" s="36" t="inlineStr">
        <is>
          <t>$28,774,215</t>
        </is>
      </c>
      <c r="C11" s="52" t="inlineStr">
        <is>
          <t>QB P&amp;L 28,774,215.27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YTD2026 Net Income ties to QB</t>
        </is>
      </c>
      <c r="B12" s="36" t="inlineStr">
        <is>
          <t>$5,340,197</t>
        </is>
      </c>
      <c r="C12" s="52" t="inlineStr">
        <is>
          <t>QB cash flow 5,340,196.80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3" t="inlineStr">
        <is>
          <t>Trade A/R ties to balance sheet</t>
        </is>
      </c>
      <c r="B13" s="36" t="inlineStr">
        <is>
          <t>$12,986,876</t>
        </is>
      </c>
      <c r="C13" s="52" t="inlineStr">
        <is>
          <t>QB BS A/R 12,986,876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3" t="inlineStr">
        <is>
          <t>A/P ties to balance sheet</t>
        </is>
      </c>
      <c r="B14" s="36" t="inlineStr">
        <is>
          <t>$3,655,334</t>
        </is>
      </c>
      <c r="C14" s="52" t="inlineStr">
        <is>
          <t>QB BS A/P 3,655,334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3" t="inlineStr">
        <is>
          <t>Total assets (QB)</t>
        </is>
      </c>
      <c r="B15" s="36" t="inlineStr">
        <is>
          <t>$22,551,055</t>
        </is>
      </c>
      <c r="C15" s="52" t="inlineStr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3B2"/>
    <outlinePr summaryBelow="1" summaryRight="1"/>
    <pageSetUpPr/>
  </sheetPr>
  <dimension ref="A1:F2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</cols>
  <sheetData>
    <row r="1">
      <c r="A1" s="40" t="inlineStr">
        <is>
          <t>Account</t>
        </is>
      </c>
      <c r="B1" s="40" t="inlineStr">
        <is>
          <t>Period</t>
        </is>
      </c>
      <c r="C1" s="40" t="inlineStr">
        <is>
          <t>PeriodEnd</t>
        </is>
      </c>
      <c r="D1" s="40" t="inlineStr">
        <is>
          <t>DivKey</t>
        </is>
      </c>
      <c r="E1" s="40" t="inlineStr">
        <is>
          <t>Amount</t>
        </is>
      </c>
      <c r="F1" s="40" t="inlineStr">
        <is>
          <t>Category</t>
        </is>
      </c>
    </row>
    <row r="2">
      <c r="A2" s="53" t="inlineStr">
        <is>
          <t>Billable Expense Income</t>
        </is>
      </c>
      <c r="B2" s="53" t="inlineStr">
        <is>
          <t>FY2024</t>
        </is>
      </c>
      <c r="C2" s="53" t="inlineStr">
        <is>
          <t>2024-12-31</t>
        </is>
      </c>
      <c r="D2" s="53" t="inlineStr">
        <is>
          <t>ALL</t>
        </is>
      </c>
      <c r="E2" s="53" t="n">
        <v>10032</v>
      </c>
      <c r="F2" s="53" t="inlineStr">
        <is>
          <t>Revenue</t>
        </is>
      </c>
    </row>
    <row r="3">
      <c r="A3" s="53" t="inlineStr">
        <is>
          <t>Doors and Windows</t>
        </is>
      </c>
      <c r="B3" s="53" t="inlineStr">
        <is>
          <t>FY2024</t>
        </is>
      </c>
      <c r="C3" s="53" t="inlineStr">
        <is>
          <t>2024-12-31</t>
        </is>
      </c>
      <c r="D3" s="53" t="inlineStr">
        <is>
          <t>ALL</t>
        </is>
      </c>
      <c r="E3" s="53" t="n">
        <v>237386.66</v>
      </c>
      <c r="F3" s="53" t="inlineStr">
        <is>
          <t>Revenue</t>
        </is>
      </c>
    </row>
    <row r="4">
      <c r="A4" s="53" t="inlineStr">
        <is>
          <t>Drywall Sales Income</t>
        </is>
      </c>
      <c r="B4" s="53" t="inlineStr">
        <is>
          <t>FY2024</t>
        </is>
      </c>
      <c r="C4" s="53" t="inlineStr">
        <is>
          <t>2024-12-31</t>
        </is>
      </c>
      <c r="D4" s="53" t="inlineStr">
        <is>
          <t>DW</t>
        </is>
      </c>
      <c r="E4" s="53" t="n">
        <v>-6863.55</v>
      </c>
      <c r="F4" s="53" t="inlineStr">
        <is>
          <t>Revenue</t>
        </is>
      </c>
    </row>
    <row r="5">
      <c r="A5" s="53" t="inlineStr">
        <is>
          <t>Drywall Service Income</t>
        </is>
      </c>
      <c r="B5" s="53" t="inlineStr">
        <is>
          <t>FY2024</t>
        </is>
      </c>
      <c r="C5" s="53" t="inlineStr">
        <is>
          <t>2024-12-31</t>
        </is>
      </c>
      <c r="D5" s="53" t="inlineStr">
        <is>
          <t>DW</t>
        </is>
      </c>
      <c r="E5" s="53" t="n">
        <v>3983560.92</v>
      </c>
      <c r="F5" s="53" t="inlineStr">
        <is>
          <t>Revenue</t>
        </is>
      </c>
    </row>
    <row r="6">
      <c r="A6" s="53" t="inlineStr">
        <is>
          <t>Drywall Division Delivery Income</t>
        </is>
      </c>
      <c r="B6" s="53" t="inlineStr">
        <is>
          <t>FY2024</t>
        </is>
      </c>
      <c r="C6" s="53" t="inlineStr">
        <is>
          <t>2024-12-31</t>
        </is>
      </c>
      <c r="D6" s="53" t="inlineStr">
        <is>
          <t>DW</t>
        </is>
      </c>
      <c r="E6" s="53" t="n">
        <v>1062721.25</v>
      </c>
      <c r="F6" s="53" t="inlineStr">
        <is>
          <t>Revenue</t>
        </is>
      </c>
    </row>
    <row r="7">
      <c r="A7" s="53" t="inlineStr">
        <is>
          <t>Drywall Division Material Income</t>
        </is>
      </c>
      <c r="B7" s="53" t="inlineStr">
        <is>
          <t>FY2024</t>
        </is>
      </c>
      <c r="C7" s="53" t="inlineStr">
        <is>
          <t>2024-12-31</t>
        </is>
      </c>
      <c r="D7" s="53" t="inlineStr">
        <is>
          <t>DW</t>
        </is>
      </c>
      <c r="E7" s="53" t="n">
        <v>2840679.74</v>
      </c>
      <c r="F7" s="53" t="inlineStr">
        <is>
          <t>Revenue</t>
        </is>
      </c>
    </row>
    <row r="8">
      <c r="A8" s="53" t="inlineStr">
        <is>
          <t>Drywall Tax</t>
        </is>
      </c>
      <c r="B8" s="53" t="inlineStr">
        <is>
          <t>FY2024</t>
        </is>
      </c>
      <c r="C8" s="53" t="inlineStr">
        <is>
          <t>2024-12-31</t>
        </is>
      </c>
      <c r="D8" s="53" t="inlineStr">
        <is>
          <t>DW</t>
        </is>
      </c>
      <c r="E8" s="53" t="n">
        <v>348.74</v>
      </c>
      <c r="F8" s="53" t="inlineStr">
        <is>
          <t>Revenue</t>
        </is>
      </c>
    </row>
    <row r="9">
      <c r="A9" s="53" t="inlineStr">
        <is>
          <t>Engineering Project Income</t>
        </is>
      </c>
      <c r="B9" s="53" t="inlineStr">
        <is>
          <t>FY2024</t>
        </is>
      </c>
      <c r="C9" s="53" t="inlineStr">
        <is>
          <t>2024-12-31</t>
        </is>
      </c>
      <c r="D9" s="53" t="inlineStr">
        <is>
          <t>EN</t>
        </is>
      </c>
      <c r="E9" s="53" t="n">
        <v>16000</v>
      </c>
      <c r="F9" s="53" t="inlineStr">
        <is>
          <t>Revenue</t>
        </is>
      </c>
    </row>
    <row r="10">
      <c r="A10" s="53" t="inlineStr">
        <is>
          <t>Finishes</t>
        </is>
      </c>
      <c r="B10" s="53" t="inlineStr">
        <is>
          <t>FY2024</t>
        </is>
      </c>
      <c r="C10" s="53" t="inlineStr">
        <is>
          <t>2024-12-31</t>
        </is>
      </c>
      <c r="D10" s="53" t="inlineStr">
        <is>
          <t>ALL</t>
        </is>
      </c>
      <c r="E10" s="53" t="n">
        <v>1499889.18</v>
      </c>
      <c r="F10" s="53" t="inlineStr">
        <is>
          <t>Revenue</t>
        </is>
      </c>
    </row>
    <row r="11">
      <c r="A11" s="53" t="inlineStr">
        <is>
          <t>Metals</t>
        </is>
      </c>
      <c r="B11" s="53" t="inlineStr">
        <is>
          <t>FY2024</t>
        </is>
      </c>
      <c r="C11" s="53" t="inlineStr">
        <is>
          <t>2024-12-31</t>
        </is>
      </c>
      <c r="D11" s="53" t="inlineStr">
        <is>
          <t>ALL</t>
        </is>
      </c>
      <c r="E11" s="53" t="n">
        <v>1715940.63</v>
      </c>
      <c r="F11" s="53" t="inlineStr">
        <is>
          <t>Revenue</t>
        </is>
      </c>
    </row>
    <row r="12">
      <c r="A12" s="53" t="inlineStr">
        <is>
          <t>Sales</t>
        </is>
      </c>
      <c r="B12" s="53" t="inlineStr">
        <is>
          <t>FY2024</t>
        </is>
      </c>
      <c r="C12" s="53" t="inlineStr">
        <is>
          <t>2024-12-31</t>
        </is>
      </c>
      <c r="D12" s="53" t="inlineStr">
        <is>
          <t>ALL</t>
        </is>
      </c>
      <c r="E12" s="53" t="n">
        <v>4079740.08</v>
      </c>
      <c r="F12" s="53" t="inlineStr">
        <is>
          <t>Revenue</t>
        </is>
      </c>
    </row>
    <row r="13">
      <c r="A13" s="53" t="inlineStr">
        <is>
          <t>Service/Fee Income</t>
        </is>
      </c>
      <c r="B13" s="53" t="inlineStr">
        <is>
          <t>FY2024</t>
        </is>
      </c>
      <c r="C13" s="53" t="inlineStr">
        <is>
          <t>2024-12-31</t>
        </is>
      </c>
      <c r="D13" s="53" t="inlineStr">
        <is>
          <t>ALL</t>
        </is>
      </c>
      <c r="E13" s="53" t="n">
        <v>22772419.95</v>
      </c>
      <c r="F13" s="53" t="inlineStr">
        <is>
          <t>Revenue</t>
        </is>
      </c>
    </row>
    <row r="14">
      <c r="A14" s="53" t="inlineStr">
        <is>
          <t>Specialties</t>
        </is>
      </c>
      <c r="B14" s="53" t="inlineStr">
        <is>
          <t>FY2024</t>
        </is>
      </c>
      <c r="C14" s="53" t="inlineStr">
        <is>
          <t>2024-12-31</t>
        </is>
      </c>
      <c r="D14" s="53" t="inlineStr">
        <is>
          <t>ALL</t>
        </is>
      </c>
      <c r="E14" s="53" t="n">
        <v>87799.97</v>
      </c>
      <c r="F14" s="53" t="inlineStr">
        <is>
          <t>Revenue</t>
        </is>
      </c>
    </row>
    <row r="15">
      <c r="A15" s="53" t="inlineStr">
        <is>
          <t>Thermal and Moisture Control</t>
        </is>
      </c>
      <c r="B15" s="53" t="inlineStr">
        <is>
          <t>FY2024</t>
        </is>
      </c>
      <c r="C15" s="53" t="inlineStr">
        <is>
          <t>2024-12-31</t>
        </is>
      </c>
      <c r="D15" s="53" t="inlineStr">
        <is>
          <t>ALL</t>
        </is>
      </c>
      <c r="E15" s="53" t="n">
        <v>401319.14</v>
      </c>
      <c r="F15" s="53" t="inlineStr">
        <is>
          <t>Revenue</t>
        </is>
      </c>
    </row>
    <row r="16">
      <c r="A16" s="53" t="inlineStr">
        <is>
          <t>WIP Adj - Net change</t>
        </is>
      </c>
      <c r="B16" s="53" t="inlineStr">
        <is>
          <t>FY2024</t>
        </is>
      </c>
      <c r="C16" s="53" t="inlineStr">
        <is>
          <t>2024-12-31</t>
        </is>
      </c>
      <c r="D16" s="53" t="inlineStr">
        <is>
          <t>ALL</t>
        </is>
      </c>
      <c r="E16" s="53" t="n">
        <v>67516.35000000001</v>
      </c>
      <c r="F16" s="53" t="inlineStr">
        <is>
          <t>Revenue</t>
        </is>
      </c>
    </row>
    <row r="17">
      <c r="A17" s="53" t="inlineStr">
        <is>
          <t>Wood and Plastics</t>
        </is>
      </c>
      <c r="B17" s="53" t="inlineStr">
        <is>
          <t>FY2024</t>
        </is>
      </c>
      <c r="C17" s="53" t="inlineStr">
        <is>
          <t>2024-12-31</t>
        </is>
      </c>
      <c r="D17" s="53" t="inlineStr">
        <is>
          <t>ALL</t>
        </is>
      </c>
      <c r="E17" s="53" t="n">
        <v>769283.84</v>
      </c>
      <c r="F17" s="53" t="inlineStr">
        <is>
          <t>Revenue</t>
        </is>
      </c>
    </row>
    <row r="18">
      <c r="A18" s="53" t="inlineStr">
        <is>
          <t>Cost of labor - Contractors</t>
        </is>
      </c>
      <c r="B18" s="53" t="inlineStr">
        <is>
          <t>FY2024</t>
        </is>
      </c>
      <c r="C18" s="53" t="inlineStr">
        <is>
          <t>2024-12-31</t>
        </is>
      </c>
      <c r="D18" s="53" t="inlineStr">
        <is>
          <t>ALL</t>
        </is>
      </c>
      <c r="E18" s="53" t="n">
        <v>8808010.66</v>
      </c>
      <c r="F18" s="53" t="inlineStr">
        <is>
          <t>COGS</t>
        </is>
      </c>
    </row>
    <row r="19">
      <c r="A19" s="53" t="inlineStr">
        <is>
          <t>Cost of labor - Direct Labor</t>
        </is>
      </c>
      <c r="B19" s="53" t="inlineStr">
        <is>
          <t>FY2024</t>
        </is>
      </c>
      <c r="C19" s="53" t="inlineStr">
        <is>
          <t>2024-12-31</t>
        </is>
      </c>
      <c r="D19" s="53" t="inlineStr">
        <is>
          <t>ALL</t>
        </is>
      </c>
      <c r="E19" s="53" t="n">
        <v>184100.65</v>
      </c>
      <c r="F19" s="53" t="inlineStr">
        <is>
          <t>COGS</t>
        </is>
      </c>
    </row>
    <row r="20">
      <c r="A20" s="53" t="inlineStr">
        <is>
          <t>Drywall Supply External Expense</t>
        </is>
      </c>
      <c r="B20" s="53" t="inlineStr">
        <is>
          <t>FY2024</t>
        </is>
      </c>
      <c r="C20" s="53" t="inlineStr">
        <is>
          <t>2024-12-31</t>
        </is>
      </c>
      <c r="D20" s="53" t="inlineStr">
        <is>
          <t>DW</t>
        </is>
      </c>
      <c r="E20" s="53" t="n">
        <v>5816123.6</v>
      </c>
      <c r="F20" s="53" t="inlineStr">
        <is>
          <t>COGS</t>
        </is>
      </c>
    </row>
    <row r="21">
      <c r="A21" s="53" t="inlineStr">
        <is>
          <t>Drywall Supply Internal Expense</t>
        </is>
      </c>
      <c r="B21" s="53" t="inlineStr">
        <is>
          <t>FY2024</t>
        </is>
      </c>
      <c r="C21" s="53" t="inlineStr">
        <is>
          <t>2024-12-31</t>
        </is>
      </c>
      <c r="D21" s="53" t="inlineStr">
        <is>
          <t>DW</t>
        </is>
      </c>
      <c r="E21" s="53" t="n">
        <v>3968871.29</v>
      </c>
      <c r="F21" s="53" t="inlineStr">
        <is>
          <t>COGS</t>
        </is>
      </c>
    </row>
    <row r="22">
      <c r="A22" s="53" t="inlineStr">
        <is>
          <t>Job Site Expenses</t>
        </is>
      </c>
      <c r="B22" s="53" t="inlineStr">
        <is>
          <t>FY2024</t>
        </is>
      </c>
      <c r="C22" s="53" t="inlineStr">
        <is>
          <t>2024-12-31</t>
        </is>
      </c>
      <c r="D22" s="53" t="inlineStr">
        <is>
          <t>ALL</t>
        </is>
      </c>
      <c r="E22" s="53" t="n">
        <v>8775597.67</v>
      </c>
      <c r="F22" s="53" t="inlineStr">
        <is>
          <t>COGS</t>
        </is>
      </c>
    </row>
    <row r="23">
      <c r="A23" s="53" t="inlineStr">
        <is>
          <t>Equipment Rental</t>
        </is>
      </c>
      <c r="B23" s="53" t="inlineStr">
        <is>
          <t>FY2024</t>
        </is>
      </c>
      <c r="C23" s="53" t="inlineStr">
        <is>
          <t>2024-12-31</t>
        </is>
      </c>
      <c r="D23" s="53" t="inlineStr">
        <is>
          <t>ALL</t>
        </is>
      </c>
      <c r="E23" s="53" t="n">
        <v>920967.55</v>
      </c>
      <c r="F23" s="53" t="inlineStr">
        <is>
          <t>COGS</t>
        </is>
      </c>
    </row>
    <row r="24">
      <c r="A24" s="53" t="inlineStr">
        <is>
          <t>Per Diem Job Expense</t>
        </is>
      </c>
      <c r="B24" s="53" t="inlineStr">
        <is>
          <t>FY2024</t>
        </is>
      </c>
      <c r="C24" s="53" t="inlineStr">
        <is>
          <t>2024-12-31</t>
        </is>
      </c>
      <c r="D24" s="53" t="inlineStr">
        <is>
          <t>ALL</t>
        </is>
      </c>
      <c r="E24" s="53" t="n">
        <v>1500</v>
      </c>
      <c r="F24" s="53" t="inlineStr">
        <is>
          <t>COGS</t>
        </is>
      </c>
    </row>
    <row r="25">
      <c r="A25" s="53" t="inlineStr">
        <is>
          <t>Shipping, Freight &amp; Delivery - COS</t>
        </is>
      </c>
      <c r="B25" s="53" t="inlineStr">
        <is>
          <t>FY2024</t>
        </is>
      </c>
      <c r="C25" s="53" t="inlineStr">
        <is>
          <t>2024-12-31</t>
        </is>
      </c>
      <c r="D25" s="53" t="inlineStr">
        <is>
          <t>ALL</t>
        </is>
      </c>
      <c r="E25" s="53" t="n">
        <v>50</v>
      </c>
      <c r="F25" s="53" t="inlineStr">
        <is>
          <t>COGS</t>
        </is>
      </c>
    </row>
    <row r="26">
      <c r="A26" s="53" t="inlineStr">
        <is>
          <t>Vendor Discounts</t>
        </is>
      </c>
      <c r="B26" s="53" t="inlineStr">
        <is>
          <t>FY2024</t>
        </is>
      </c>
      <c r="C26" s="53" t="inlineStr">
        <is>
          <t>2024-12-31</t>
        </is>
      </c>
      <c r="D26" s="53" t="inlineStr">
        <is>
          <t>ALL</t>
        </is>
      </c>
      <c r="E26" s="53" t="n">
        <v>-40004.49</v>
      </c>
      <c r="F26" s="53" t="inlineStr">
        <is>
          <t>COGS</t>
        </is>
      </c>
    </row>
    <row r="27">
      <c r="A27" s="53" t="inlineStr">
        <is>
          <t>Advertising &amp; Marketing</t>
        </is>
      </c>
      <c r="B27" s="53" t="inlineStr">
        <is>
          <t>FY2024</t>
        </is>
      </c>
      <c r="C27" s="53" t="inlineStr">
        <is>
          <t>2024-12-31</t>
        </is>
      </c>
      <c r="D27" s="53" t="inlineStr">
        <is>
          <t>ALL</t>
        </is>
      </c>
      <c r="E27" s="53" t="n">
        <v>95529.38</v>
      </c>
      <c r="F27" s="53" t="inlineStr">
        <is>
          <t>Operating Expense</t>
        </is>
      </c>
    </row>
    <row r="28">
      <c r="A28" s="53" t="inlineStr">
        <is>
          <t>Bad Debt</t>
        </is>
      </c>
      <c r="B28" s="53" t="inlineStr">
        <is>
          <t>FY2024</t>
        </is>
      </c>
      <c r="C28" s="53" t="inlineStr">
        <is>
          <t>2024-12-31</t>
        </is>
      </c>
      <c r="D28" s="53" t="inlineStr">
        <is>
          <t>ALL</t>
        </is>
      </c>
      <c r="E28" s="53" t="n">
        <v>23833.47</v>
      </c>
      <c r="F28" s="53" t="inlineStr">
        <is>
          <t>Operating Expense</t>
        </is>
      </c>
    </row>
    <row r="29">
      <c r="A29" s="53" t="inlineStr">
        <is>
          <t>Bank Charges &amp; Fees</t>
        </is>
      </c>
      <c r="B29" s="53" t="inlineStr">
        <is>
          <t>FY2024</t>
        </is>
      </c>
      <c r="C29" s="53" t="inlineStr">
        <is>
          <t>2024-12-31</t>
        </is>
      </c>
      <c r="D29" s="53" t="inlineStr">
        <is>
          <t>ALL</t>
        </is>
      </c>
      <c r="E29" s="53" t="n">
        <v>6245.61</v>
      </c>
      <c r="F29" s="53" t="inlineStr">
        <is>
          <t>Operating Expense</t>
        </is>
      </c>
    </row>
    <row r="30">
      <c r="A30" s="53" t="inlineStr">
        <is>
          <t>Car &amp; Truck</t>
        </is>
      </c>
      <c r="B30" s="53" t="inlineStr">
        <is>
          <t>FY2024</t>
        </is>
      </c>
      <c r="C30" s="53" t="inlineStr">
        <is>
          <t>2024-12-31</t>
        </is>
      </c>
      <c r="D30" s="53" t="inlineStr">
        <is>
          <t>ALL</t>
        </is>
      </c>
      <c r="E30" s="53" t="n">
        <v>295631.01</v>
      </c>
      <c r="F30" s="53" t="inlineStr">
        <is>
          <t>Operating Expense</t>
        </is>
      </c>
    </row>
    <row r="31">
      <c r="A31" s="53" t="inlineStr">
        <is>
          <t>DEF - Boom Truck</t>
        </is>
      </c>
      <c r="B31" s="53" t="inlineStr">
        <is>
          <t>FY2024</t>
        </is>
      </c>
      <c r="C31" s="53" t="inlineStr">
        <is>
          <t>2024-12-31</t>
        </is>
      </c>
      <c r="D31" s="53" t="inlineStr">
        <is>
          <t>ALL</t>
        </is>
      </c>
      <c r="E31" s="53" t="n">
        <v>53.48</v>
      </c>
      <c r="F31" s="53" t="inlineStr">
        <is>
          <t>Operating Expense</t>
        </is>
      </c>
    </row>
    <row r="32">
      <c r="A32" s="53" t="inlineStr">
        <is>
          <t>DOT Boom Trucks Compliance</t>
        </is>
      </c>
      <c r="B32" s="53" t="inlineStr">
        <is>
          <t>FY2024</t>
        </is>
      </c>
      <c r="C32" s="53" t="inlineStr">
        <is>
          <t>2024-12-31</t>
        </is>
      </c>
      <c r="D32" s="53" t="inlineStr">
        <is>
          <t>ALL</t>
        </is>
      </c>
      <c r="E32" s="53" t="n">
        <v>156.66</v>
      </c>
      <c r="F32" s="53" t="inlineStr">
        <is>
          <t>Operating Expense</t>
        </is>
      </c>
    </row>
    <row r="33">
      <c r="A33" s="53" t="inlineStr">
        <is>
          <t>Fuel Diesel - Boom Truck</t>
        </is>
      </c>
      <c r="B33" s="53" t="inlineStr">
        <is>
          <t>FY2024</t>
        </is>
      </c>
      <c r="C33" s="53" t="inlineStr">
        <is>
          <t>2024-12-31</t>
        </is>
      </c>
      <c r="D33" s="53" t="inlineStr">
        <is>
          <t>ALL</t>
        </is>
      </c>
      <c r="E33" s="53" t="n">
        <v>43432.76</v>
      </c>
      <c r="F33" s="53" t="inlineStr">
        <is>
          <t>Operating Expense</t>
        </is>
      </c>
    </row>
    <row r="34">
      <c r="A34" s="53" t="inlineStr">
        <is>
          <t>Fuel Truck - Company Pickup</t>
        </is>
      </c>
      <c r="B34" s="53" t="inlineStr">
        <is>
          <t>FY2024</t>
        </is>
      </c>
      <c r="C34" s="53" t="inlineStr">
        <is>
          <t>2024-12-31</t>
        </is>
      </c>
      <c r="D34" s="53" t="inlineStr">
        <is>
          <t>ALL</t>
        </is>
      </c>
      <c r="E34" s="53" t="n">
        <v>602.67</v>
      </c>
      <c r="F34" s="53" t="inlineStr">
        <is>
          <t>Operating Expense</t>
        </is>
      </c>
    </row>
    <row r="35">
      <c r="A35" s="53" t="inlineStr">
        <is>
          <t>Service - Boom Truck</t>
        </is>
      </c>
      <c r="B35" s="53" t="inlineStr">
        <is>
          <t>FY2024</t>
        </is>
      </c>
      <c r="C35" s="53" t="inlineStr">
        <is>
          <t>2024-12-31</t>
        </is>
      </c>
      <c r="D35" s="53" t="inlineStr">
        <is>
          <t>ALL</t>
        </is>
      </c>
      <c r="E35" s="53" t="n">
        <v>8302.629999999999</v>
      </c>
      <c r="F35" s="53" t="inlineStr">
        <is>
          <t>Operating Expense</t>
        </is>
      </c>
    </row>
    <row r="36">
      <c r="A36" s="53" t="inlineStr">
        <is>
          <t>Charitable Contributions</t>
        </is>
      </c>
      <c r="B36" s="53" t="inlineStr">
        <is>
          <t>FY2024</t>
        </is>
      </c>
      <c r="C36" s="53" t="inlineStr">
        <is>
          <t>2024-12-31</t>
        </is>
      </c>
      <c r="D36" s="53" t="inlineStr">
        <is>
          <t>ALL</t>
        </is>
      </c>
      <c r="E36" s="53" t="n">
        <v>9650</v>
      </c>
      <c r="F36" s="53" t="inlineStr">
        <is>
          <t>Operating Expense</t>
        </is>
      </c>
    </row>
    <row r="37">
      <c r="A37" s="53" t="inlineStr">
        <is>
          <t>Contractors</t>
        </is>
      </c>
      <c r="B37" s="53" t="inlineStr">
        <is>
          <t>FY2024</t>
        </is>
      </c>
      <c r="C37" s="53" t="inlineStr">
        <is>
          <t>2024-12-31</t>
        </is>
      </c>
      <c r="D37" s="53" t="inlineStr">
        <is>
          <t>ALL</t>
        </is>
      </c>
      <c r="E37" s="53" t="n">
        <v>29907.28</v>
      </c>
      <c r="F37" s="53" t="inlineStr">
        <is>
          <t>Operating Expense</t>
        </is>
      </c>
    </row>
    <row r="38">
      <c r="A38" s="53" t="inlineStr">
        <is>
          <t>Depreciation</t>
        </is>
      </c>
      <c r="B38" s="53" t="inlineStr">
        <is>
          <t>FY2024</t>
        </is>
      </c>
      <c r="C38" s="53" t="inlineStr">
        <is>
          <t>2024-12-31</t>
        </is>
      </c>
      <c r="D38" s="53" t="inlineStr">
        <is>
          <t>ALL</t>
        </is>
      </c>
      <c r="E38" s="53" t="n">
        <v>159278.79</v>
      </c>
      <c r="F38" s="53" t="inlineStr">
        <is>
          <t>Operating Expense</t>
        </is>
      </c>
    </row>
    <row r="39">
      <c r="A39" s="53" t="inlineStr">
        <is>
          <t>Drywall Division Labor - Subcontractors</t>
        </is>
      </c>
      <c r="B39" s="53" t="inlineStr">
        <is>
          <t>FY2024</t>
        </is>
      </c>
      <c r="C39" s="53" t="inlineStr">
        <is>
          <t>2024-12-31</t>
        </is>
      </c>
      <c r="D39" s="53" t="inlineStr">
        <is>
          <t>DW</t>
        </is>
      </c>
      <c r="E39" s="53" t="n">
        <v>147790.5</v>
      </c>
      <c r="F39" s="53" t="inlineStr">
        <is>
          <t>Operating Expense</t>
        </is>
      </c>
    </row>
    <row r="40">
      <c r="A40" s="53" t="inlineStr">
        <is>
          <t>Dues &amp; subscriptions</t>
        </is>
      </c>
      <c r="B40" s="53" t="inlineStr">
        <is>
          <t>FY2024</t>
        </is>
      </c>
      <c r="C40" s="53" t="inlineStr">
        <is>
          <t>2024-12-31</t>
        </is>
      </c>
      <c r="D40" s="53" t="inlineStr">
        <is>
          <t>ALL</t>
        </is>
      </c>
      <c r="E40" s="53" t="n">
        <v>4350.79</v>
      </c>
      <c r="F40" s="53" t="inlineStr">
        <is>
          <t>Operating Expense</t>
        </is>
      </c>
    </row>
    <row r="41">
      <c r="A41" s="53" t="inlineStr">
        <is>
          <t>Equipment/Vehicle Rental</t>
        </is>
      </c>
      <c r="B41" s="53" t="inlineStr">
        <is>
          <t>FY2024</t>
        </is>
      </c>
      <c r="C41" s="53" t="inlineStr">
        <is>
          <t>2024-12-31</t>
        </is>
      </c>
      <c r="D41" s="53" t="inlineStr">
        <is>
          <t>ALL</t>
        </is>
      </c>
      <c r="E41" s="53" t="n">
        <v>8828.66</v>
      </c>
      <c r="F41" s="53" t="inlineStr">
        <is>
          <t>Operating Expense</t>
        </is>
      </c>
    </row>
    <row r="42">
      <c r="A42" s="53" t="inlineStr">
        <is>
          <t>Freight</t>
        </is>
      </c>
      <c r="B42" s="53" t="inlineStr">
        <is>
          <t>FY2024</t>
        </is>
      </c>
      <c r="C42" s="53" t="inlineStr">
        <is>
          <t>2024-12-31</t>
        </is>
      </c>
      <c r="D42" s="53" t="inlineStr">
        <is>
          <t>ALL</t>
        </is>
      </c>
      <c r="E42" s="53" t="n">
        <v>1800</v>
      </c>
      <c r="F42" s="53" t="inlineStr">
        <is>
          <t>Operating Expense</t>
        </is>
      </c>
    </row>
    <row r="43">
      <c r="A43" s="53" t="inlineStr">
        <is>
          <t>Insurance</t>
        </is>
      </c>
      <c r="B43" s="53" t="inlineStr">
        <is>
          <t>FY2024</t>
        </is>
      </c>
      <c r="C43" s="53" t="inlineStr">
        <is>
          <t>2024-12-31</t>
        </is>
      </c>
      <c r="D43" s="53" t="inlineStr">
        <is>
          <t>ALL</t>
        </is>
      </c>
      <c r="E43" s="53" t="n">
        <v>186947.02</v>
      </c>
      <c r="F43" s="53" t="inlineStr">
        <is>
          <t>Operating Expense</t>
        </is>
      </c>
    </row>
    <row r="44">
      <c r="A44" s="53" t="inlineStr">
        <is>
          <t>Interest Paid</t>
        </is>
      </c>
      <c r="B44" s="53" t="inlineStr">
        <is>
          <t>FY2024</t>
        </is>
      </c>
      <c r="C44" s="53" t="inlineStr">
        <is>
          <t>2024-12-31</t>
        </is>
      </c>
      <c r="D44" s="53" t="inlineStr">
        <is>
          <t>ALL</t>
        </is>
      </c>
      <c r="E44" s="53" t="n">
        <v>240799.34</v>
      </c>
      <c r="F44" s="53" t="inlineStr">
        <is>
          <t>Operating Expense</t>
        </is>
      </c>
    </row>
    <row r="45">
      <c r="A45" s="53" t="inlineStr">
        <is>
          <t>Job Supplies</t>
        </is>
      </c>
      <c r="B45" s="53" t="inlineStr">
        <is>
          <t>FY2024</t>
        </is>
      </c>
      <c r="C45" s="53" t="inlineStr">
        <is>
          <t>2024-12-31</t>
        </is>
      </c>
      <c r="D45" s="53" t="inlineStr">
        <is>
          <t>ALL</t>
        </is>
      </c>
      <c r="E45" s="53" t="n">
        <v>31581.94</v>
      </c>
      <c r="F45" s="53" t="inlineStr">
        <is>
          <t>Operating Expense</t>
        </is>
      </c>
    </row>
    <row r="46">
      <c r="A46" s="53" t="inlineStr">
        <is>
          <t>Legal &amp; Professional Services</t>
        </is>
      </c>
      <c r="B46" s="53" t="inlineStr">
        <is>
          <t>FY2024</t>
        </is>
      </c>
      <c r="C46" s="53" t="inlineStr">
        <is>
          <t>2024-12-31</t>
        </is>
      </c>
      <c r="D46" s="53" t="inlineStr">
        <is>
          <t>ALL</t>
        </is>
      </c>
      <c r="E46" s="53" t="n">
        <v>236680.09</v>
      </c>
      <c r="F46" s="53" t="inlineStr">
        <is>
          <t>Operating Expense</t>
        </is>
      </c>
    </row>
    <row r="47">
      <c r="A47" s="53" t="inlineStr">
        <is>
          <t>Meals &amp; Entertainment</t>
        </is>
      </c>
      <c r="B47" s="53" t="inlineStr">
        <is>
          <t>FY2024</t>
        </is>
      </c>
      <c r="C47" s="53" t="inlineStr">
        <is>
          <t>2024-12-31</t>
        </is>
      </c>
      <c r="D47" s="53" t="inlineStr">
        <is>
          <t>ALL</t>
        </is>
      </c>
      <c r="E47" s="53" t="n">
        <v>166308.92</v>
      </c>
      <c r="F47" s="53" t="inlineStr">
        <is>
          <t>Operating Expense</t>
        </is>
      </c>
    </row>
    <row r="48">
      <c r="A48" s="53" t="inlineStr">
        <is>
          <t>Melio Credit card fee</t>
        </is>
      </c>
      <c r="B48" s="53" t="inlineStr">
        <is>
          <t>FY2024</t>
        </is>
      </c>
      <c r="C48" s="53" t="inlineStr">
        <is>
          <t>2024-12-31</t>
        </is>
      </c>
      <c r="D48" s="53" t="inlineStr">
        <is>
          <t>ALL</t>
        </is>
      </c>
      <c r="E48" s="53" t="n">
        <v>60</v>
      </c>
      <c r="F48" s="53" t="inlineStr">
        <is>
          <t>Operating Expense</t>
        </is>
      </c>
    </row>
    <row r="49">
      <c r="A49" s="53" t="inlineStr">
        <is>
          <t>Office Supplies &amp; Software</t>
        </is>
      </c>
      <c r="B49" s="53" t="inlineStr">
        <is>
          <t>FY2024</t>
        </is>
      </c>
      <c r="C49" s="53" t="inlineStr">
        <is>
          <t>2024-12-31</t>
        </is>
      </c>
      <c r="D49" s="53" t="inlineStr">
        <is>
          <t>ALL</t>
        </is>
      </c>
      <c r="E49" s="53" t="n">
        <v>171877.26</v>
      </c>
      <c r="F49" s="53" t="inlineStr">
        <is>
          <t>Operating Expense</t>
        </is>
      </c>
    </row>
    <row r="50">
      <c r="A50" s="53" t="inlineStr">
        <is>
          <t>Software Subscription/Use Fee</t>
        </is>
      </c>
      <c r="B50" s="53" t="inlineStr">
        <is>
          <t>FY2024</t>
        </is>
      </c>
      <c r="C50" s="53" t="inlineStr">
        <is>
          <t>2024-12-31</t>
        </is>
      </c>
      <c r="D50" s="53" t="inlineStr">
        <is>
          <t>ALL</t>
        </is>
      </c>
      <c r="E50" s="53" t="n">
        <v>249.99</v>
      </c>
      <c r="F50" s="53" t="inlineStr">
        <is>
          <t>Operating Expense</t>
        </is>
      </c>
    </row>
    <row r="51">
      <c r="A51" s="53" t="inlineStr">
        <is>
          <t>Other Business Expenses</t>
        </is>
      </c>
      <c r="B51" s="53" t="inlineStr">
        <is>
          <t>FY2024</t>
        </is>
      </c>
      <c r="C51" s="53" t="inlineStr">
        <is>
          <t>2024-12-31</t>
        </is>
      </c>
      <c r="D51" s="53" t="inlineStr">
        <is>
          <t>ALL</t>
        </is>
      </c>
      <c r="E51" s="53" t="n">
        <v>3875.79</v>
      </c>
      <c r="F51" s="53" t="inlineStr">
        <is>
          <t>Operating Expense</t>
        </is>
      </c>
    </row>
    <row r="52">
      <c r="A52" s="53" t="inlineStr">
        <is>
          <t>Outsourced IT Services</t>
        </is>
      </c>
      <c r="B52" s="53" t="inlineStr">
        <is>
          <t>FY2024</t>
        </is>
      </c>
      <c r="C52" s="53" t="inlineStr">
        <is>
          <t>2024-12-31</t>
        </is>
      </c>
      <c r="D52" s="53" t="inlineStr">
        <is>
          <t>ALL</t>
        </is>
      </c>
      <c r="E52" s="53" t="n">
        <v>49394.22</v>
      </c>
      <c r="F52" s="53" t="inlineStr">
        <is>
          <t>Operating Expense</t>
        </is>
      </c>
    </row>
    <row r="53">
      <c r="A53" s="53" t="inlineStr">
        <is>
          <t>Bonus</t>
        </is>
      </c>
      <c r="B53" s="53" t="inlineStr">
        <is>
          <t>FY2024</t>
        </is>
      </c>
      <c r="C53" s="53" t="inlineStr">
        <is>
          <t>2024-12-31</t>
        </is>
      </c>
      <c r="D53" s="53" t="inlineStr">
        <is>
          <t>ALL</t>
        </is>
      </c>
      <c r="E53" s="53" t="n">
        <v>307801.24</v>
      </c>
      <c r="F53" s="53" t="inlineStr">
        <is>
          <t>Operating Expense</t>
        </is>
      </c>
    </row>
    <row r="54">
      <c r="A54" s="53" t="inlineStr">
        <is>
          <t>Commission</t>
        </is>
      </c>
      <c r="B54" s="53" t="inlineStr">
        <is>
          <t>FY2024</t>
        </is>
      </c>
      <c r="C54" s="53" t="inlineStr">
        <is>
          <t>2024-12-31</t>
        </is>
      </c>
      <c r="D54" s="53" t="inlineStr">
        <is>
          <t>ALL</t>
        </is>
      </c>
      <c r="E54" s="53" t="n">
        <v>95163.98</v>
      </c>
      <c r="F54" s="53" t="inlineStr">
        <is>
          <t>Operating Expense</t>
        </is>
      </c>
    </row>
    <row r="55">
      <c r="A55" s="53" t="inlineStr">
        <is>
          <t>Employee Benefits</t>
        </is>
      </c>
      <c r="B55" s="53" t="inlineStr">
        <is>
          <t>FY2024</t>
        </is>
      </c>
      <c r="C55" s="53" t="inlineStr">
        <is>
          <t>2024-12-31</t>
        </is>
      </c>
      <c r="D55" s="53" t="inlineStr">
        <is>
          <t>ALL</t>
        </is>
      </c>
      <c r="E55" s="53" t="n">
        <v>222721.47</v>
      </c>
      <c r="F55" s="53" t="inlineStr">
        <is>
          <t>Operating Expense</t>
        </is>
      </c>
    </row>
    <row r="56">
      <c r="A56" s="53" t="inlineStr">
        <is>
          <t>Health Insurance</t>
        </is>
      </c>
      <c r="B56" s="53" t="inlineStr">
        <is>
          <t>FY2024</t>
        </is>
      </c>
      <c r="C56" s="53" t="inlineStr">
        <is>
          <t>2024-12-31</t>
        </is>
      </c>
      <c r="D56" s="53" t="inlineStr">
        <is>
          <t>ALL</t>
        </is>
      </c>
      <c r="E56" s="53" t="n">
        <v>18452.01</v>
      </c>
      <c r="F56" s="53" t="inlineStr">
        <is>
          <t>Operating Expense</t>
        </is>
      </c>
    </row>
    <row r="57">
      <c r="A57" s="53" t="inlineStr">
        <is>
          <t>Payroll Fees</t>
        </is>
      </c>
      <c r="B57" s="53" t="inlineStr">
        <is>
          <t>FY2024</t>
        </is>
      </c>
      <c r="C57" s="53" t="inlineStr">
        <is>
          <t>2024-12-31</t>
        </is>
      </c>
      <c r="D57" s="53" t="inlineStr">
        <is>
          <t>ALL</t>
        </is>
      </c>
      <c r="E57" s="53" t="n">
        <v>50898.56</v>
      </c>
      <c r="F57" s="53" t="inlineStr">
        <is>
          <t>Operating Expense</t>
        </is>
      </c>
    </row>
    <row r="58">
      <c r="A58" s="53" t="inlineStr">
        <is>
          <t>Taxes</t>
        </is>
      </c>
      <c r="B58" s="53" t="inlineStr">
        <is>
          <t>FY2024</t>
        </is>
      </c>
      <c r="C58" s="53" t="inlineStr">
        <is>
          <t>2024-12-31</t>
        </is>
      </c>
      <c r="D58" s="53" t="inlineStr">
        <is>
          <t>ALL</t>
        </is>
      </c>
      <c r="E58" s="53" t="n">
        <v>359219.18</v>
      </c>
      <c r="F58" s="53" t="inlineStr">
        <is>
          <t>Operating Expense</t>
        </is>
      </c>
    </row>
    <row r="59">
      <c r="A59" s="53" t="inlineStr">
        <is>
          <t>Wages</t>
        </is>
      </c>
      <c r="B59" s="53" t="inlineStr">
        <is>
          <t>FY2024</t>
        </is>
      </c>
      <c r="C59" s="53" t="inlineStr">
        <is>
          <t>2024-12-31</t>
        </is>
      </c>
      <c r="D59" s="53" t="inlineStr">
        <is>
          <t>ALL</t>
        </is>
      </c>
      <c r="E59" s="53" t="n">
        <v>4255653.27</v>
      </c>
      <c r="F59" s="53" t="inlineStr">
        <is>
          <t>Operating Expense</t>
        </is>
      </c>
    </row>
    <row r="60">
      <c r="A60" s="53" t="inlineStr">
        <is>
          <t>Property Tax</t>
        </is>
      </c>
      <c r="B60" s="53" t="inlineStr">
        <is>
          <t>FY2024</t>
        </is>
      </c>
      <c r="C60" s="53" t="inlineStr">
        <is>
          <t>2024-12-31</t>
        </is>
      </c>
      <c r="D60" s="53" t="inlineStr">
        <is>
          <t>ALL</t>
        </is>
      </c>
      <c r="E60" s="53" t="n">
        <v>26000</v>
      </c>
      <c r="F60" s="53" t="inlineStr">
        <is>
          <t>Operating Expense</t>
        </is>
      </c>
    </row>
    <row r="61">
      <c r="A61" s="53" t="inlineStr">
        <is>
          <t>Reimbursable Expenses</t>
        </is>
      </c>
      <c r="B61" s="53" t="inlineStr">
        <is>
          <t>FY2024</t>
        </is>
      </c>
      <c r="C61" s="53" t="inlineStr">
        <is>
          <t>2024-12-31</t>
        </is>
      </c>
      <c r="D61" s="53" t="inlineStr">
        <is>
          <t>ALL</t>
        </is>
      </c>
      <c r="E61" s="53" t="n">
        <v>12195.98</v>
      </c>
      <c r="F61" s="53" t="inlineStr">
        <is>
          <t>Operating Expense</t>
        </is>
      </c>
    </row>
    <row r="62">
      <c r="A62" s="53" t="inlineStr">
        <is>
          <t>Rent &amp; Lease</t>
        </is>
      </c>
      <c r="B62" s="53" t="inlineStr">
        <is>
          <t>FY2024</t>
        </is>
      </c>
      <c r="C62" s="53" t="inlineStr">
        <is>
          <t>2024-12-31</t>
        </is>
      </c>
      <c r="D62" s="53" t="inlineStr">
        <is>
          <t>ALL</t>
        </is>
      </c>
      <c r="E62" s="53" t="n">
        <v>553295.17</v>
      </c>
      <c r="F62" s="53" t="inlineStr">
        <is>
          <t>Operating Expense</t>
        </is>
      </c>
    </row>
    <row r="63">
      <c r="A63" s="53" t="inlineStr">
        <is>
          <t>Repairs &amp; Maintenance</t>
        </is>
      </c>
      <c r="B63" s="53" t="inlineStr">
        <is>
          <t>FY2024</t>
        </is>
      </c>
      <c r="C63" s="53" t="inlineStr">
        <is>
          <t>2024-12-31</t>
        </is>
      </c>
      <c r="D63" s="53" t="inlineStr">
        <is>
          <t>ALL</t>
        </is>
      </c>
      <c r="E63" s="53" t="n">
        <v>100368.49</v>
      </c>
      <c r="F63" s="53" t="inlineStr">
        <is>
          <t>Operating Expense</t>
        </is>
      </c>
    </row>
    <row r="64">
      <c r="A64" s="53" t="inlineStr">
        <is>
          <t>Small Tools &amp; Equipment</t>
        </is>
      </c>
      <c r="B64" s="53" t="inlineStr">
        <is>
          <t>FY2024</t>
        </is>
      </c>
      <c r="C64" s="53" t="inlineStr">
        <is>
          <t>2024-12-31</t>
        </is>
      </c>
      <c r="D64" s="53" t="inlineStr">
        <is>
          <t>ALL</t>
        </is>
      </c>
      <c r="E64" s="53" t="n">
        <v>67494.59</v>
      </c>
      <c r="F64" s="53" t="inlineStr">
        <is>
          <t>Operating Expense</t>
        </is>
      </c>
    </row>
    <row r="65">
      <c r="A65" s="53" t="inlineStr">
        <is>
          <t>Taxes &amp; Licenses</t>
        </is>
      </c>
      <c r="B65" s="53" t="inlineStr">
        <is>
          <t>FY2024</t>
        </is>
      </c>
      <c r="C65" s="53" t="inlineStr">
        <is>
          <t>2024-12-31</t>
        </is>
      </c>
      <c r="D65" s="53" t="inlineStr">
        <is>
          <t>ALL</t>
        </is>
      </c>
      <c r="E65" s="53" t="n">
        <v>82933.23</v>
      </c>
      <c r="F65" s="53" t="inlineStr">
        <is>
          <t>Operating Expense</t>
        </is>
      </c>
    </row>
    <row r="66">
      <c r="A66" s="53" t="inlineStr">
        <is>
          <t>Travel</t>
        </is>
      </c>
      <c r="B66" s="53" t="inlineStr">
        <is>
          <t>FY2024</t>
        </is>
      </c>
      <c r="C66" s="53" t="inlineStr">
        <is>
          <t>2024-12-31</t>
        </is>
      </c>
      <c r="D66" s="53" t="inlineStr">
        <is>
          <t>ALL</t>
        </is>
      </c>
      <c r="E66" s="53" t="n">
        <v>133886.05</v>
      </c>
      <c r="F66" s="53" t="inlineStr">
        <is>
          <t>Operating Expense</t>
        </is>
      </c>
    </row>
    <row r="67">
      <c r="A67" s="53" t="inlineStr">
        <is>
          <t>Utilities</t>
        </is>
      </c>
      <c r="B67" s="53" t="inlineStr">
        <is>
          <t>FY2024</t>
        </is>
      </c>
      <c r="C67" s="53" t="inlineStr">
        <is>
          <t>2024-12-31</t>
        </is>
      </c>
      <c r="D67" s="53" t="inlineStr">
        <is>
          <t>ALL</t>
        </is>
      </c>
      <c r="E67" s="53" t="n">
        <v>39792.66</v>
      </c>
      <c r="F67" s="53" t="inlineStr">
        <is>
          <t>Operating Expense</t>
        </is>
      </c>
    </row>
    <row r="68">
      <c r="A68" s="53" t="inlineStr">
        <is>
          <t>Credit Card Rewards</t>
        </is>
      </c>
      <c r="B68" s="53" t="inlineStr">
        <is>
          <t>FY2024</t>
        </is>
      </c>
      <c r="C68" s="53" t="inlineStr">
        <is>
          <t>2024-12-31</t>
        </is>
      </c>
      <c r="D68" s="53" t="inlineStr">
        <is>
          <t>ALL</t>
        </is>
      </c>
      <c r="E68" s="53" t="n">
        <v>1630.56</v>
      </c>
      <c r="F68" s="53" t="inlineStr">
        <is>
          <t>Other Income</t>
        </is>
      </c>
    </row>
    <row r="69">
      <c r="A69" s="53" t="inlineStr">
        <is>
          <t>Interest Earned</t>
        </is>
      </c>
      <c r="B69" s="53" t="inlineStr">
        <is>
          <t>FY2024</t>
        </is>
      </c>
      <c r="C69" s="53" t="inlineStr">
        <is>
          <t>2024-12-31</t>
        </is>
      </c>
      <c r="D69" s="53" t="inlineStr">
        <is>
          <t>ALL</t>
        </is>
      </c>
      <c r="E69" s="53" t="n">
        <v>0.18</v>
      </c>
      <c r="F69" s="53" t="inlineStr">
        <is>
          <t>Other Income</t>
        </is>
      </c>
    </row>
    <row r="70">
      <c r="A70" s="53" t="inlineStr">
        <is>
          <t>Other Income</t>
        </is>
      </c>
      <c r="B70" s="53" t="inlineStr">
        <is>
          <t>FY2024</t>
        </is>
      </c>
      <c r="C70" s="53" t="inlineStr">
        <is>
          <t>2024-12-31</t>
        </is>
      </c>
      <c r="D70" s="53" t="inlineStr">
        <is>
          <t>ALL</t>
        </is>
      </c>
      <c r="E70" s="53" t="n">
        <v>45680.23</v>
      </c>
      <c r="F70" s="53" t="inlineStr">
        <is>
          <t>Other Income</t>
        </is>
      </c>
    </row>
    <row r="71">
      <c r="A71" s="53" t="inlineStr">
        <is>
          <t>Subletter Rent Income</t>
        </is>
      </c>
      <c r="B71" s="53" t="inlineStr">
        <is>
          <t>FY2024</t>
        </is>
      </c>
      <c r="C71" s="53" t="inlineStr">
        <is>
          <t>2024-12-31</t>
        </is>
      </c>
      <c r="D71" s="53" t="inlineStr">
        <is>
          <t>ALL</t>
        </is>
      </c>
      <c r="E71" s="53" t="n">
        <v>19535.36</v>
      </c>
      <c r="F71" s="53" t="inlineStr">
        <is>
          <t>Other Income</t>
        </is>
      </c>
    </row>
    <row r="72">
      <c r="A72" s="53" t="inlineStr">
        <is>
          <t>Subletter Utility Income</t>
        </is>
      </c>
      <c r="B72" s="53" t="inlineStr">
        <is>
          <t>FY2024</t>
        </is>
      </c>
      <c r="C72" s="53" t="inlineStr">
        <is>
          <t>2024-12-31</t>
        </is>
      </c>
      <c r="D72" s="53" t="inlineStr">
        <is>
          <t>ALL</t>
        </is>
      </c>
      <c r="E72" s="53" t="n">
        <v>2000</v>
      </c>
      <c r="F72" s="53" t="inlineStr">
        <is>
          <t>Other Income</t>
        </is>
      </c>
    </row>
    <row r="73">
      <c r="A73" s="53" t="inlineStr">
        <is>
          <t>Gain or Loss on Assets</t>
        </is>
      </c>
      <c r="B73" s="53" t="inlineStr">
        <is>
          <t>FY2024</t>
        </is>
      </c>
      <c r="C73" s="53" t="inlineStr">
        <is>
          <t>2024-12-31</t>
        </is>
      </c>
      <c r="D73" s="53" t="inlineStr">
        <is>
          <t>ALL</t>
        </is>
      </c>
      <c r="E73" s="53" t="n">
        <v>23197.6</v>
      </c>
      <c r="F73" s="53" t="inlineStr">
        <is>
          <t>Other Expense</t>
        </is>
      </c>
    </row>
    <row r="74">
      <c r="A74" s="53" t="inlineStr">
        <is>
          <t>Billable Expense Income</t>
        </is>
      </c>
      <c r="B74" s="53" t="inlineStr">
        <is>
          <t>FY2025</t>
        </is>
      </c>
      <c r="C74" s="53" t="inlineStr">
        <is>
          <t>2025-12-31</t>
        </is>
      </c>
      <c r="D74" s="53" t="inlineStr">
        <is>
          <t>ALL</t>
        </is>
      </c>
      <c r="E74" s="53" t="n">
        <v>543</v>
      </c>
      <c r="F74" s="53" t="inlineStr">
        <is>
          <t>Revenue</t>
        </is>
      </c>
    </row>
    <row r="75">
      <c r="A75" s="53" t="inlineStr">
        <is>
          <t>Doors and Windows</t>
        </is>
      </c>
      <c r="B75" s="53" t="inlineStr">
        <is>
          <t>FY2025</t>
        </is>
      </c>
      <c r="C75" s="53" t="inlineStr">
        <is>
          <t>2025-12-31</t>
        </is>
      </c>
      <c r="D75" s="53" t="inlineStr">
        <is>
          <t>ALL</t>
        </is>
      </c>
      <c r="E75" s="53" t="n">
        <v>4594.5</v>
      </c>
      <c r="F75" s="53" t="inlineStr">
        <is>
          <t>Revenue</t>
        </is>
      </c>
    </row>
    <row r="76">
      <c r="A76" s="53" t="inlineStr">
        <is>
          <t>Drywall Service Income</t>
        </is>
      </c>
      <c r="B76" s="53" t="inlineStr">
        <is>
          <t>FY2025</t>
        </is>
      </c>
      <c r="C76" s="53" t="inlineStr">
        <is>
          <t>2025-12-31</t>
        </is>
      </c>
      <c r="D76" s="53" t="inlineStr">
        <is>
          <t>DW</t>
        </is>
      </c>
      <c r="E76" s="53" t="n">
        <v>3358176.13</v>
      </c>
      <c r="F76" s="53" t="inlineStr">
        <is>
          <t>Revenue</t>
        </is>
      </c>
    </row>
    <row r="77">
      <c r="A77" s="53" t="inlineStr">
        <is>
          <t>Drywall Division Delivery Income</t>
        </is>
      </c>
      <c r="B77" s="53" t="inlineStr">
        <is>
          <t>FY2025</t>
        </is>
      </c>
      <c r="C77" s="53" t="inlineStr">
        <is>
          <t>2025-12-31</t>
        </is>
      </c>
      <c r="D77" s="53" t="inlineStr">
        <is>
          <t>DW</t>
        </is>
      </c>
      <c r="E77" s="53" t="n">
        <v>201.04</v>
      </c>
      <c r="F77" s="53" t="inlineStr">
        <is>
          <t>Revenue</t>
        </is>
      </c>
    </row>
    <row r="78">
      <c r="A78" s="53" t="inlineStr">
        <is>
          <t>Drywall Division Material Income</t>
        </is>
      </c>
      <c r="B78" s="53" t="inlineStr">
        <is>
          <t>FY2025</t>
        </is>
      </c>
      <c r="C78" s="53" t="inlineStr">
        <is>
          <t>2025-12-31</t>
        </is>
      </c>
      <c r="D78" s="53" t="inlineStr">
        <is>
          <t>DW</t>
        </is>
      </c>
      <c r="E78" s="53" t="n">
        <v>2824148.9</v>
      </c>
      <c r="F78" s="53" t="inlineStr">
        <is>
          <t>Revenue</t>
        </is>
      </c>
    </row>
    <row r="79">
      <c r="A79" s="53" t="inlineStr">
        <is>
          <t>Drywall Supply Arbor Income</t>
        </is>
      </c>
      <c r="B79" s="53" t="inlineStr">
        <is>
          <t>FY2025</t>
        </is>
      </c>
      <c r="C79" s="53" t="inlineStr">
        <is>
          <t>2025-12-31</t>
        </is>
      </c>
      <c r="D79" s="53" t="inlineStr">
        <is>
          <t>DW</t>
        </is>
      </c>
      <c r="E79" s="53" t="n">
        <v>959002.74</v>
      </c>
      <c r="F79" s="53" t="inlineStr">
        <is>
          <t>Revenue</t>
        </is>
      </c>
    </row>
    <row r="80">
      <c r="A80" s="53" t="inlineStr">
        <is>
          <t>Drywall Supply Century Income</t>
        </is>
      </c>
      <c r="B80" s="53" t="inlineStr">
        <is>
          <t>FY2025</t>
        </is>
      </c>
      <c r="C80" s="53" t="inlineStr">
        <is>
          <t>2025-12-31</t>
        </is>
      </c>
      <c r="D80" s="53" t="inlineStr">
        <is>
          <t>DW</t>
        </is>
      </c>
      <c r="E80" s="53" t="n">
        <v>105734.39</v>
      </c>
      <c r="F80" s="53" t="inlineStr">
        <is>
          <t>Revenue</t>
        </is>
      </c>
    </row>
    <row r="81">
      <c r="A81" s="53" t="inlineStr">
        <is>
          <t>Drywall Supply HD Boom Scatter Income</t>
        </is>
      </c>
      <c r="B81" s="53" t="inlineStr">
        <is>
          <t>FY2025</t>
        </is>
      </c>
      <c r="C81" s="53" t="inlineStr">
        <is>
          <t>2025-12-31</t>
        </is>
      </c>
      <c r="D81" s="53" t="inlineStr">
        <is>
          <t>DW</t>
        </is>
      </c>
      <c r="E81" s="53" t="n">
        <v>174372.44</v>
      </c>
      <c r="F81" s="53" t="inlineStr">
        <is>
          <t>Revenue</t>
        </is>
      </c>
    </row>
    <row r="82">
      <c r="A82" s="53" t="inlineStr">
        <is>
          <t>Drywall Supply Pulte Income</t>
        </is>
      </c>
      <c r="B82" s="53" t="inlineStr">
        <is>
          <t>FY2025</t>
        </is>
      </c>
      <c r="C82" s="53" t="inlineStr">
        <is>
          <t>2025-12-31</t>
        </is>
      </c>
      <c r="D82" s="53" t="inlineStr">
        <is>
          <t>DW</t>
        </is>
      </c>
      <c r="E82" s="53" t="n">
        <v>6230.22</v>
      </c>
      <c r="F82" s="53" t="inlineStr">
        <is>
          <t>Revenue</t>
        </is>
      </c>
    </row>
    <row r="83">
      <c r="A83" s="53" t="inlineStr">
        <is>
          <t>Drywall Tax</t>
        </is>
      </c>
      <c r="B83" s="53" t="inlineStr">
        <is>
          <t>FY2025</t>
        </is>
      </c>
      <c r="C83" s="53" t="inlineStr">
        <is>
          <t>2025-12-31</t>
        </is>
      </c>
      <c r="D83" s="53" t="inlineStr">
        <is>
          <t>DW</t>
        </is>
      </c>
      <c r="E83" s="53" t="n">
        <v>67.77</v>
      </c>
      <c r="F83" s="53" t="inlineStr">
        <is>
          <t>Revenue</t>
        </is>
      </c>
    </row>
    <row r="84">
      <c r="A84" s="53" t="inlineStr">
        <is>
          <t>Engineering Project Income</t>
        </is>
      </c>
      <c r="B84" s="53" t="inlineStr">
        <is>
          <t>FY2025</t>
        </is>
      </c>
      <c r="C84" s="53" t="inlineStr">
        <is>
          <t>2025-12-31</t>
        </is>
      </c>
      <c r="D84" s="53" t="inlineStr">
        <is>
          <t>EN</t>
        </is>
      </c>
      <c r="E84" s="53" t="n">
        <v>709295</v>
      </c>
      <c r="F84" s="53" t="inlineStr">
        <is>
          <t>Revenue</t>
        </is>
      </c>
    </row>
    <row r="85">
      <c r="A85" s="53" t="inlineStr">
        <is>
          <t>Finishes</t>
        </is>
      </c>
      <c r="B85" s="53" t="inlineStr">
        <is>
          <t>FY2025</t>
        </is>
      </c>
      <c r="C85" s="53" t="inlineStr">
        <is>
          <t>2025-12-31</t>
        </is>
      </c>
      <c r="D85" s="53" t="inlineStr">
        <is>
          <t>ALL</t>
        </is>
      </c>
      <c r="E85" s="53" t="n">
        <v>76310.00999999999</v>
      </c>
      <c r="F85" s="53" t="inlineStr">
        <is>
          <t>Revenue</t>
        </is>
      </c>
    </row>
    <row r="86">
      <c r="A86" s="53" t="inlineStr">
        <is>
          <t>Sales</t>
        </is>
      </c>
      <c r="B86" s="53" t="inlineStr">
        <is>
          <t>FY2025</t>
        </is>
      </c>
      <c r="C86" s="53" t="inlineStr">
        <is>
          <t>2025-12-31</t>
        </is>
      </c>
      <c r="D86" s="53" t="inlineStr">
        <is>
          <t>ALL</t>
        </is>
      </c>
      <c r="E86" s="53" t="n">
        <v>13469.39</v>
      </c>
      <c r="F86" s="53" t="inlineStr">
        <is>
          <t>Revenue</t>
        </is>
      </c>
    </row>
    <row r="87">
      <c r="A87" s="53" t="inlineStr">
        <is>
          <t>Service/Fee Income</t>
        </is>
      </c>
      <c r="B87" s="53" t="inlineStr">
        <is>
          <t>FY2025</t>
        </is>
      </c>
      <c r="C87" s="53" t="inlineStr">
        <is>
          <t>2025-12-31</t>
        </is>
      </c>
      <c r="D87" s="53" t="inlineStr">
        <is>
          <t>ALL</t>
        </is>
      </c>
      <c r="E87" s="53" t="n">
        <v>33721642.66</v>
      </c>
      <c r="F87" s="53" t="inlineStr">
        <is>
          <t>Revenue</t>
        </is>
      </c>
    </row>
    <row r="88">
      <c r="A88" s="53" t="inlineStr">
        <is>
          <t>Specialties</t>
        </is>
      </c>
      <c r="B88" s="53" t="inlineStr">
        <is>
          <t>FY2025</t>
        </is>
      </c>
      <c r="C88" s="53" t="inlineStr">
        <is>
          <t>2025-12-31</t>
        </is>
      </c>
      <c r="D88" s="53" t="inlineStr">
        <is>
          <t>ALL</t>
        </is>
      </c>
      <c r="E88" s="53" t="n">
        <v>2713.5</v>
      </c>
      <c r="F88" s="53" t="inlineStr">
        <is>
          <t>Revenue</t>
        </is>
      </c>
    </row>
    <row r="89">
      <c r="A89" s="53" t="inlineStr">
        <is>
          <t>WIP Adj - Net change</t>
        </is>
      </c>
      <c r="B89" s="53" t="inlineStr">
        <is>
          <t>FY2025</t>
        </is>
      </c>
      <c r="C89" s="53" t="inlineStr">
        <is>
          <t>2025-12-31</t>
        </is>
      </c>
      <c r="D89" s="53" t="inlineStr">
        <is>
          <t>ALL</t>
        </is>
      </c>
      <c r="E89" s="53" t="n">
        <v>-1464686.27</v>
      </c>
      <c r="F89" s="53" t="inlineStr">
        <is>
          <t>Revenue</t>
        </is>
      </c>
    </row>
    <row r="90">
      <c r="A90" s="53" t="inlineStr">
        <is>
          <t>Cost of labor - Contractors</t>
        </is>
      </c>
      <c r="B90" s="53" t="inlineStr">
        <is>
          <t>FY2025</t>
        </is>
      </c>
      <c r="C90" s="53" t="inlineStr">
        <is>
          <t>2025-12-31</t>
        </is>
      </c>
      <c r="D90" s="53" t="inlineStr">
        <is>
          <t>ALL</t>
        </is>
      </c>
      <c r="E90" s="53" t="n">
        <v>9409610.390000001</v>
      </c>
      <c r="F90" s="53" t="inlineStr">
        <is>
          <t>COGS</t>
        </is>
      </c>
    </row>
    <row r="91">
      <c r="A91" s="53" t="inlineStr">
        <is>
          <t>Warranty Labor Expense</t>
        </is>
      </c>
      <c r="B91" s="53" t="inlineStr">
        <is>
          <t>FY2025</t>
        </is>
      </c>
      <c r="C91" s="53" t="inlineStr">
        <is>
          <t>2025-12-31</t>
        </is>
      </c>
      <c r="D91" s="53" t="inlineStr">
        <is>
          <t>ALL</t>
        </is>
      </c>
      <c r="E91" s="53" t="n">
        <v>471.77</v>
      </c>
      <c r="F91" s="53" t="inlineStr">
        <is>
          <t>COGS</t>
        </is>
      </c>
    </row>
    <row r="92">
      <c r="A92" s="53" t="inlineStr">
        <is>
          <t>Cost of labor - Direct Labor</t>
        </is>
      </c>
      <c r="B92" s="53" t="inlineStr">
        <is>
          <t>FY2025</t>
        </is>
      </c>
      <c r="C92" s="53" t="inlineStr">
        <is>
          <t>2025-12-31</t>
        </is>
      </c>
      <c r="D92" s="53" t="inlineStr">
        <is>
          <t>ALL</t>
        </is>
      </c>
      <c r="E92" s="53" t="n">
        <v>212902.67</v>
      </c>
      <c r="F92" s="53" t="inlineStr">
        <is>
          <t>COGS</t>
        </is>
      </c>
    </row>
    <row r="93">
      <c r="A93" s="53" t="inlineStr">
        <is>
          <t>Drywall Supply Arbor Expense</t>
        </is>
      </c>
      <c r="B93" s="53" t="inlineStr">
        <is>
          <t>FY2025</t>
        </is>
      </c>
      <c r="C93" s="53" t="inlineStr">
        <is>
          <t>2025-12-31</t>
        </is>
      </c>
      <c r="D93" s="53" t="inlineStr">
        <is>
          <t>DW</t>
        </is>
      </c>
      <c r="E93" s="53" t="n">
        <v>753899.54</v>
      </c>
      <c r="F93" s="53" t="inlineStr">
        <is>
          <t>COGS</t>
        </is>
      </c>
    </row>
    <row r="94">
      <c r="A94" s="53" t="inlineStr">
        <is>
          <t>Drywall Supply Century Expense</t>
        </is>
      </c>
      <c r="B94" s="53" t="inlineStr">
        <is>
          <t>FY2025</t>
        </is>
      </c>
      <c r="C94" s="53" t="inlineStr">
        <is>
          <t>2025-12-31</t>
        </is>
      </c>
      <c r="D94" s="53" t="inlineStr">
        <is>
          <t>DW</t>
        </is>
      </c>
      <c r="E94" s="53" t="n">
        <v>103164.28</v>
      </c>
      <c r="F94" s="53" t="inlineStr">
        <is>
          <t>COGS</t>
        </is>
      </c>
    </row>
    <row r="95">
      <c r="A95" s="53" t="inlineStr">
        <is>
          <t>Drywall Supply External Expense</t>
        </is>
      </c>
      <c r="B95" s="53" t="inlineStr">
        <is>
          <t>FY2025</t>
        </is>
      </c>
      <c r="C95" s="53" t="inlineStr">
        <is>
          <t>2025-12-31</t>
        </is>
      </c>
      <c r="D95" s="53" t="inlineStr">
        <is>
          <t>DW</t>
        </is>
      </c>
      <c r="E95" s="53" t="n">
        <v>2526119.47</v>
      </c>
      <c r="F95" s="53" t="inlineStr">
        <is>
          <t>COGS</t>
        </is>
      </c>
    </row>
    <row r="96">
      <c r="A96" s="53" t="inlineStr">
        <is>
          <t>Drywall Supply Internal Expense</t>
        </is>
      </c>
      <c r="B96" s="53" t="inlineStr">
        <is>
          <t>FY2025</t>
        </is>
      </c>
      <c r="C96" s="53" t="inlineStr">
        <is>
          <t>2025-12-31</t>
        </is>
      </c>
      <c r="D96" s="53" t="inlineStr">
        <is>
          <t>DW</t>
        </is>
      </c>
      <c r="E96" s="53" t="n">
        <v>2861149.12</v>
      </c>
      <c r="F96" s="53" t="inlineStr">
        <is>
          <t>COGS</t>
        </is>
      </c>
    </row>
    <row r="97">
      <c r="A97" s="53" t="inlineStr">
        <is>
          <t>Drywall Supply Pulte Expense</t>
        </is>
      </c>
      <c r="B97" s="53" t="inlineStr">
        <is>
          <t>FY2025</t>
        </is>
      </c>
      <c r="C97" s="53" t="inlineStr">
        <is>
          <t>2025-12-31</t>
        </is>
      </c>
      <c r="D97" s="53" t="inlineStr">
        <is>
          <t>DW</t>
        </is>
      </c>
      <c r="E97" s="53" t="n">
        <v>5904.27</v>
      </c>
      <c r="F97" s="53" t="inlineStr">
        <is>
          <t>COGS</t>
        </is>
      </c>
    </row>
    <row r="98">
      <c r="A98" s="53" t="inlineStr">
        <is>
          <t>Job Site Expenses</t>
        </is>
      </c>
      <c r="B98" s="53" t="inlineStr">
        <is>
          <t>FY2025</t>
        </is>
      </c>
      <c r="C98" s="53" t="inlineStr">
        <is>
          <t>2025-12-31</t>
        </is>
      </c>
      <c r="D98" s="53" t="inlineStr">
        <is>
          <t>ALL</t>
        </is>
      </c>
      <c r="E98" s="53" t="n">
        <v>8194535.74</v>
      </c>
      <c r="F98" s="53" t="inlineStr">
        <is>
          <t>COGS</t>
        </is>
      </c>
    </row>
    <row r="99">
      <c r="A99" s="53" t="inlineStr">
        <is>
          <t>Drywall Project (Material) Expense - Internal</t>
        </is>
      </c>
      <c r="B99" s="53" t="inlineStr">
        <is>
          <t>FY2025</t>
        </is>
      </c>
      <c r="C99" s="53" t="inlineStr">
        <is>
          <t>2025-12-31</t>
        </is>
      </c>
      <c r="D99" s="53" t="inlineStr">
        <is>
          <t>DW</t>
        </is>
      </c>
      <c r="E99" s="53" t="n">
        <v>2788639.15</v>
      </c>
      <c r="F99" s="53" t="inlineStr">
        <is>
          <t>COGS</t>
        </is>
      </c>
    </row>
    <row r="100">
      <c r="A100" s="53" t="inlineStr">
        <is>
          <t>Drywall Project (Tax) Expense - Internal</t>
        </is>
      </c>
      <c r="B100" s="53" t="inlineStr">
        <is>
          <t>FY2025</t>
        </is>
      </c>
      <c r="C100" s="53" t="inlineStr">
        <is>
          <t>2025-12-31</t>
        </is>
      </c>
      <c r="D100" s="53" t="inlineStr">
        <is>
          <t>DW</t>
        </is>
      </c>
      <c r="E100" s="53" t="n">
        <v>174956.68</v>
      </c>
      <c r="F100" s="53" t="inlineStr">
        <is>
          <t>COGS</t>
        </is>
      </c>
    </row>
    <row r="101">
      <c r="A101" s="53" t="inlineStr">
        <is>
          <t>Equipment Rental</t>
        </is>
      </c>
      <c r="B101" s="53" t="inlineStr">
        <is>
          <t>FY2025</t>
        </is>
      </c>
      <c r="C101" s="53" t="inlineStr">
        <is>
          <t>2025-12-31</t>
        </is>
      </c>
      <c r="D101" s="53" t="inlineStr">
        <is>
          <t>ALL</t>
        </is>
      </c>
      <c r="E101" s="53" t="n">
        <v>669802.45</v>
      </c>
      <c r="F101" s="53" t="inlineStr">
        <is>
          <t>COGS</t>
        </is>
      </c>
    </row>
    <row r="102">
      <c r="A102" s="53" t="inlineStr">
        <is>
          <t>Warranty Material Expense</t>
        </is>
      </c>
      <c r="B102" s="53" t="inlineStr">
        <is>
          <t>FY2025</t>
        </is>
      </c>
      <c r="C102" s="53" t="inlineStr">
        <is>
          <t>2025-12-31</t>
        </is>
      </c>
      <c r="D102" s="53" t="inlineStr">
        <is>
          <t>ALL</t>
        </is>
      </c>
      <c r="E102" s="53" t="n">
        <v>148.15</v>
      </c>
      <c r="F102" s="53" t="inlineStr">
        <is>
          <t>COGS</t>
        </is>
      </c>
    </row>
    <row r="103">
      <c r="A103" s="53" t="inlineStr">
        <is>
          <t>Per Diem Job Expense</t>
        </is>
      </c>
      <c r="B103" s="53" t="inlineStr">
        <is>
          <t>FY2025</t>
        </is>
      </c>
      <c r="C103" s="53" t="inlineStr">
        <is>
          <t>2025-12-31</t>
        </is>
      </c>
      <c r="D103" s="53" t="inlineStr">
        <is>
          <t>ALL</t>
        </is>
      </c>
      <c r="E103" s="53" t="n">
        <v>64983</v>
      </c>
      <c r="F103" s="53" t="inlineStr">
        <is>
          <t>COGS</t>
        </is>
      </c>
    </row>
    <row r="104">
      <c r="A104" s="53" t="inlineStr">
        <is>
          <t>Vendor Discounts</t>
        </is>
      </c>
      <c r="B104" s="53" t="inlineStr">
        <is>
          <t>FY2025</t>
        </is>
      </c>
      <c r="C104" s="53" t="inlineStr">
        <is>
          <t>2025-12-31</t>
        </is>
      </c>
      <c r="D104" s="53" t="inlineStr">
        <is>
          <t>ALL</t>
        </is>
      </c>
      <c r="E104" s="53" t="n">
        <v>-11150.24</v>
      </c>
      <c r="F104" s="53" t="inlineStr">
        <is>
          <t>COGS</t>
        </is>
      </c>
    </row>
    <row r="105">
      <c r="A105" s="53" t="inlineStr">
        <is>
          <t>Advertising &amp; Marketing</t>
        </is>
      </c>
      <c r="B105" s="53" t="inlineStr">
        <is>
          <t>FY2025</t>
        </is>
      </c>
      <c r="C105" s="53" t="inlineStr">
        <is>
          <t>2025-12-31</t>
        </is>
      </c>
      <c r="D105" s="53" t="inlineStr">
        <is>
          <t>ALL</t>
        </is>
      </c>
      <c r="E105" s="53" t="n">
        <v>109327.23</v>
      </c>
      <c r="F105" s="53" t="inlineStr">
        <is>
          <t>Operating Expense</t>
        </is>
      </c>
    </row>
    <row r="106">
      <c r="A106" s="53" t="inlineStr">
        <is>
          <t>Bad Debt</t>
        </is>
      </c>
      <c r="B106" s="53" t="inlineStr">
        <is>
          <t>FY2025</t>
        </is>
      </c>
      <c r="C106" s="53" t="inlineStr">
        <is>
          <t>2025-12-31</t>
        </is>
      </c>
      <c r="D106" s="53" t="inlineStr">
        <is>
          <t>ALL</t>
        </is>
      </c>
      <c r="E106" s="53" t="n">
        <v>4583.55</v>
      </c>
      <c r="F106" s="53" t="inlineStr">
        <is>
          <t>Operating Expense</t>
        </is>
      </c>
    </row>
    <row r="107">
      <c r="A107" s="53" t="inlineStr">
        <is>
          <t>Bank Charges &amp; Fees</t>
        </is>
      </c>
      <c r="B107" s="53" t="inlineStr">
        <is>
          <t>FY2025</t>
        </is>
      </c>
      <c r="C107" s="53" t="inlineStr">
        <is>
          <t>2025-12-31</t>
        </is>
      </c>
      <c r="D107" s="53" t="inlineStr">
        <is>
          <t>ALL</t>
        </is>
      </c>
      <c r="E107" s="53" t="n">
        <v>7808.93</v>
      </c>
      <c r="F107" s="53" t="inlineStr">
        <is>
          <t>Operating Expense</t>
        </is>
      </c>
    </row>
    <row r="108">
      <c r="A108" s="53" t="inlineStr">
        <is>
          <t>Car &amp; Truck</t>
        </is>
      </c>
      <c r="B108" s="53" t="inlineStr">
        <is>
          <t>FY2025</t>
        </is>
      </c>
      <c r="C108" s="53" t="inlineStr">
        <is>
          <t>2025-12-31</t>
        </is>
      </c>
      <c r="D108" s="53" t="inlineStr">
        <is>
          <t>ALL</t>
        </is>
      </c>
      <c r="E108" s="53" t="n">
        <v>26351.78</v>
      </c>
      <c r="F108" s="53" t="inlineStr">
        <is>
          <t>Operating Expense</t>
        </is>
      </c>
    </row>
    <row r="109">
      <c r="A109" s="53" t="inlineStr">
        <is>
          <t>DEF - Boom Truck</t>
        </is>
      </c>
      <c r="B109" s="53" t="inlineStr">
        <is>
          <t>FY2025</t>
        </is>
      </c>
      <c r="C109" s="53" t="inlineStr">
        <is>
          <t>2025-12-31</t>
        </is>
      </c>
      <c r="D109" s="53" t="inlineStr">
        <is>
          <t>ALL</t>
        </is>
      </c>
      <c r="E109" s="53" t="n">
        <v>2696.79</v>
      </c>
      <c r="F109" s="53" t="inlineStr">
        <is>
          <t>Operating Expense</t>
        </is>
      </c>
    </row>
    <row r="110">
      <c r="A110" s="53" t="inlineStr">
        <is>
          <t>DOT Boom Trucks Compliance</t>
        </is>
      </c>
      <c r="B110" s="53" t="inlineStr">
        <is>
          <t>FY2025</t>
        </is>
      </c>
      <c r="C110" s="53" t="inlineStr">
        <is>
          <t>2025-12-31</t>
        </is>
      </c>
      <c r="D110" s="53" t="inlineStr">
        <is>
          <t>ALL</t>
        </is>
      </c>
      <c r="E110" s="53" t="n">
        <v>10905.77</v>
      </c>
      <c r="F110" s="53" t="inlineStr">
        <is>
          <t>Operating Expense</t>
        </is>
      </c>
    </row>
    <row r="111">
      <c r="A111" s="53" t="inlineStr">
        <is>
          <t>Fuel Diesel - Boom Truck</t>
        </is>
      </c>
      <c r="B111" s="53" t="inlineStr">
        <is>
          <t>FY2025</t>
        </is>
      </c>
      <c r="C111" s="53" t="inlineStr">
        <is>
          <t>2025-12-31</t>
        </is>
      </c>
      <c r="D111" s="53" t="inlineStr">
        <is>
          <t>ALL</t>
        </is>
      </c>
      <c r="E111" s="53" t="n">
        <v>104966.51</v>
      </c>
      <c r="F111" s="53" t="inlineStr">
        <is>
          <t>Operating Expense</t>
        </is>
      </c>
    </row>
    <row r="112">
      <c r="A112" s="53" t="inlineStr">
        <is>
          <t>Drywall Supply HD Boom Scatter Diesel - Boom Truck</t>
        </is>
      </c>
      <c r="B112" s="53" t="inlineStr">
        <is>
          <t>FY2025</t>
        </is>
      </c>
      <c r="C112" s="53" t="inlineStr">
        <is>
          <t>2025-12-31</t>
        </is>
      </c>
      <c r="D112" s="53" t="inlineStr">
        <is>
          <t>DW</t>
        </is>
      </c>
      <c r="E112" s="53" t="n">
        <v>7361.89</v>
      </c>
      <c r="F112" s="53" t="inlineStr">
        <is>
          <t>Operating Expense</t>
        </is>
      </c>
    </row>
    <row r="113">
      <c r="A113" s="53" t="inlineStr">
        <is>
          <t>Fuel Truck - Company Pickup</t>
        </is>
      </c>
      <c r="B113" s="53" t="inlineStr">
        <is>
          <t>FY2025</t>
        </is>
      </c>
      <c r="C113" s="53" t="inlineStr">
        <is>
          <t>2025-12-31</t>
        </is>
      </c>
      <c r="D113" s="53" t="inlineStr">
        <is>
          <t>ALL</t>
        </is>
      </c>
      <c r="E113" s="53" t="n">
        <v>14158.5</v>
      </c>
      <c r="F113" s="53" t="inlineStr">
        <is>
          <t>Operating Expense</t>
        </is>
      </c>
    </row>
    <row r="114">
      <c r="A114" s="53" t="inlineStr">
        <is>
          <t>Service - Boom Truck</t>
        </is>
      </c>
      <c r="B114" s="53" t="inlineStr">
        <is>
          <t>FY2025</t>
        </is>
      </c>
      <c r="C114" s="53" t="inlineStr">
        <is>
          <t>2025-12-31</t>
        </is>
      </c>
      <c r="D114" s="53" t="inlineStr">
        <is>
          <t>ALL</t>
        </is>
      </c>
      <c r="E114" s="53" t="n">
        <v>84192.67</v>
      </c>
      <c r="F114" s="53" t="inlineStr">
        <is>
          <t>Operating Expense</t>
        </is>
      </c>
    </row>
    <row r="115">
      <c r="A115" s="53" t="inlineStr">
        <is>
          <t>Service - Boom Truck 1103 Volvo</t>
        </is>
      </c>
      <c r="B115" s="53" t="inlineStr">
        <is>
          <t>FY2025</t>
        </is>
      </c>
      <c r="C115" s="53" t="inlineStr">
        <is>
          <t>2025-12-31</t>
        </is>
      </c>
      <c r="D115" s="53" t="inlineStr">
        <is>
          <t>ALL</t>
        </is>
      </c>
      <c r="E115" s="53" t="n">
        <v>34700.32</v>
      </c>
      <c r="F115" s="53" t="inlineStr">
        <is>
          <t>Operating Expense</t>
        </is>
      </c>
    </row>
    <row r="116">
      <c r="A116" s="53" t="inlineStr">
        <is>
          <t>Service - Boom Truck 1107 Western Star</t>
        </is>
      </c>
      <c r="B116" s="53" t="inlineStr">
        <is>
          <t>FY2025</t>
        </is>
      </c>
      <c r="C116" s="53" t="inlineStr">
        <is>
          <t>2025-12-31</t>
        </is>
      </c>
      <c r="D116" s="53" t="inlineStr">
        <is>
          <t>ALL</t>
        </is>
      </c>
      <c r="E116" s="53" t="n">
        <v>25081.77</v>
      </c>
      <c r="F116" s="53" t="inlineStr">
        <is>
          <t>Operating Expense</t>
        </is>
      </c>
    </row>
    <row r="117">
      <c r="A117" s="53" t="inlineStr">
        <is>
          <t>Service - Boom Truck 1109 Freightliner 16</t>
        </is>
      </c>
      <c r="B117" s="53" t="inlineStr">
        <is>
          <t>FY2025</t>
        </is>
      </c>
      <c r="C117" s="53" t="inlineStr">
        <is>
          <t>2025-12-31</t>
        </is>
      </c>
      <c r="D117" s="53" t="inlineStr">
        <is>
          <t>ALL</t>
        </is>
      </c>
      <c r="E117" s="53" t="n">
        <v>24433.04</v>
      </c>
      <c r="F117" s="53" t="inlineStr">
        <is>
          <t>Operating Expense</t>
        </is>
      </c>
    </row>
    <row r="118">
      <c r="A118" s="53" t="inlineStr">
        <is>
          <t>Service - Boom Truck 1110 Peterbilt 18</t>
        </is>
      </c>
      <c r="B118" s="53" t="inlineStr">
        <is>
          <t>FY2025</t>
        </is>
      </c>
      <c r="C118" s="53" t="inlineStr">
        <is>
          <t>2025-12-31</t>
        </is>
      </c>
      <c r="D118" s="53" t="inlineStr">
        <is>
          <t>ALL</t>
        </is>
      </c>
      <c r="E118" s="53" t="n">
        <v>20257.62</v>
      </c>
      <c r="F118" s="53" t="inlineStr">
        <is>
          <t>Operating Expense</t>
        </is>
      </c>
    </row>
    <row r="119">
      <c r="A119" s="53" t="inlineStr">
        <is>
          <t>Service - Boom Truck 1111 Freightliner</t>
        </is>
      </c>
      <c r="B119" s="53" t="inlineStr">
        <is>
          <t>FY2025</t>
        </is>
      </c>
      <c r="C119" s="53" t="inlineStr">
        <is>
          <t>2025-12-31</t>
        </is>
      </c>
      <c r="D119" s="53" t="inlineStr">
        <is>
          <t>ALL</t>
        </is>
      </c>
      <c r="E119" s="53" t="n">
        <v>518.59</v>
      </c>
      <c r="F119" s="53" t="inlineStr">
        <is>
          <t>Operating Expense</t>
        </is>
      </c>
    </row>
    <row r="120">
      <c r="A120" s="53" t="inlineStr">
        <is>
          <t>Service - Boom Truck 1112 Peterbilt 17</t>
        </is>
      </c>
      <c r="B120" s="53" t="inlineStr">
        <is>
          <t>FY2025</t>
        </is>
      </c>
      <c r="C120" s="53" t="inlineStr">
        <is>
          <t>2025-12-31</t>
        </is>
      </c>
      <c r="D120" s="53" t="inlineStr">
        <is>
          <t>ALL</t>
        </is>
      </c>
      <c r="E120" s="53" t="n">
        <v>23433.72</v>
      </c>
      <c r="F120" s="53" t="inlineStr">
        <is>
          <t>Operating Expense</t>
        </is>
      </c>
    </row>
    <row r="121">
      <c r="A121" s="53" t="inlineStr">
        <is>
          <t>Service - Company Truck</t>
        </is>
      </c>
      <c r="B121" s="53" t="inlineStr">
        <is>
          <t>FY2025</t>
        </is>
      </c>
      <c r="C121" s="53" t="inlineStr">
        <is>
          <t>2025-12-31</t>
        </is>
      </c>
      <c r="D121" s="53" t="inlineStr">
        <is>
          <t>ALL</t>
        </is>
      </c>
      <c r="E121" s="53" t="n">
        <v>19306.29</v>
      </c>
      <c r="F121" s="53" t="inlineStr">
        <is>
          <t>Operating Expense</t>
        </is>
      </c>
    </row>
    <row r="122">
      <c r="A122" s="53" t="inlineStr">
        <is>
          <t>Charitable Contributions</t>
        </is>
      </c>
      <c r="B122" s="53" t="inlineStr">
        <is>
          <t>FY2025</t>
        </is>
      </c>
      <c r="C122" s="53" t="inlineStr">
        <is>
          <t>2025-12-31</t>
        </is>
      </c>
      <c r="D122" s="53" t="inlineStr">
        <is>
          <t>ALL</t>
        </is>
      </c>
      <c r="E122" s="53" t="n">
        <v>3313.04</v>
      </c>
      <c r="F122" s="53" t="inlineStr">
        <is>
          <t>Operating Expense</t>
        </is>
      </c>
    </row>
    <row r="123">
      <c r="A123" s="53" t="inlineStr">
        <is>
          <t>Contractors</t>
        </is>
      </c>
      <c r="B123" s="53" t="inlineStr">
        <is>
          <t>FY2025</t>
        </is>
      </c>
      <c r="C123" s="53" t="inlineStr">
        <is>
          <t>2025-12-31</t>
        </is>
      </c>
      <c r="D123" s="53" t="inlineStr">
        <is>
          <t>ALL</t>
        </is>
      </c>
      <c r="E123" s="53" t="n">
        <v>51647.33</v>
      </c>
      <c r="F123" s="53" t="inlineStr">
        <is>
          <t>Operating Expense</t>
        </is>
      </c>
    </row>
    <row r="124">
      <c r="A124" s="53" t="inlineStr">
        <is>
          <t>Depreciation</t>
        </is>
      </c>
      <c r="B124" s="53" t="inlineStr">
        <is>
          <t>FY2025</t>
        </is>
      </c>
      <c r="C124" s="53" t="inlineStr">
        <is>
          <t>2025-12-31</t>
        </is>
      </c>
      <c r="D124" s="53" t="inlineStr">
        <is>
          <t>ALL</t>
        </is>
      </c>
      <c r="E124" s="53" t="n">
        <v>190161.95</v>
      </c>
      <c r="F124" s="53" t="inlineStr">
        <is>
          <t>Operating Expense</t>
        </is>
      </c>
    </row>
    <row r="125">
      <c r="A125" s="53" t="inlineStr">
        <is>
          <t>Drywall Division Labor - Subcontractors</t>
        </is>
      </c>
      <c r="B125" s="53" t="inlineStr">
        <is>
          <t>FY2025</t>
        </is>
      </c>
      <c r="C125" s="53" t="inlineStr">
        <is>
          <t>2025-12-31</t>
        </is>
      </c>
      <c r="D125" s="53" t="inlineStr">
        <is>
          <t>DW</t>
        </is>
      </c>
      <c r="E125" s="53" t="n">
        <v>697055</v>
      </c>
      <c r="F125" s="53" t="inlineStr">
        <is>
          <t>Operating Expense</t>
        </is>
      </c>
    </row>
    <row r="126">
      <c r="A126" s="53" t="inlineStr">
        <is>
          <t>Drywall Division Supplies Expense</t>
        </is>
      </c>
      <c r="B126" s="53" t="inlineStr">
        <is>
          <t>FY2025</t>
        </is>
      </c>
      <c r="C126" s="53" t="inlineStr">
        <is>
          <t>2025-12-31</t>
        </is>
      </c>
      <c r="D126" s="53" t="inlineStr">
        <is>
          <t>DW</t>
        </is>
      </c>
      <c r="E126" s="53" t="n">
        <v>19211.23</v>
      </c>
      <c r="F126" s="53" t="inlineStr">
        <is>
          <t>Operating Expense</t>
        </is>
      </c>
    </row>
    <row r="127">
      <c r="A127" s="53" t="inlineStr">
        <is>
          <t>Drywall Supply HD Boom Scatter Expense</t>
        </is>
      </c>
      <c r="B127" s="53" t="inlineStr">
        <is>
          <t>FY2025</t>
        </is>
      </c>
      <c r="C127" s="53" t="inlineStr">
        <is>
          <t>2025-12-31</t>
        </is>
      </c>
      <c r="D127" s="53" t="inlineStr">
        <is>
          <t>DW</t>
        </is>
      </c>
      <c r="E127" s="53" t="n">
        <v>14857.55</v>
      </c>
      <c r="F127" s="53" t="inlineStr">
        <is>
          <t>Operating Expense</t>
        </is>
      </c>
    </row>
    <row r="128">
      <c r="A128" s="53" t="inlineStr">
        <is>
          <t>Drywall Supply HD Boom Scatter Labor</t>
        </is>
      </c>
      <c r="B128" s="53" t="inlineStr">
        <is>
          <t>FY2025</t>
        </is>
      </c>
      <c r="C128" s="53" t="inlineStr">
        <is>
          <t>2025-12-31</t>
        </is>
      </c>
      <c r="D128" s="53" t="inlineStr">
        <is>
          <t>DW</t>
        </is>
      </c>
      <c r="E128" s="53" t="n">
        <v>145428.75</v>
      </c>
      <c r="F128" s="53" t="inlineStr">
        <is>
          <t>Operating Expense</t>
        </is>
      </c>
    </row>
    <row r="129">
      <c r="A129" s="53" t="inlineStr">
        <is>
          <t>Drywall Supply HD Boom Scatter Travel</t>
        </is>
      </c>
      <c r="B129" s="53" t="inlineStr">
        <is>
          <t>FY2025</t>
        </is>
      </c>
      <c r="C129" s="53" t="inlineStr">
        <is>
          <t>2025-12-31</t>
        </is>
      </c>
      <c r="D129" s="53" t="inlineStr">
        <is>
          <t>DW</t>
        </is>
      </c>
      <c r="E129" s="53" t="n">
        <v>24614.8</v>
      </c>
      <c r="F129" s="53" t="inlineStr">
        <is>
          <t>Operating Expense</t>
        </is>
      </c>
    </row>
    <row r="130">
      <c r="A130" s="53" t="inlineStr">
        <is>
          <t>Dues &amp; subscriptions</t>
        </is>
      </c>
      <c r="B130" s="53" t="inlineStr">
        <is>
          <t>FY2025</t>
        </is>
      </c>
      <c r="C130" s="53" t="inlineStr">
        <is>
          <t>2025-12-31</t>
        </is>
      </c>
      <c r="D130" s="53" t="inlineStr">
        <is>
          <t>ALL</t>
        </is>
      </c>
      <c r="E130" s="53" t="n">
        <v>5234.38</v>
      </c>
      <c r="F130" s="53" t="inlineStr">
        <is>
          <t>Operating Expense</t>
        </is>
      </c>
    </row>
    <row r="131">
      <c r="A131" s="53" t="inlineStr">
        <is>
          <t>Equipment/Vehicle Rental</t>
        </is>
      </c>
      <c r="B131" s="53" t="inlineStr">
        <is>
          <t>FY2025</t>
        </is>
      </c>
      <c r="C131" s="53" t="inlineStr">
        <is>
          <t>2025-12-31</t>
        </is>
      </c>
      <c r="D131" s="53" t="inlineStr">
        <is>
          <t>ALL</t>
        </is>
      </c>
      <c r="E131" s="53" t="n">
        <v>5868.22</v>
      </c>
      <c r="F131" s="53" t="inlineStr">
        <is>
          <t>Operating Expense</t>
        </is>
      </c>
    </row>
    <row r="132">
      <c r="A132" s="53" t="inlineStr">
        <is>
          <t>Insurance</t>
        </is>
      </c>
      <c r="B132" s="53" t="inlineStr">
        <is>
          <t>FY2025</t>
        </is>
      </c>
      <c r="C132" s="53" t="inlineStr">
        <is>
          <t>2025-12-31</t>
        </is>
      </c>
      <c r="D132" s="53" t="inlineStr">
        <is>
          <t>ALL</t>
        </is>
      </c>
      <c r="E132" s="53" t="n">
        <v>248733.08</v>
      </c>
      <c r="F132" s="53" t="inlineStr">
        <is>
          <t>Operating Expense</t>
        </is>
      </c>
    </row>
    <row r="133">
      <c r="A133" s="53" t="inlineStr">
        <is>
          <t>Interest Paid</t>
        </is>
      </c>
      <c r="B133" s="53" t="inlineStr">
        <is>
          <t>FY2025</t>
        </is>
      </c>
      <c r="C133" s="53" t="inlineStr">
        <is>
          <t>2025-12-31</t>
        </is>
      </c>
      <c r="D133" s="53" t="inlineStr">
        <is>
          <t>ALL</t>
        </is>
      </c>
      <c r="E133" s="53" t="n">
        <v>286637.57</v>
      </c>
      <c r="F133" s="53" t="inlineStr">
        <is>
          <t>Operating Expense</t>
        </is>
      </c>
    </row>
    <row r="134">
      <c r="A134" s="53" t="inlineStr">
        <is>
          <t>Job Supplies</t>
        </is>
      </c>
      <c r="B134" s="53" t="inlineStr">
        <is>
          <t>FY2025</t>
        </is>
      </c>
      <c r="C134" s="53" t="inlineStr">
        <is>
          <t>2025-12-31</t>
        </is>
      </c>
      <c r="D134" s="53" t="inlineStr">
        <is>
          <t>ALL</t>
        </is>
      </c>
      <c r="E134" s="53" t="n">
        <v>32962.99</v>
      </c>
      <c r="F134" s="53" t="inlineStr">
        <is>
          <t>Operating Expense</t>
        </is>
      </c>
    </row>
    <row r="135">
      <c r="A135" s="53" t="inlineStr">
        <is>
          <t>Legal &amp; Professional Services</t>
        </is>
      </c>
      <c r="B135" s="53" t="inlineStr">
        <is>
          <t>FY2025</t>
        </is>
      </c>
      <c r="C135" s="53" t="inlineStr">
        <is>
          <t>2025-12-31</t>
        </is>
      </c>
      <c r="D135" s="53" t="inlineStr">
        <is>
          <t>ALL</t>
        </is>
      </c>
      <c r="E135" s="53" t="n">
        <v>213655.55</v>
      </c>
      <c r="F135" s="53" t="inlineStr">
        <is>
          <t>Operating Expense</t>
        </is>
      </c>
    </row>
    <row r="136">
      <c r="A136" s="53" t="inlineStr">
        <is>
          <t>Meals &amp; Entertainment</t>
        </is>
      </c>
      <c r="B136" s="53" t="inlineStr">
        <is>
          <t>FY2025</t>
        </is>
      </c>
      <c r="C136" s="53" t="inlineStr">
        <is>
          <t>2025-12-31</t>
        </is>
      </c>
      <c r="D136" s="53" t="inlineStr">
        <is>
          <t>ALL</t>
        </is>
      </c>
      <c r="E136" s="53" t="n">
        <v>192274.77</v>
      </c>
      <c r="F136" s="53" t="inlineStr">
        <is>
          <t>Operating Expense</t>
        </is>
      </c>
    </row>
    <row r="137">
      <c r="A137" s="53" t="inlineStr">
        <is>
          <t>Entertainment</t>
        </is>
      </c>
      <c r="B137" s="53" t="inlineStr">
        <is>
          <t>FY2025</t>
        </is>
      </c>
      <c r="C137" s="53" t="inlineStr">
        <is>
          <t>2025-12-31</t>
        </is>
      </c>
      <c r="D137" s="53" t="inlineStr">
        <is>
          <t>ALL</t>
        </is>
      </c>
      <c r="E137" s="53" t="n">
        <v>18665.18</v>
      </c>
      <c r="F137" s="53" t="inlineStr">
        <is>
          <t>Operating Expense</t>
        </is>
      </c>
    </row>
    <row r="138">
      <c r="A138" s="53" t="inlineStr">
        <is>
          <t>Office Supplies &amp; Software</t>
        </is>
      </c>
      <c r="B138" s="53" t="inlineStr">
        <is>
          <t>FY2025</t>
        </is>
      </c>
      <c r="C138" s="53" t="inlineStr">
        <is>
          <t>2025-12-31</t>
        </is>
      </c>
      <c r="D138" s="53" t="inlineStr">
        <is>
          <t>ALL</t>
        </is>
      </c>
      <c r="E138" s="53" t="n">
        <v>62125.49</v>
      </c>
      <c r="F138" s="53" t="inlineStr">
        <is>
          <t>Operating Expense</t>
        </is>
      </c>
    </row>
    <row r="139">
      <c r="A139" s="53" t="inlineStr">
        <is>
          <t>Software Subscription/Use Fee</t>
        </is>
      </c>
      <c r="B139" s="53" t="inlineStr">
        <is>
          <t>FY2025</t>
        </is>
      </c>
      <c r="C139" s="53" t="inlineStr">
        <is>
          <t>2025-12-31</t>
        </is>
      </c>
      <c r="D139" s="53" t="inlineStr">
        <is>
          <t>ALL</t>
        </is>
      </c>
      <c r="E139" s="53" t="n">
        <v>111775.41</v>
      </c>
      <c r="F139" s="53" t="inlineStr">
        <is>
          <t>Operating Expense</t>
        </is>
      </c>
    </row>
    <row r="140">
      <c r="A140" s="53" t="inlineStr">
        <is>
          <t>Other Business Expenses</t>
        </is>
      </c>
      <c r="B140" s="53" t="inlineStr">
        <is>
          <t>FY2025</t>
        </is>
      </c>
      <c r="C140" s="53" t="inlineStr">
        <is>
          <t>2025-12-31</t>
        </is>
      </c>
      <c r="D140" s="53" t="inlineStr">
        <is>
          <t>ALL</t>
        </is>
      </c>
      <c r="E140" s="53" t="n">
        <v>9413.48</v>
      </c>
      <c r="F140" s="53" t="inlineStr">
        <is>
          <t>Operating Expense</t>
        </is>
      </c>
    </row>
    <row r="141">
      <c r="A141" s="53" t="inlineStr">
        <is>
          <t>Outsourced IT Services</t>
        </is>
      </c>
      <c r="B141" s="53" t="inlineStr">
        <is>
          <t>FY2025</t>
        </is>
      </c>
      <c r="C141" s="53" t="inlineStr">
        <is>
          <t>2025-12-31</t>
        </is>
      </c>
      <c r="D141" s="53" t="inlineStr">
        <is>
          <t>ALL</t>
        </is>
      </c>
      <c r="E141" s="53" t="n">
        <v>74239.8</v>
      </c>
      <c r="F141" s="53" t="inlineStr">
        <is>
          <t>Operating Expense</t>
        </is>
      </c>
    </row>
    <row r="142">
      <c r="A142" s="53" t="inlineStr">
        <is>
          <t>Outsourced Safety</t>
        </is>
      </c>
      <c r="B142" s="53" t="inlineStr">
        <is>
          <t>FY2025</t>
        </is>
      </c>
      <c r="C142" s="53" t="inlineStr">
        <is>
          <t>2025-12-31</t>
        </is>
      </c>
      <c r="D142" s="53" t="inlineStr">
        <is>
          <t>ALL</t>
        </is>
      </c>
      <c r="E142" s="53" t="n">
        <v>2775.39</v>
      </c>
      <c r="F142" s="53" t="inlineStr">
        <is>
          <t>Operating Expense</t>
        </is>
      </c>
    </row>
    <row r="143">
      <c r="A143" s="53" t="inlineStr">
        <is>
          <t>Bonus</t>
        </is>
      </c>
      <c r="B143" s="53" t="inlineStr">
        <is>
          <t>FY2025</t>
        </is>
      </c>
      <c r="C143" s="53" t="inlineStr">
        <is>
          <t>2025-12-31</t>
        </is>
      </c>
      <c r="D143" s="53" t="inlineStr">
        <is>
          <t>ALL</t>
        </is>
      </c>
      <c r="E143" s="53" t="n">
        <v>374819.06</v>
      </c>
      <c r="F143" s="53" t="inlineStr">
        <is>
          <t>Operating Expense</t>
        </is>
      </c>
    </row>
    <row r="144">
      <c r="A144" s="53" t="inlineStr">
        <is>
          <t>Commission</t>
        </is>
      </c>
      <c r="B144" s="53" t="inlineStr">
        <is>
          <t>FY2025</t>
        </is>
      </c>
      <c r="C144" s="53" t="inlineStr">
        <is>
          <t>2025-12-31</t>
        </is>
      </c>
      <c r="D144" s="53" t="inlineStr">
        <is>
          <t>ALL</t>
        </is>
      </c>
      <c r="E144" s="53" t="n">
        <v>30018.33</v>
      </c>
      <c r="F144" s="53" t="inlineStr">
        <is>
          <t>Operating Expense</t>
        </is>
      </c>
    </row>
    <row r="145">
      <c r="A145" s="53" t="inlineStr">
        <is>
          <t>Employee Benefits</t>
        </is>
      </c>
      <c r="B145" s="53" t="inlineStr">
        <is>
          <t>FY2025</t>
        </is>
      </c>
      <c r="C145" s="53" t="inlineStr">
        <is>
          <t>2025-12-31</t>
        </is>
      </c>
      <c r="D145" s="53" t="inlineStr">
        <is>
          <t>ALL</t>
        </is>
      </c>
      <c r="E145" s="53" t="n">
        <v>281502.41</v>
      </c>
      <c r="F145" s="53" t="inlineStr">
        <is>
          <t>Operating Expense</t>
        </is>
      </c>
    </row>
    <row r="146">
      <c r="A146" s="53" t="inlineStr">
        <is>
          <t>Health Insurance</t>
        </is>
      </c>
      <c r="B146" s="53" t="inlineStr">
        <is>
          <t>FY2025</t>
        </is>
      </c>
      <c r="C146" s="53" t="inlineStr">
        <is>
          <t>2025-12-31</t>
        </is>
      </c>
      <c r="D146" s="53" t="inlineStr">
        <is>
          <t>ALL</t>
        </is>
      </c>
      <c r="E146" s="53" t="n">
        <v>12490.53</v>
      </c>
      <c r="F146" s="53" t="inlineStr">
        <is>
          <t>Operating Expense</t>
        </is>
      </c>
    </row>
    <row r="147">
      <c r="A147" s="53" t="inlineStr">
        <is>
          <t>Payroll Fees</t>
        </is>
      </c>
      <c r="B147" s="53" t="inlineStr">
        <is>
          <t>FY2025</t>
        </is>
      </c>
      <c r="C147" s="53" t="inlineStr">
        <is>
          <t>2025-12-31</t>
        </is>
      </c>
      <c r="D147" s="53" t="inlineStr">
        <is>
          <t>ALL</t>
        </is>
      </c>
      <c r="E147" s="53" t="n">
        <v>58838.35</v>
      </c>
      <c r="F147" s="53" t="inlineStr">
        <is>
          <t>Operating Expense</t>
        </is>
      </c>
    </row>
    <row r="148">
      <c r="A148" s="53" t="inlineStr">
        <is>
          <t>Taxes</t>
        </is>
      </c>
      <c r="B148" s="53" t="inlineStr">
        <is>
          <t>FY2025</t>
        </is>
      </c>
      <c r="C148" s="53" t="inlineStr">
        <is>
          <t>2025-12-31</t>
        </is>
      </c>
      <c r="D148" s="53" t="inlineStr">
        <is>
          <t>ALL</t>
        </is>
      </c>
      <c r="E148" s="53" t="n">
        <v>395840.67</v>
      </c>
      <c r="F148" s="53" t="inlineStr">
        <is>
          <t>Operating Expense</t>
        </is>
      </c>
    </row>
    <row r="149">
      <c r="A149" s="53" t="inlineStr">
        <is>
          <t>Wages</t>
        </is>
      </c>
      <c r="B149" s="53" t="inlineStr">
        <is>
          <t>FY2025</t>
        </is>
      </c>
      <c r="C149" s="53" t="inlineStr">
        <is>
          <t>2025-12-31</t>
        </is>
      </c>
      <c r="D149" s="53" t="inlineStr">
        <is>
          <t>ALL</t>
        </is>
      </c>
      <c r="E149" s="53" t="n">
        <v>4495102.3</v>
      </c>
      <c r="F149" s="53" t="inlineStr">
        <is>
          <t>Operating Expense</t>
        </is>
      </c>
    </row>
    <row r="150">
      <c r="A150" s="53" t="inlineStr">
        <is>
          <t>Property Tax</t>
        </is>
      </c>
      <c r="B150" s="53" t="inlineStr">
        <is>
          <t>FY2025</t>
        </is>
      </c>
      <c r="C150" s="53" t="inlineStr">
        <is>
          <t>2025-12-31</t>
        </is>
      </c>
      <c r="D150" s="53" t="inlineStr">
        <is>
          <t>ALL</t>
        </is>
      </c>
      <c r="E150" s="53" t="n">
        <v>34572.38</v>
      </c>
      <c r="F150" s="53" t="inlineStr">
        <is>
          <t>Operating Expense</t>
        </is>
      </c>
    </row>
    <row r="151">
      <c r="A151" s="53" t="inlineStr">
        <is>
          <t>Reimbursable Expenses</t>
        </is>
      </c>
      <c r="B151" s="53" t="inlineStr">
        <is>
          <t>FY2025</t>
        </is>
      </c>
      <c r="C151" s="53" t="inlineStr">
        <is>
          <t>2025-12-31</t>
        </is>
      </c>
      <c r="D151" s="53" t="inlineStr">
        <is>
          <t>ALL</t>
        </is>
      </c>
      <c r="E151" s="53" t="n">
        <v>510.9</v>
      </c>
      <c r="F151" s="53" t="inlineStr">
        <is>
          <t>Operating Expense</t>
        </is>
      </c>
    </row>
    <row r="152">
      <c r="A152" s="53" t="inlineStr">
        <is>
          <t>Rent &amp; Lease</t>
        </is>
      </c>
      <c r="B152" s="53" t="inlineStr">
        <is>
          <t>FY2025</t>
        </is>
      </c>
      <c r="C152" s="53" t="inlineStr">
        <is>
          <t>2025-12-31</t>
        </is>
      </c>
      <c r="D152" s="53" t="inlineStr">
        <is>
          <t>ALL</t>
        </is>
      </c>
      <c r="E152" s="53" t="n">
        <v>1089976.37</v>
      </c>
      <c r="F152" s="53" t="inlineStr">
        <is>
          <t>Operating Expense</t>
        </is>
      </c>
    </row>
    <row r="153">
      <c r="A153" s="53" t="inlineStr">
        <is>
          <t>Expenses — Unitemized</t>
        </is>
      </c>
      <c r="B153" s="53" t="inlineStr">
        <is>
          <t>FY2025</t>
        </is>
      </c>
      <c r="C153" s="53" t="inlineStr">
        <is>
          <t>2025-12-31</t>
        </is>
      </c>
      <c r="D153" s="53" t="inlineStr">
        <is>
          <t>ALL</t>
        </is>
      </c>
      <c r="E153" s="53" t="n">
        <v>328196.88</v>
      </c>
      <c r="F153" s="53" t="inlineStr">
        <is>
          <t>Operating Expense</t>
        </is>
      </c>
    </row>
    <row r="154">
      <c r="A154" s="53" t="inlineStr">
        <is>
          <t>Drywall Service Income</t>
        </is>
      </c>
      <c r="B154" s="53" t="inlineStr">
        <is>
          <t>YTD2026</t>
        </is>
      </c>
      <c r="C154" s="53" t="inlineStr">
        <is>
          <t>2026-06-17</t>
        </is>
      </c>
      <c r="D154" s="53" t="inlineStr">
        <is>
          <t>DW</t>
        </is>
      </c>
      <c r="E154" s="53" t="n">
        <v>426214.72</v>
      </c>
      <c r="F154" s="53" t="inlineStr">
        <is>
          <t>Revenue</t>
        </is>
      </c>
    </row>
    <row r="155">
      <c r="A155" s="53" t="inlineStr">
        <is>
          <t>Drywall Division Material Income</t>
        </is>
      </c>
      <c r="B155" s="53" t="inlineStr">
        <is>
          <t>YTD2026</t>
        </is>
      </c>
      <c r="C155" s="53" t="inlineStr">
        <is>
          <t>2026-06-17</t>
        </is>
      </c>
      <c r="D155" s="53" t="inlineStr">
        <is>
          <t>DW</t>
        </is>
      </c>
      <c r="E155" s="53" t="n">
        <v>20720.33</v>
      </c>
      <c r="F155" s="53" t="inlineStr">
        <is>
          <t>Revenue</t>
        </is>
      </c>
    </row>
    <row r="156">
      <c r="A156" s="53" t="inlineStr">
        <is>
          <t>Drywall Supply Arbor Income</t>
        </is>
      </c>
      <c r="B156" s="53" t="inlineStr">
        <is>
          <t>YTD2026</t>
        </is>
      </c>
      <c r="C156" s="53" t="inlineStr">
        <is>
          <t>2026-06-17</t>
        </is>
      </c>
      <c r="D156" s="53" t="inlineStr">
        <is>
          <t>DW</t>
        </is>
      </c>
      <c r="E156" s="53" t="n">
        <v>880039.92</v>
      </c>
      <c r="F156" s="53" t="inlineStr">
        <is>
          <t>Revenue</t>
        </is>
      </c>
    </row>
    <row r="157">
      <c r="A157" s="53" t="inlineStr">
        <is>
          <t>Drywall Supply Pulte Income</t>
        </is>
      </c>
      <c r="B157" s="53" t="inlineStr">
        <is>
          <t>YTD2026</t>
        </is>
      </c>
      <c r="C157" s="53" t="inlineStr">
        <is>
          <t>2026-06-17</t>
        </is>
      </c>
      <c r="D157" s="53" t="inlineStr">
        <is>
          <t>DW</t>
        </is>
      </c>
      <c r="E157" s="53" t="n">
        <v>16826.61</v>
      </c>
      <c r="F157" s="53" t="inlineStr">
        <is>
          <t>Revenue</t>
        </is>
      </c>
    </row>
    <row r="158">
      <c r="A158" s="53" t="inlineStr">
        <is>
          <t>Engineering Project Income</t>
        </is>
      </c>
      <c r="B158" s="53" t="inlineStr">
        <is>
          <t>YTD2026</t>
        </is>
      </c>
      <c r="C158" s="53" t="inlineStr">
        <is>
          <t>2026-06-17</t>
        </is>
      </c>
      <c r="D158" s="53" t="inlineStr">
        <is>
          <t>EN</t>
        </is>
      </c>
      <c r="E158" s="53" t="n">
        <v>396425</v>
      </c>
      <c r="F158" s="53" t="inlineStr">
        <is>
          <t>Revenue</t>
        </is>
      </c>
    </row>
    <row r="159">
      <c r="A159" s="53" t="inlineStr">
        <is>
          <t>Sales</t>
        </is>
      </c>
      <c r="B159" s="53" t="inlineStr">
        <is>
          <t>YTD2026</t>
        </is>
      </c>
      <c r="C159" s="53" t="inlineStr">
        <is>
          <t>2026-06-17</t>
        </is>
      </c>
      <c r="D159" s="53" t="inlineStr">
        <is>
          <t>ALL</t>
        </is>
      </c>
      <c r="E159" s="53" t="n">
        <v>4820</v>
      </c>
      <c r="F159" s="53" t="inlineStr">
        <is>
          <t>Revenue</t>
        </is>
      </c>
    </row>
    <row r="160">
      <c r="A160" s="53" t="inlineStr">
        <is>
          <t>Service/Fee Income</t>
        </is>
      </c>
      <c r="B160" s="53" t="inlineStr">
        <is>
          <t>YTD2026</t>
        </is>
      </c>
      <c r="C160" s="53" t="inlineStr">
        <is>
          <t>2026-06-17</t>
        </is>
      </c>
      <c r="D160" s="53" t="inlineStr">
        <is>
          <t>ALL</t>
        </is>
      </c>
      <c r="E160" s="53" t="n">
        <v>24484720.25</v>
      </c>
      <c r="F160" s="53" t="inlineStr">
        <is>
          <t>Revenue</t>
        </is>
      </c>
    </row>
    <row r="161">
      <c r="A161" s="53" t="inlineStr">
        <is>
          <t>WIP Adj - Net change</t>
        </is>
      </c>
      <c r="B161" s="53" t="inlineStr">
        <is>
          <t>YTD2026</t>
        </is>
      </c>
      <c r="C161" s="53" t="inlineStr">
        <is>
          <t>2026-06-17</t>
        </is>
      </c>
      <c r="D161" s="53" t="inlineStr">
        <is>
          <t>ALL</t>
        </is>
      </c>
      <c r="E161" s="53" t="n">
        <v>2544448.44</v>
      </c>
      <c r="F161" s="53" t="inlineStr">
        <is>
          <t>Revenue</t>
        </is>
      </c>
    </row>
    <row r="162">
      <c r="A162" s="53" t="inlineStr">
        <is>
          <t>Cost of labor - Contractors</t>
        </is>
      </c>
      <c r="B162" s="53" t="inlineStr">
        <is>
          <t>YTD2026</t>
        </is>
      </c>
      <c r="C162" s="53" t="inlineStr">
        <is>
          <t>2026-06-17</t>
        </is>
      </c>
      <c r="D162" s="53" t="inlineStr">
        <is>
          <t>ALL</t>
        </is>
      </c>
      <c r="E162" s="53" t="n">
        <v>7895791.6</v>
      </c>
      <c r="F162" s="53" t="inlineStr">
        <is>
          <t>COGS</t>
        </is>
      </c>
    </row>
    <row r="163">
      <c r="A163" s="53" t="inlineStr">
        <is>
          <t>Cost of labor - Direct Labor</t>
        </is>
      </c>
      <c r="B163" s="53" t="inlineStr">
        <is>
          <t>YTD2026</t>
        </is>
      </c>
      <c r="C163" s="53" t="inlineStr">
        <is>
          <t>2026-06-17</t>
        </is>
      </c>
      <c r="D163" s="53" t="inlineStr">
        <is>
          <t>ALL</t>
        </is>
      </c>
      <c r="E163" s="53" t="n">
        <v>55994.93</v>
      </c>
      <c r="F163" s="53" t="inlineStr">
        <is>
          <t>COGS</t>
        </is>
      </c>
    </row>
    <row r="164">
      <c r="A164" s="53" t="inlineStr">
        <is>
          <t>Drywall Supply External Expense</t>
        </is>
      </c>
      <c r="B164" s="53" t="inlineStr">
        <is>
          <t>YTD2026</t>
        </is>
      </c>
      <c r="C164" s="53" t="inlineStr">
        <is>
          <t>2026-06-17</t>
        </is>
      </c>
      <c r="D164" s="53" t="inlineStr">
        <is>
          <t>DW</t>
        </is>
      </c>
      <c r="E164" s="53" t="n">
        <v>1044464.67</v>
      </c>
      <c r="F164" s="53" t="inlineStr">
        <is>
          <t>COGS</t>
        </is>
      </c>
    </row>
    <row r="165">
      <c r="A165" s="53" t="inlineStr">
        <is>
          <t>Drywall Supply Internal Expense</t>
        </is>
      </c>
      <c r="B165" s="53" t="inlineStr">
        <is>
          <t>YTD2026</t>
        </is>
      </c>
      <c r="C165" s="53" t="inlineStr">
        <is>
          <t>2026-06-17</t>
        </is>
      </c>
      <c r="D165" s="53" t="inlineStr">
        <is>
          <t>DW</t>
        </is>
      </c>
      <c r="E165" s="53" t="n">
        <v>2506052.68</v>
      </c>
      <c r="F165" s="53" t="inlineStr">
        <is>
          <t>COGS</t>
        </is>
      </c>
    </row>
    <row r="166">
      <c r="A166" s="53" t="inlineStr">
        <is>
          <t>Job Site Expenses</t>
        </is>
      </c>
      <c r="B166" s="53" t="inlineStr">
        <is>
          <t>YTD2026</t>
        </is>
      </c>
      <c r="C166" s="53" t="inlineStr">
        <is>
          <t>2026-06-17</t>
        </is>
      </c>
      <c r="D166" s="53" t="inlineStr">
        <is>
          <t>ALL</t>
        </is>
      </c>
      <c r="E166" s="53" t="n">
        <v>6333530.14</v>
      </c>
      <c r="F166" s="53" t="inlineStr">
        <is>
          <t>COGS</t>
        </is>
      </c>
    </row>
    <row r="167">
      <c r="A167" s="53" t="inlineStr">
        <is>
          <t>Drywall Project (Material) Expense - Internal</t>
        </is>
      </c>
      <c r="B167" s="53" t="inlineStr">
        <is>
          <t>YTD2026</t>
        </is>
      </c>
      <c r="C167" s="53" t="inlineStr">
        <is>
          <t>2026-06-17</t>
        </is>
      </c>
      <c r="D167" s="53" t="inlineStr">
        <is>
          <t>DW</t>
        </is>
      </c>
      <c r="E167" s="53" t="n">
        <v>4608.22</v>
      </c>
      <c r="F167" s="53" t="inlineStr">
        <is>
          <t>COGS</t>
        </is>
      </c>
    </row>
    <row r="168">
      <c r="A168" s="53" t="inlineStr">
        <is>
          <t>Equipment Rental</t>
        </is>
      </c>
      <c r="B168" s="53" t="inlineStr">
        <is>
          <t>YTD2026</t>
        </is>
      </c>
      <c r="C168" s="53" t="inlineStr">
        <is>
          <t>2026-06-17</t>
        </is>
      </c>
      <c r="D168" s="53" t="inlineStr">
        <is>
          <t>ALL</t>
        </is>
      </c>
      <c r="E168" s="53" t="n">
        <v>678220.74</v>
      </c>
      <c r="F168" s="53" t="inlineStr">
        <is>
          <t>COGS</t>
        </is>
      </c>
    </row>
    <row r="169">
      <c r="A169" s="53" t="inlineStr">
        <is>
          <t>Per Diem Job Expense</t>
        </is>
      </c>
      <c r="B169" s="53" t="inlineStr">
        <is>
          <t>YTD2026</t>
        </is>
      </c>
      <c r="C169" s="53" t="inlineStr">
        <is>
          <t>2026-06-17</t>
        </is>
      </c>
      <c r="D169" s="53" t="inlineStr">
        <is>
          <t>ALL</t>
        </is>
      </c>
      <c r="E169" s="53" t="n">
        <v>16970</v>
      </c>
      <c r="F169" s="53" t="inlineStr">
        <is>
          <t>COGS</t>
        </is>
      </c>
    </row>
    <row r="170">
      <c r="A170" s="53" t="inlineStr">
        <is>
          <t>Advertising &amp; Marketing</t>
        </is>
      </c>
      <c r="B170" s="53" t="inlineStr">
        <is>
          <t>YTD2026</t>
        </is>
      </c>
      <c r="C170" s="53" t="inlineStr">
        <is>
          <t>2026-06-17</t>
        </is>
      </c>
      <c r="D170" s="53" t="inlineStr">
        <is>
          <t>ALL</t>
        </is>
      </c>
      <c r="E170" s="53" t="n">
        <v>51280.58</v>
      </c>
      <c r="F170" s="53" t="inlineStr">
        <is>
          <t>Operating Expense</t>
        </is>
      </c>
    </row>
    <row r="171">
      <c r="A171" s="53" t="inlineStr">
        <is>
          <t>Ask My Accountant</t>
        </is>
      </c>
      <c r="B171" s="53" t="inlineStr">
        <is>
          <t>YTD2026</t>
        </is>
      </c>
      <c r="C171" s="53" t="inlineStr">
        <is>
          <t>2026-06-17</t>
        </is>
      </c>
      <c r="D171" s="53" t="inlineStr">
        <is>
          <t>ALL</t>
        </is>
      </c>
      <c r="E171" s="53" t="n">
        <v>6860.41</v>
      </c>
      <c r="F171" s="53" t="inlineStr">
        <is>
          <t>Operating Expense</t>
        </is>
      </c>
    </row>
    <row r="172">
      <c r="A172" s="53" t="inlineStr">
        <is>
          <t>Bad Debt</t>
        </is>
      </c>
      <c r="B172" s="53" t="inlineStr">
        <is>
          <t>YTD2026</t>
        </is>
      </c>
      <c r="C172" s="53" t="inlineStr">
        <is>
          <t>2026-06-17</t>
        </is>
      </c>
      <c r="D172" s="53" t="inlineStr">
        <is>
          <t>ALL</t>
        </is>
      </c>
      <c r="E172" s="53" t="n">
        <v>129.56</v>
      </c>
      <c r="F172" s="53" t="inlineStr">
        <is>
          <t>Operating Expense</t>
        </is>
      </c>
    </row>
    <row r="173">
      <c r="A173" s="53" t="inlineStr">
        <is>
          <t>Bank Charges &amp; Fees</t>
        </is>
      </c>
      <c r="B173" s="53" t="inlineStr">
        <is>
          <t>YTD2026</t>
        </is>
      </c>
      <c r="C173" s="53" t="inlineStr">
        <is>
          <t>2026-06-17</t>
        </is>
      </c>
      <c r="D173" s="53" t="inlineStr">
        <is>
          <t>ALL</t>
        </is>
      </c>
      <c r="E173" s="53" t="n">
        <v>1396.51</v>
      </c>
      <c r="F173" s="53" t="inlineStr">
        <is>
          <t>Operating Expense</t>
        </is>
      </c>
    </row>
    <row r="174">
      <c r="A174" s="53" t="inlineStr">
        <is>
          <t>Car &amp; Truck</t>
        </is>
      </c>
      <c r="B174" s="53" t="inlineStr">
        <is>
          <t>YTD2026</t>
        </is>
      </c>
      <c r="C174" s="53" t="inlineStr">
        <is>
          <t>2026-06-17</t>
        </is>
      </c>
      <c r="D174" s="53" t="inlineStr">
        <is>
          <t>ALL</t>
        </is>
      </c>
      <c r="E174" s="53" t="n">
        <v>13052.56</v>
      </c>
      <c r="F174" s="53" t="inlineStr">
        <is>
          <t>Operating Expense</t>
        </is>
      </c>
    </row>
    <row r="175">
      <c r="A175" s="53" t="inlineStr">
        <is>
          <t>DEF - Boom Truck</t>
        </is>
      </c>
      <c r="B175" s="53" t="inlineStr">
        <is>
          <t>YTD2026</t>
        </is>
      </c>
      <c r="C175" s="53" t="inlineStr">
        <is>
          <t>2026-06-17</t>
        </is>
      </c>
      <c r="D175" s="53" t="inlineStr">
        <is>
          <t>ALL</t>
        </is>
      </c>
      <c r="E175" s="53" t="n">
        <v>789.6900000000001</v>
      </c>
      <c r="F175" s="53" t="inlineStr">
        <is>
          <t>Operating Expense</t>
        </is>
      </c>
    </row>
    <row r="176">
      <c r="A176" s="53" t="inlineStr">
        <is>
          <t>Fuel Diesel - Boom Truck</t>
        </is>
      </c>
      <c r="B176" s="53" t="inlineStr">
        <is>
          <t>YTD2026</t>
        </is>
      </c>
      <c r="C176" s="53" t="inlineStr">
        <is>
          <t>2026-06-17</t>
        </is>
      </c>
      <c r="D176" s="53" t="inlineStr">
        <is>
          <t>ALL</t>
        </is>
      </c>
      <c r="E176" s="53" t="n">
        <v>46511.46</v>
      </c>
      <c r="F176" s="53" t="inlineStr">
        <is>
          <t>Operating Expense</t>
        </is>
      </c>
    </row>
    <row r="177">
      <c r="A177" s="53" t="inlineStr">
        <is>
          <t>Fuel Truck - Company Pickup</t>
        </is>
      </c>
      <c r="B177" s="53" t="inlineStr">
        <is>
          <t>YTD2026</t>
        </is>
      </c>
      <c r="C177" s="53" t="inlineStr">
        <is>
          <t>2026-06-17</t>
        </is>
      </c>
      <c r="D177" s="53" t="inlineStr">
        <is>
          <t>ALL</t>
        </is>
      </c>
      <c r="E177" s="53" t="n">
        <v>14864.02</v>
      </c>
      <c r="F177" s="53" t="inlineStr">
        <is>
          <t>Operating Expense</t>
        </is>
      </c>
    </row>
    <row r="178">
      <c r="A178" s="53" t="inlineStr">
        <is>
          <t>Service - Boom Truck</t>
        </is>
      </c>
      <c r="B178" s="53" t="inlineStr">
        <is>
          <t>YTD2026</t>
        </is>
      </c>
      <c r="C178" s="53" t="inlineStr">
        <is>
          <t>2026-06-17</t>
        </is>
      </c>
      <c r="D178" s="53" t="inlineStr">
        <is>
          <t>ALL</t>
        </is>
      </c>
      <c r="E178" s="53" t="n">
        <v>4427.04</v>
      </c>
      <c r="F178" s="53" t="inlineStr">
        <is>
          <t>Operating Expense</t>
        </is>
      </c>
    </row>
    <row r="179">
      <c r="A179" s="53" t="inlineStr">
        <is>
          <t>Service - Boom Truck 1109 Freightliner 16</t>
        </is>
      </c>
      <c r="B179" s="53" t="inlineStr">
        <is>
          <t>YTD2026</t>
        </is>
      </c>
      <c r="C179" s="53" t="inlineStr">
        <is>
          <t>2026-06-17</t>
        </is>
      </c>
      <c r="D179" s="53" t="inlineStr">
        <is>
          <t>ALL</t>
        </is>
      </c>
      <c r="E179" s="53" t="n">
        <v>20089.71</v>
      </c>
      <c r="F179" s="53" t="inlineStr">
        <is>
          <t>Operating Expense</t>
        </is>
      </c>
    </row>
    <row r="180">
      <c r="A180" s="53" t="inlineStr">
        <is>
          <t>Service - Boom Truck 1110 Peterbilt 18</t>
        </is>
      </c>
      <c r="B180" s="53" t="inlineStr">
        <is>
          <t>YTD2026</t>
        </is>
      </c>
      <c r="C180" s="53" t="inlineStr">
        <is>
          <t>2026-06-17</t>
        </is>
      </c>
      <c r="D180" s="53" t="inlineStr">
        <is>
          <t>ALL</t>
        </is>
      </c>
      <c r="E180" s="53" t="n">
        <v>1744.4</v>
      </c>
      <c r="F180" s="53" t="inlineStr">
        <is>
          <t>Operating Expense</t>
        </is>
      </c>
    </row>
    <row r="181">
      <c r="A181" s="53" t="inlineStr">
        <is>
          <t>Service - Boom Truck 1111 Freightliner</t>
        </is>
      </c>
      <c r="B181" s="53" t="inlineStr">
        <is>
          <t>YTD2026</t>
        </is>
      </c>
      <c r="C181" s="53" t="inlineStr">
        <is>
          <t>2026-06-17</t>
        </is>
      </c>
      <c r="D181" s="53" t="inlineStr">
        <is>
          <t>ALL</t>
        </is>
      </c>
      <c r="E181" s="53" t="n">
        <v>4073.21</v>
      </c>
      <c r="F181" s="53" t="inlineStr">
        <is>
          <t>Operating Expense</t>
        </is>
      </c>
    </row>
    <row r="182">
      <c r="A182" s="53" t="inlineStr">
        <is>
          <t>Service - Boom Truck 1112 Peterbilt 17</t>
        </is>
      </c>
      <c r="B182" s="53" t="inlineStr">
        <is>
          <t>YTD2026</t>
        </is>
      </c>
      <c r="C182" s="53" t="inlineStr">
        <is>
          <t>2026-06-17</t>
        </is>
      </c>
      <c r="D182" s="53" t="inlineStr">
        <is>
          <t>ALL</t>
        </is>
      </c>
      <c r="E182" s="53" t="n">
        <v>7459.83</v>
      </c>
      <c r="F182" s="53" t="inlineStr">
        <is>
          <t>Operating Expense</t>
        </is>
      </c>
    </row>
    <row r="183">
      <c r="A183" s="53" t="inlineStr">
        <is>
          <t>Service - Company Truck</t>
        </is>
      </c>
      <c r="B183" s="53" t="inlineStr">
        <is>
          <t>YTD2026</t>
        </is>
      </c>
      <c r="C183" s="53" t="inlineStr">
        <is>
          <t>2026-06-17</t>
        </is>
      </c>
      <c r="D183" s="53" t="inlineStr">
        <is>
          <t>ALL</t>
        </is>
      </c>
      <c r="E183" s="53" t="n">
        <v>18202.24</v>
      </c>
      <c r="F183" s="53" t="inlineStr">
        <is>
          <t>Operating Expense</t>
        </is>
      </c>
    </row>
    <row r="184">
      <c r="A184" s="53" t="inlineStr">
        <is>
          <t>Charitable Contributions</t>
        </is>
      </c>
      <c r="B184" s="53" t="inlineStr">
        <is>
          <t>YTD2026</t>
        </is>
      </c>
      <c r="C184" s="53" t="inlineStr">
        <is>
          <t>2026-06-17</t>
        </is>
      </c>
      <c r="D184" s="53" t="inlineStr">
        <is>
          <t>ALL</t>
        </is>
      </c>
      <c r="E184" s="53" t="n">
        <v>2500</v>
      </c>
      <c r="F184" s="53" t="inlineStr">
        <is>
          <t>Operating Expense</t>
        </is>
      </c>
    </row>
    <row r="185">
      <c r="A185" s="53" t="inlineStr">
        <is>
          <t>Charitable Contributions - Non-Deductible</t>
        </is>
      </c>
      <c r="B185" s="53" t="inlineStr">
        <is>
          <t>YTD2026</t>
        </is>
      </c>
      <c r="C185" s="53" t="inlineStr">
        <is>
          <t>2026-06-17</t>
        </is>
      </c>
      <c r="D185" s="53" t="inlineStr">
        <is>
          <t>ALL</t>
        </is>
      </c>
      <c r="E185" s="53" t="n">
        <v>1000</v>
      </c>
      <c r="F185" s="53" t="inlineStr">
        <is>
          <t>Operating Expense</t>
        </is>
      </c>
    </row>
    <row r="186">
      <c r="A186" s="53" t="inlineStr">
        <is>
          <t>Contractors</t>
        </is>
      </c>
      <c r="B186" s="53" t="inlineStr">
        <is>
          <t>YTD2026</t>
        </is>
      </c>
      <c r="C186" s="53" t="inlineStr">
        <is>
          <t>2026-06-17</t>
        </is>
      </c>
      <c r="D186" s="53" t="inlineStr">
        <is>
          <t>ALL</t>
        </is>
      </c>
      <c r="E186" s="53" t="n">
        <v>20900</v>
      </c>
      <c r="F186" s="53" t="inlineStr">
        <is>
          <t>Operating Expense</t>
        </is>
      </c>
    </row>
    <row r="187">
      <c r="A187" s="53" t="inlineStr">
        <is>
          <t>Depreciation</t>
        </is>
      </c>
      <c r="B187" s="53" t="inlineStr">
        <is>
          <t>YTD2026</t>
        </is>
      </c>
      <c r="C187" s="53" t="inlineStr">
        <is>
          <t>2026-06-17</t>
        </is>
      </c>
      <c r="D187" s="53" t="inlineStr">
        <is>
          <t>ALL</t>
        </is>
      </c>
      <c r="E187" s="53" t="n">
        <v>82317.22</v>
      </c>
      <c r="F187" s="53" t="inlineStr">
        <is>
          <t>Operating Expense</t>
        </is>
      </c>
    </row>
    <row r="188">
      <c r="A188" s="53" t="inlineStr">
        <is>
          <t>Drywall Division Labor - Subcontractors</t>
        </is>
      </c>
      <c r="B188" s="53" t="inlineStr">
        <is>
          <t>YTD2026</t>
        </is>
      </c>
      <c r="C188" s="53" t="inlineStr">
        <is>
          <t>2026-06-17</t>
        </is>
      </c>
      <c r="D188" s="53" t="inlineStr">
        <is>
          <t>DW</t>
        </is>
      </c>
      <c r="E188" s="53" t="n">
        <v>295694.45</v>
      </c>
      <c r="F188" s="53" t="inlineStr">
        <is>
          <t>Operating Expense</t>
        </is>
      </c>
    </row>
    <row r="189">
      <c r="A189" s="53" t="inlineStr">
        <is>
          <t>Drywall Division Supplies Expense</t>
        </is>
      </c>
      <c r="B189" s="53" t="inlineStr">
        <is>
          <t>YTD2026</t>
        </is>
      </c>
      <c r="C189" s="53" t="inlineStr">
        <is>
          <t>2026-06-17</t>
        </is>
      </c>
      <c r="D189" s="53" t="inlineStr">
        <is>
          <t>DW</t>
        </is>
      </c>
      <c r="E189" s="53" t="n">
        <v>1145.07</v>
      </c>
      <c r="F189" s="53" t="inlineStr">
        <is>
          <t>Operating Expense</t>
        </is>
      </c>
    </row>
    <row r="190">
      <c r="A190" s="53" t="inlineStr">
        <is>
          <t>Drywall Supply HD Boom Scatter Labor</t>
        </is>
      </c>
      <c r="B190" s="53" t="inlineStr">
        <is>
          <t>YTD2026</t>
        </is>
      </c>
      <c r="C190" s="53" t="inlineStr">
        <is>
          <t>2026-06-17</t>
        </is>
      </c>
      <c r="D190" s="53" t="inlineStr">
        <is>
          <t>DW</t>
        </is>
      </c>
      <c r="E190" s="53" t="n">
        <v>6750</v>
      </c>
      <c r="F190" s="53" t="inlineStr">
        <is>
          <t>Operating Expense</t>
        </is>
      </c>
    </row>
    <row r="191">
      <c r="A191" s="53" t="inlineStr">
        <is>
          <t>Dues &amp; subscriptions</t>
        </is>
      </c>
      <c r="B191" s="53" t="inlineStr">
        <is>
          <t>YTD2026</t>
        </is>
      </c>
      <c r="C191" s="53" t="inlineStr">
        <is>
          <t>2026-06-17</t>
        </is>
      </c>
      <c r="D191" s="53" t="inlineStr">
        <is>
          <t>ALL</t>
        </is>
      </c>
      <c r="E191" s="53" t="n">
        <v>9937.75</v>
      </c>
      <c r="F191" s="53" t="inlineStr">
        <is>
          <t>Operating Expense</t>
        </is>
      </c>
    </row>
    <row r="192">
      <c r="A192" s="53" t="inlineStr">
        <is>
          <t>Equipment/Vehicle Rental</t>
        </is>
      </c>
      <c r="B192" s="53" t="inlineStr">
        <is>
          <t>YTD2026</t>
        </is>
      </c>
      <c r="C192" s="53" t="inlineStr">
        <is>
          <t>2026-06-17</t>
        </is>
      </c>
      <c r="D192" s="53" t="inlineStr">
        <is>
          <t>ALL</t>
        </is>
      </c>
      <c r="E192" s="53" t="n">
        <v>38424.43</v>
      </c>
      <c r="F192" s="53" t="inlineStr">
        <is>
          <t>Operating Expense</t>
        </is>
      </c>
    </row>
    <row r="193">
      <c r="A193" s="53" t="inlineStr">
        <is>
          <t>Insurance</t>
        </is>
      </c>
      <c r="B193" s="53" t="inlineStr">
        <is>
          <t>YTD2026</t>
        </is>
      </c>
      <c r="C193" s="53" t="inlineStr">
        <is>
          <t>2026-06-17</t>
        </is>
      </c>
      <c r="D193" s="53" t="inlineStr">
        <is>
          <t>ALL</t>
        </is>
      </c>
      <c r="E193" s="53" t="n">
        <v>67365.99000000001</v>
      </c>
      <c r="F193" s="53" t="inlineStr">
        <is>
          <t>Operating Expense</t>
        </is>
      </c>
    </row>
    <row r="194">
      <c r="A194" s="53" t="inlineStr">
        <is>
          <t>Interest Paid</t>
        </is>
      </c>
      <c r="B194" s="53" t="inlineStr">
        <is>
          <t>YTD2026</t>
        </is>
      </c>
      <c r="C194" s="53" t="inlineStr">
        <is>
          <t>2026-06-17</t>
        </is>
      </c>
      <c r="D194" s="53" t="inlineStr">
        <is>
          <t>ALL</t>
        </is>
      </c>
      <c r="E194" s="53" t="n">
        <v>121195.1</v>
      </c>
      <c r="F194" s="53" t="inlineStr">
        <is>
          <t>Operating Expense</t>
        </is>
      </c>
    </row>
    <row r="195">
      <c r="A195" s="53" t="inlineStr">
        <is>
          <t>Job Supplies</t>
        </is>
      </c>
      <c r="B195" s="53" t="inlineStr">
        <is>
          <t>YTD2026</t>
        </is>
      </c>
      <c r="C195" s="53" t="inlineStr">
        <is>
          <t>2026-06-17</t>
        </is>
      </c>
      <c r="D195" s="53" t="inlineStr">
        <is>
          <t>ALL</t>
        </is>
      </c>
      <c r="E195" s="53" t="n">
        <v>10135.83</v>
      </c>
      <c r="F195" s="53" t="inlineStr">
        <is>
          <t>Operating Expense</t>
        </is>
      </c>
    </row>
    <row r="196">
      <c r="A196" s="53" t="inlineStr">
        <is>
          <t>Legal &amp; Professional Services</t>
        </is>
      </c>
      <c r="B196" s="53" t="inlineStr">
        <is>
          <t>YTD2026</t>
        </is>
      </c>
      <c r="C196" s="53" t="inlineStr">
        <is>
          <t>2026-06-17</t>
        </is>
      </c>
      <c r="D196" s="53" t="inlineStr">
        <is>
          <t>ALL</t>
        </is>
      </c>
      <c r="E196" s="53" t="n">
        <v>61725.77</v>
      </c>
      <c r="F196" s="53" t="inlineStr">
        <is>
          <t>Operating Expense</t>
        </is>
      </c>
    </row>
    <row r="197">
      <c r="A197" s="53" t="inlineStr">
        <is>
          <t>Meals &amp; Entertainment</t>
        </is>
      </c>
      <c r="B197" s="53" t="inlineStr">
        <is>
          <t>YTD2026</t>
        </is>
      </c>
      <c r="C197" s="53" t="inlineStr">
        <is>
          <t>2026-06-17</t>
        </is>
      </c>
      <c r="D197" s="53" t="inlineStr">
        <is>
          <t>ALL</t>
        </is>
      </c>
      <c r="E197" s="53" t="n">
        <v>51854.83</v>
      </c>
      <c r="F197" s="53" t="inlineStr">
        <is>
          <t>Operating Expense</t>
        </is>
      </c>
    </row>
    <row r="198">
      <c r="A198" s="53" t="inlineStr">
        <is>
          <t>Entertainment</t>
        </is>
      </c>
      <c r="B198" s="53" t="inlineStr">
        <is>
          <t>YTD2026</t>
        </is>
      </c>
      <c r="C198" s="53" t="inlineStr">
        <is>
          <t>2026-06-17</t>
        </is>
      </c>
      <c r="D198" s="53" t="inlineStr">
        <is>
          <t>ALL</t>
        </is>
      </c>
      <c r="E198" s="53" t="n">
        <v>39782.22</v>
      </c>
      <c r="F198" s="53" t="inlineStr">
        <is>
          <t>Operating Expense</t>
        </is>
      </c>
    </row>
    <row r="199">
      <c r="A199" s="53" t="inlineStr">
        <is>
          <t>Meals</t>
        </is>
      </c>
      <c r="B199" s="53" t="inlineStr">
        <is>
          <t>YTD2026</t>
        </is>
      </c>
      <c r="C199" s="53" t="inlineStr">
        <is>
          <t>2026-06-17</t>
        </is>
      </c>
      <c r="D199" s="53" t="inlineStr">
        <is>
          <t>ALL</t>
        </is>
      </c>
      <c r="E199" s="53" t="n">
        <v>9826.07</v>
      </c>
      <c r="F199" s="53" t="inlineStr">
        <is>
          <t>Operating Expense</t>
        </is>
      </c>
    </row>
    <row r="200">
      <c r="A200" s="53" t="inlineStr">
        <is>
          <t>Office Supplies &amp; Software</t>
        </is>
      </c>
      <c r="B200" s="53" t="inlineStr">
        <is>
          <t>YTD2026</t>
        </is>
      </c>
      <c r="C200" s="53" t="inlineStr">
        <is>
          <t>2026-06-17</t>
        </is>
      </c>
      <c r="D200" s="53" t="inlineStr">
        <is>
          <t>ALL</t>
        </is>
      </c>
      <c r="E200" s="53" t="n">
        <v>69745.94</v>
      </c>
      <c r="F200" s="53" t="inlineStr">
        <is>
          <t>Operating Expense</t>
        </is>
      </c>
    </row>
    <row r="201">
      <c r="A201" s="53" t="inlineStr">
        <is>
          <t>Software Subscription/Use Fee</t>
        </is>
      </c>
      <c r="B201" s="53" t="inlineStr">
        <is>
          <t>YTD2026</t>
        </is>
      </c>
      <c r="C201" s="53" t="inlineStr">
        <is>
          <t>2026-06-17</t>
        </is>
      </c>
      <c r="D201" s="53" t="inlineStr">
        <is>
          <t>ALL</t>
        </is>
      </c>
      <c r="E201" s="53" t="n">
        <v>18150.82</v>
      </c>
      <c r="F201" s="53" t="inlineStr">
        <is>
          <t>Operating Expense</t>
        </is>
      </c>
    </row>
    <row r="202">
      <c r="A202" s="53" t="inlineStr">
        <is>
          <t>Other Business Expenses</t>
        </is>
      </c>
      <c r="B202" s="53" t="inlineStr">
        <is>
          <t>YTD2026</t>
        </is>
      </c>
      <c r="C202" s="53" t="inlineStr">
        <is>
          <t>2026-06-17</t>
        </is>
      </c>
      <c r="D202" s="53" t="inlineStr">
        <is>
          <t>ALL</t>
        </is>
      </c>
      <c r="E202" s="53" t="n">
        <v>672</v>
      </c>
      <c r="F202" s="53" t="inlineStr">
        <is>
          <t>Operating Expense</t>
        </is>
      </c>
    </row>
    <row r="203">
      <c r="A203" s="53" t="inlineStr">
        <is>
          <t>Outsourced IT Services</t>
        </is>
      </c>
      <c r="B203" s="53" t="inlineStr">
        <is>
          <t>YTD2026</t>
        </is>
      </c>
      <c r="C203" s="53" t="inlineStr">
        <is>
          <t>2026-06-17</t>
        </is>
      </c>
      <c r="D203" s="53" t="inlineStr">
        <is>
          <t>ALL</t>
        </is>
      </c>
      <c r="E203" s="53" t="n">
        <v>30498.71</v>
      </c>
      <c r="F203" s="53" t="inlineStr">
        <is>
          <t>Operating Expense</t>
        </is>
      </c>
    </row>
    <row r="204">
      <c r="A204" s="53" t="inlineStr">
        <is>
          <t>Outsourced Safety</t>
        </is>
      </c>
      <c r="B204" s="53" t="inlineStr">
        <is>
          <t>YTD2026</t>
        </is>
      </c>
      <c r="C204" s="53" t="inlineStr">
        <is>
          <t>2026-06-17</t>
        </is>
      </c>
      <c r="D204" s="53" t="inlineStr">
        <is>
          <t>ALL</t>
        </is>
      </c>
      <c r="E204" s="53" t="n">
        <v>3690.86</v>
      </c>
      <c r="F204" s="53" t="inlineStr">
        <is>
          <t>Operating Expense</t>
        </is>
      </c>
    </row>
    <row r="205">
      <c r="A205" s="53" t="inlineStr">
        <is>
          <t>Bonus Accrual Expense</t>
        </is>
      </c>
      <c r="B205" s="53" t="inlineStr">
        <is>
          <t>YTD2026</t>
        </is>
      </c>
      <c r="C205" s="53" t="inlineStr">
        <is>
          <t>2026-06-17</t>
        </is>
      </c>
      <c r="D205" s="53" t="inlineStr">
        <is>
          <t>ALL</t>
        </is>
      </c>
      <c r="E205" s="53" t="n">
        <v>280000</v>
      </c>
      <c r="F205" s="53" t="inlineStr">
        <is>
          <t>Operating Expense</t>
        </is>
      </c>
    </row>
    <row r="206">
      <c r="A206" s="53" t="inlineStr">
        <is>
          <t>Commission</t>
        </is>
      </c>
      <c r="B206" s="53" t="inlineStr">
        <is>
          <t>YTD2026</t>
        </is>
      </c>
      <c r="C206" s="53" t="inlineStr">
        <is>
          <t>2026-06-17</t>
        </is>
      </c>
      <c r="D206" s="53" t="inlineStr">
        <is>
          <t>ALL</t>
        </is>
      </c>
      <c r="E206" s="53" t="n">
        <v>-36779.33</v>
      </c>
      <c r="F206" s="53" t="inlineStr">
        <is>
          <t>Operating Expense</t>
        </is>
      </c>
    </row>
    <row r="207">
      <c r="A207" s="53" t="inlineStr">
        <is>
          <t>Misc / Spot Bonus Expense</t>
        </is>
      </c>
      <c r="B207" s="53" t="inlineStr">
        <is>
          <t>YTD2026</t>
        </is>
      </c>
      <c r="C207" s="53" t="inlineStr">
        <is>
          <t>2026-06-17</t>
        </is>
      </c>
      <c r="D207" s="53" t="inlineStr">
        <is>
          <t>ALL</t>
        </is>
      </c>
      <c r="E207" s="53" t="n">
        <v>18413.44</v>
      </c>
      <c r="F207" s="53" t="inlineStr">
        <is>
          <t>Operating Expense</t>
        </is>
      </c>
    </row>
    <row r="208">
      <c r="A208" s="53" t="inlineStr">
        <is>
          <t>Wage Accrual</t>
        </is>
      </c>
      <c r="B208" s="53" t="inlineStr">
        <is>
          <t>YTD2026</t>
        </is>
      </c>
      <c r="C208" s="53" t="inlineStr">
        <is>
          <t>2026-06-17</t>
        </is>
      </c>
      <c r="D208" s="53" t="inlineStr">
        <is>
          <t>ALL</t>
        </is>
      </c>
      <c r="E208" s="53" t="n">
        <v>55000</v>
      </c>
      <c r="F208" s="53" t="inlineStr">
        <is>
          <t>Operating Expense</t>
        </is>
      </c>
    </row>
    <row r="209">
      <c r="A209" s="53" t="inlineStr">
        <is>
          <t>Employee Benefits</t>
        </is>
      </c>
      <c r="B209" s="53" t="inlineStr">
        <is>
          <t>YTD2026</t>
        </is>
      </c>
      <c r="C209" s="53" t="inlineStr">
        <is>
          <t>2026-06-17</t>
        </is>
      </c>
      <c r="D209" s="53" t="inlineStr">
        <is>
          <t>ALL</t>
        </is>
      </c>
      <c r="E209" s="53" t="n">
        <v>105098.32</v>
      </c>
      <c r="F209" s="53" t="inlineStr">
        <is>
          <t>Operating Expense</t>
        </is>
      </c>
    </row>
    <row r="210">
      <c r="A210" s="53" t="inlineStr">
        <is>
          <t>Health Insurance</t>
        </is>
      </c>
      <c r="B210" s="53" t="inlineStr">
        <is>
          <t>YTD2026</t>
        </is>
      </c>
      <c r="C210" s="53" t="inlineStr">
        <is>
          <t>2026-06-17</t>
        </is>
      </c>
      <c r="D210" s="53" t="inlineStr">
        <is>
          <t>ALL</t>
        </is>
      </c>
      <c r="E210" s="53" t="n">
        <v>7586.33</v>
      </c>
      <c r="F210" s="53" t="inlineStr">
        <is>
          <t>Operating Expense</t>
        </is>
      </c>
    </row>
    <row r="211">
      <c r="A211" s="53" t="inlineStr">
        <is>
          <t>Payroll Fees</t>
        </is>
      </c>
      <c r="B211" s="53" t="inlineStr">
        <is>
          <t>YTD2026</t>
        </is>
      </c>
      <c r="C211" s="53" t="inlineStr">
        <is>
          <t>2026-06-17</t>
        </is>
      </c>
      <c r="D211" s="53" t="inlineStr">
        <is>
          <t>ALL</t>
        </is>
      </c>
      <c r="E211" s="53" t="n">
        <v>22819.3</v>
      </c>
      <c r="F211" s="53" t="inlineStr">
        <is>
          <t>Operating Expense</t>
        </is>
      </c>
    </row>
    <row r="212">
      <c r="A212" s="53" t="inlineStr">
        <is>
          <t>Taxes</t>
        </is>
      </c>
      <c r="B212" s="53" t="inlineStr">
        <is>
          <t>YTD2026</t>
        </is>
      </c>
      <c r="C212" s="53" t="inlineStr">
        <is>
          <t>2026-06-17</t>
        </is>
      </c>
      <c r="D212" s="53" t="inlineStr">
        <is>
          <t>ALL</t>
        </is>
      </c>
      <c r="E212" s="53" t="n">
        <v>178252.15</v>
      </c>
      <c r="F212" s="53" t="inlineStr">
        <is>
          <t>Operating Expense</t>
        </is>
      </c>
    </row>
    <row r="213">
      <c r="A213" s="53" t="inlineStr">
        <is>
          <t>Wages</t>
        </is>
      </c>
      <c r="B213" s="53" t="inlineStr">
        <is>
          <t>YTD2026</t>
        </is>
      </c>
      <c r="C213" s="53" t="inlineStr">
        <is>
          <t>2026-06-17</t>
        </is>
      </c>
      <c r="D213" s="53" t="inlineStr">
        <is>
          <t>ALL</t>
        </is>
      </c>
      <c r="E213" s="53" t="n">
        <v>2023303.48</v>
      </c>
      <c r="F213" s="53" t="inlineStr">
        <is>
          <t>Operating Expense</t>
        </is>
      </c>
    </row>
    <row r="214">
      <c r="A214" s="53" t="inlineStr">
        <is>
          <t>Property Tax</t>
        </is>
      </c>
      <c r="B214" s="53" t="inlineStr">
        <is>
          <t>YTD2026</t>
        </is>
      </c>
      <c r="C214" s="53" t="inlineStr">
        <is>
          <t>2026-06-17</t>
        </is>
      </c>
      <c r="D214" s="53" t="inlineStr">
        <is>
          <t>ALL</t>
        </is>
      </c>
      <c r="E214" s="53" t="n">
        <v>2415.99</v>
      </c>
      <c r="F214" s="53" t="inlineStr">
        <is>
          <t>Operating Expense</t>
        </is>
      </c>
    </row>
    <row r="215">
      <c r="A215" s="53" t="inlineStr">
        <is>
          <t>Rent &amp; Lease</t>
        </is>
      </c>
      <c r="B215" s="53" t="inlineStr">
        <is>
          <t>YTD2026</t>
        </is>
      </c>
      <c r="C215" s="53" t="inlineStr">
        <is>
          <t>2026-06-17</t>
        </is>
      </c>
      <c r="D215" s="53" t="inlineStr">
        <is>
          <t>ALL</t>
        </is>
      </c>
      <c r="E215" s="53" t="n">
        <v>730466.97</v>
      </c>
      <c r="F215" s="53" t="inlineStr">
        <is>
          <t>Operating Expense</t>
        </is>
      </c>
    </row>
    <row r="216">
      <c r="A216" s="53" t="inlineStr">
        <is>
          <t>Repairs &amp; Maintenance</t>
        </is>
      </c>
      <c r="B216" s="53" t="inlineStr">
        <is>
          <t>YTD2026</t>
        </is>
      </c>
      <c r="C216" s="53" t="inlineStr">
        <is>
          <t>2026-06-17</t>
        </is>
      </c>
      <c r="D216" s="53" t="inlineStr">
        <is>
          <t>ALL</t>
        </is>
      </c>
      <c r="E216" s="53" t="n">
        <v>67548.41</v>
      </c>
      <c r="F216" s="53" t="inlineStr">
        <is>
          <t>Operating Expense</t>
        </is>
      </c>
    </row>
    <row r="217">
      <c r="A217" s="53" t="inlineStr">
        <is>
          <t>Small Tools &amp; Equipment</t>
        </is>
      </c>
      <c r="B217" s="53" t="inlineStr">
        <is>
          <t>YTD2026</t>
        </is>
      </c>
      <c r="C217" s="53" t="inlineStr">
        <is>
          <t>2026-06-17</t>
        </is>
      </c>
      <c r="D217" s="53" t="inlineStr">
        <is>
          <t>ALL</t>
        </is>
      </c>
      <c r="E217" s="53" t="n">
        <v>8304.620000000001</v>
      </c>
      <c r="F217" s="53" t="inlineStr">
        <is>
          <t>Operating Expense</t>
        </is>
      </c>
    </row>
    <row r="218">
      <c r="A218" s="53" t="inlineStr">
        <is>
          <t>Taxes &amp; Licenses</t>
        </is>
      </c>
      <c r="B218" s="53" t="inlineStr">
        <is>
          <t>YTD2026</t>
        </is>
      </c>
      <c r="C218" s="53" t="inlineStr">
        <is>
          <t>2026-06-17</t>
        </is>
      </c>
      <c r="D218" s="53" t="inlineStr">
        <is>
          <t>ALL</t>
        </is>
      </c>
      <c r="E218" s="53" t="n">
        <v>32442.25</v>
      </c>
      <c r="F218" s="53" t="inlineStr">
        <is>
          <t>Operating Expense</t>
        </is>
      </c>
    </row>
    <row r="219">
      <c r="A219" s="53" t="inlineStr">
        <is>
          <t>Training &amp; Education</t>
        </is>
      </c>
      <c r="B219" s="53" t="inlineStr">
        <is>
          <t>YTD2026</t>
        </is>
      </c>
      <c r="C219" s="53" t="inlineStr">
        <is>
          <t>2026-06-17</t>
        </is>
      </c>
      <c r="D219" s="53" t="inlineStr">
        <is>
          <t>ALL</t>
        </is>
      </c>
      <c r="E219" s="53" t="n">
        <v>8981.1</v>
      </c>
      <c r="F219" s="53" t="inlineStr">
        <is>
          <t>Operating Expense</t>
        </is>
      </c>
    </row>
    <row r="220">
      <c r="A220" s="53" t="inlineStr">
        <is>
          <t>Travel</t>
        </is>
      </c>
      <c r="B220" s="53" t="inlineStr">
        <is>
          <t>YTD2026</t>
        </is>
      </c>
      <c r="C220" s="53" t="inlineStr">
        <is>
          <t>2026-06-17</t>
        </is>
      </c>
      <c r="D220" s="53" t="inlineStr">
        <is>
          <t>ALL</t>
        </is>
      </c>
      <c r="E220" s="53" t="n">
        <v>83545.36</v>
      </c>
      <c r="F220" s="53" t="inlineStr">
        <is>
          <t>Operating Expense</t>
        </is>
      </c>
    </row>
    <row r="221">
      <c r="A221" s="53" t="inlineStr">
        <is>
          <t>Travel - Fuel</t>
        </is>
      </c>
      <c r="B221" s="53" t="inlineStr">
        <is>
          <t>YTD2026</t>
        </is>
      </c>
      <c r="C221" s="53" t="inlineStr">
        <is>
          <t>2026-06-17</t>
        </is>
      </c>
      <c r="D221" s="53" t="inlineStr">
        <is>
          <t>ALL</t>
        </is>
      </c>
      <c r="E221" s="53" t="n">
        <v>854.75</v>
      </c>
      <c r="F221" s="53" t="inlineStr">
        <is>
          <t>Operating Expense</t>
        </is>
      </c>
    </row>
    <row r="222">
      <c r="A222" s="53" t="inlineStr">
        <is>
          <t>Travel - Meals</t>
        </is>
      </c>
      <c r="B222" s="53" t="inlineStr">
        <is>
          <t>YTD2026</t>
        </is>
      </c>
      <c r="C222" s="53" t="inlineStr">
        <is>
          <t>2026-06-17</t>
        </is>
      </c>
      <c r="D222" s="53" t="inlineStr">
        <is>
          <t>ALL</t>
        </is>
      </c>
      <c r="E222" s="53" t="n">
        <v>4474.73</v>
      </c>
      <c r="F222" s="53" t="inlineStr">
        <is>
          <t>Operating Expense</t>
        </is>
      </c>
    </row>
    <row r="223">
      <c r="A223" s="53" t="inlineStr">
        <is>
          <t>Uncategorized Expense</t>
        </is>
      </c>
      <c r="B223" s="53" t="inlineStr">
        <is>
          <t>YTD2026</t>
        </is>
      </c>
      <c r="C223" s="53" t="inlineStr">
        <is>
          <t>2026-06-17</t>
        </is>
      </c>
      <c r="D223" s="53" t="inlineStr">
        <is>
          <t>ALL</t>
        </is>
      </c>
      <c r="E223" s="53" t="n">
        <v>263.49</v>
      </c>
      <c r="F223" s="53" t="inlineStr">
        <is>
          <t>Operating Expense</t>
        </is>
      </c>
    </row>
    <row r="224">
      <c r="A224" s="53" t="inlineStr">
        <is>
          <t>Utilities</t>
        </is>
      </c>
      <c r="B224" s="53" t="inlineStr">
        <is>
          <t>YTD2026</t>
        </is>
      </c>
      <c r="C224" s="53" t="inlineStr">
        <is>
          <t>2026-06-17</t>
        </is>
      </c>
      <c r="D224" s="53" t="inlineStr">
        <is>
          <t>ALL</t>
        </is>
      </c>
      <c r="E224" s="53" t="n">
        <v>45546.25</v>
      </c>
      <c r="F224" s="53" t="inlineStr">
        <is>
          <t>Operating Expense</t>
        </is>
      </c>
    </row>
    <row r="225">
      <c r="A225" s="53" t="inlineStr">
        <is>
          <t>Credit Card Rewards</t>
        </is>
      </c>
      <c r="B225" s="53" t="inlineStr">
        <is>
          <t>YTD2026</t>
        </is>
      </c>
      <c r="C225" s="53" t="inlineStr">
        <is>
          <t>2026-06-17</t>
        </is>
      </c>
      <c r="D225" s="53" t="inlineStr">
        <is>
          <t>ALL</t>
        </is>
      </c>
      <c r="E225" s="53" t="n">
        <v>1236.4</v>
      </c>
      <c r="F225" s="53" t="inlineStr">
        <is>
          <t>Other Income</t>
        </is>
      </c>
    </row>
    <row r="226">
      <c r="A226" s="53" t="inlineStr">
        <is>
          <t>Interest Earned</t>
        </is>
      </c>
      <c r="B226" s="53" t="inlineStr">
        <is>
          <t>YTD2026</t>
        </is>
      </c>
      <c r="C226" s="53" t="inlineStr">
        <is>
          <t>2026-06-17</t>
        </is>
      </c>
      <c r="D226" s="53" t="inlineStr">
        <is>
          <t>ALL</t>
        </is>
      </c>
      <c r="E226" s="53" t="n">
        <v>0.09</v>
      </c>
      <c r="F226" s="53" t="inlineStr">
        <is>
          <t>Other Income</t>
        </is>
      </c>
    </row>
    <row r="227">
      <c r="A227" s="53" t="inlineStr">
        <is>
          <t>Other Income</t>
        </is>
      </c>
      <c r="B227" s="53" t="inlineStr">
        <is>
          <t>YTD2026</t>
        </is>
      </c>
      <c r="C227" s="53" t="inlineStr">
        <is>
          <t>2026-06-17</t>
        </is>
      </c>
      <c r="D227" s="53" t="inlineStr">
        <is>
          <t>ALL</t>
        </is>
      </c>
      <c r="E227" s="53" t="n">
        <v>318.41</v>
      </c>
      <c r="F227" s="53" t="inlineStr">
        <is>
          <t>Other Income</t>
        </is>
      </c>
    </row>
    <row r="228">
      <c r="A228" s="53" t="inlineStr">
        <is>
          <t>Vendor Rebate Income</t>
        </is>
      </c>
      <c r="B228" s="53" t="inlineStr">
        <is>
          <t>YTD2026</t>
        </is>
      </c>
      <c r="C228" s="53" t="inlineStr">
        <is>
          <t>2026-06-17</t>
        </is>
      </c>
      <c r="D228" s="53" t="inlineStr">
        <is>
          <t>ALL</t>
        </is>
      </c>
      <c r="E228" s="53" t="n">
        <v>53642.01</v>
      </c>
      <c r="F228" s="53" t="inlineStr">
        <is>
          <t>Other Income</t>
        </is>
      </c>
    </row>
    <row r="229">
      <c r="A229" s="53" t="inlineStr">
        <is>
          <t>Gain or Loss on Assets</t>
        </is>
      </c>
      <c r="B229" s="53" t="inlineStr">
        <is>
          <t>YTD2026</t>
        </is>
      </c>
      <c r="C229" s="53" t="inlineStr">
        <is>
          <t>2026-06-17</t>
        </is>
      </c>
      <c r="D229" s="53" t="inlineStr">
        <is>
          <t>ALL</t>
        </is>
      </c>
      <c r="E229" s="53" t="n">
        <v>180850.51</v>
      </c>
      <c r="F229" s="53" t="inlineStr">
        <is>
          <t>Other Expense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9AA3B2"/>
    <outlinePr summaryBelow="1" summaryRight="1"/>
    <pageSetUpPr/>
  </sheetPr>
  <dimension ref="A1:AC30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  <col width="15" customWidth="1" min="9" max="9"/>
    <col width="11" customWidth="1" min="10" max="10"/>
    <col width="19" customWidth="1" min="11" max="11"/>
    <col width="14" customWidth="1" min="12" max="12"/>
    <col width="13" customWidth="1" min="13" max="13"/>
    <col width="14" customWidth="1" min="14" max="14"/>
    <col width="16" customWidth="1" min="15" max="15"/>
    <col width="11" customWidth="1" min="16" max="16"/>
    <col width="13" customWidth="1" min="17" max="17"/>
    <col width="13" customWidth="1" min="18" max="18"/>
    <col width="14" customWidth="1" min="19" max="19"/>
    <col width="15" customWidth="1" min="20" max="20"/>
    <col width="12" customWidth="1" min="21" max="21"/>
    <col width="18" customWidth="1" min="22" max="22"/>
    <col width="21" customWidth="1" min="23" max="23"/>
    <col width="15" customWidth="1" min="24" max="24"/>
    <col width="16" customWidth="1" min="25" max="25"/>
    <col width="12" customWidth="1" min="26" max="26"/>
    <col width="11" customWidth="1" min="27" max="27"/>
    <col width="12" customWidth="1" min="28" max="28"/>
    <col width="11" customWidth="1" min="29" max="29"/>
  </cols>
  <sheetData>
    <row r="1">
      <c r="A1" s="40" t="inlineStr">
        <is>
          <t>SnapshotDate</t>
        </is>
      </c>
      <c r="B1" s="40" t="inlineStr">
        <is>
          <t>ProjectId</t>
        </is>
      </c>
      <c r="C1" s="40" t="inlineStr">
        <is>
          <t>Job</t>
        </is>
      </c>
      <c r="D1" s="40" t="inlineStr">
        <is>
          <t>DivKey</t>
        </is>
      </c>
      <c r="E1" s="40" t="inlineStr">
        <is>
          <t>PMName</t>
        </is>
      </c>
      <c r="F1" s="40" t="inlineStr">
        <is>
          <t>Customer</t>
        </is>
      </c>
      <c r="G1" s="40" t="inlineStr">
        <is>
          <t>Status</t>
        </is>
      </c>
      <c r="H1" s="40" t="inlineStr">
        <is>
          <t>ContractTotal</t>
        </is>
      </c>
      <c r="I1" s="40" t="inlineStr">
        <is>
          <t>ChangeOrders</t>
        </is>
      </c>
      <c r="J1" s="40" t="inlineStr">
        <is>
          <t>Invoiced</t>
        </is>
      </c>
      <c r="K1" s="40" t="inlineStr">
        <is>
          <t>PaymentsInvoices</t>
        </is>
      </c>
      <c r="L1" s="40" t="inlineStr">
        <is>
          <t>BudgetTotal</t>
        </is>
      </c>
      <c r="M1" s="40" t="inlineStr">
        <is>
          <t>ActualCost</t>
        </is>
      </c>
      <c r="N1" s="40" t="inlineStr">
        <is>
          <t>PctComplete</t>
        </is>
      </c>
      <c r="O1" s="40" t="inlineStr">
        <is>
          <t>EarnedRevenue</t>
        </is>
      </c>
      <c r="P1" s="40" t="inlineStr">
        <is>
          <t>WIPNet</t>
        </is>
      </c>
      <c r="Q1" s="40" t="inlineStr">
        <is>
          <t>KnowifyWIP</t>
        </is>
      </c>
      <c r="R1" s="40" t="inlineStr">
        <is>
          <t>Overbilled</t>
        </is>
      </c>
      <c r="S1" s="40" t="inlineStr">
        <is>
          <t>Underbilled</t>
        </is>
      </c>
      <c r="T1" s="40" t="inlineStr">
        <is>
          <t>ProfitAmount</t>
        </is>
      </c>
      <c r="U1" s="40" t="inlineStr">
        <is>
          <t>ProfitPct</t>
        </is>
      </c>
      <c r="V1" s="40" t="inlineStr">
        <is>
          <t>ProjectedProfit</t>
        </is>
      </c>
      <c r="W1" s="40" t="inlineStr">
        <is>
          <t>ProjectedProfitPct</t>
        </is>
      </c>
      <c r="X1" s="40" t="inlineStr">
        <is>
          <t>EstMarginPct</t>
        </is>
      </c>
      <c r="Y1" s="40" t="inlineStr">
        <is>
          <t>ProfitFadePct</t>
        </is>
      </c>
      <c r="Z1" s="40" t="inlineStr">
        <is>
          <t>Retainage</t>
        </is>
      </c>
      <c r="AA1" s="40" t="inlineStr">
        <is>
          <t>OpenAR</t>
        </is>
      </c>
      <c r="AB1" s="40" t="inlineStr">
        <is>
          <t>HasBudget</t>
        </is>
      </c>
      <c r="AC1" s="40" t="inlineStr">
        <is>
          <t>Managed</t>
        </is>
      </c>
    </row>
    <row r="2">
      <c r="A2" s="53" t="inlineStr">
        <is>
          <t>2026-06-17</t>
        </is>
      </c>
      <c r="B2" s="53" t="inlineStr">
        <is>
          <t>2902164</t>
        </is>
      </c>
      <c r="C2" s="53" t="inlineStr">
        <is>
          <t>DS.2026.2440 Liberty Assisted Living 0612</t>
        </is>
      </c>
      <c r="D2" s="53" t="inlineStr">
        <is>
          <t>UN</t>
        </is>
      </c>
      <c r="E2" s="53" t="inlineStr">
        <is>
          <t>(Unassigned)</t>
        </is>
      </c>
      <c r="F2" s="53" t="inlineStr">
        <is>
          <t>Flores Drywall and Remodeling LLC</t>
        </is>
      </c>
      <c r="G2" s="53" t="inlineStr">
        <is>
          <t>ACTIVE</t>
        </is>
      </c>
      <c r="H2" s="53" t="n">
        <v>8481.92</v>
      </c>
      <c r="I2" s="53" t="n">
        <v>0</v>
      </c>
      <c r="J2" s="53" t="n">
        <v>8481.92</v>
      </c>
      <c r="K2" s="53" t="n">
        <v>0</v>
      </c>
      <c r="L2" s="53" t="n">
        <v>0</v>
      </c>
      <c r="M2" s="53" t="n">
        <v>7188.44</v>
      </c>
      <c r="N2" s="53" t="n">
        <v>0</v>
      </c>
      <c r="O2" s="53" t="n">
        <v>0</v>
      </c>
      <c r="P2" s="53" t="n">
        <v>-8481.92</v>
      </c>
      <c r="Q2" s="53" t="n">
        <v>0</v>
      </c>
      <c r="R2" s="53" t="n">
        <v>8481.92</v>
      </c>
      <c r="S2" s="53" t="n">
        <v>0</v>
      </c>
      <c r="T2" s="53" t="n">
        <v>1293.48</v>
      </c>
      <c r="U2" s="53" t="n">
        <v>0.1525</v>
      </c>
      <c r="V2" s="53" t="n">
        <v>100</v>
      </c>
      <c r="W2" s="53" t="n">
        <v>0.0118</v>
      </c>
      <c r="X2" s="53" t="n">
        <v>0</v>
      </c>
      <c r="Y2" s="53" t="n">
        <v>0</v>
      </c>
      <c r="Z2" s="53" t="n">
        <v>0</v>
      </c>
      <c r="AA2" s="53" t="n">
        <v>8481.92</v>
      </c>
      <c r="AB2" s="53" t="inlineStr">
        <is>
          <t>FALSE</t>
        </is>
      </c>
      <c r="AC2" s="53" t="inlineStr">
        <is>
          <t>FALSE</t>
        </is>
      </c>
    </row>
    <row r="3">
      <c r="A3" s="53" t="inlineStr">
        <is>
          <t>2026-06-17</t>
        </is>
      </c>
      <c r="B3" s="53" t="inlineStr">
        <is>
          <t>2894730</t>
        </is>
      </c>
      <c r="C3" s="53" t="inlineStr">
        <is>
          <t>2026.1059 Westfield Community Schools</t>
        </is>
      </c>
      <c r="D3" s="53" t="inlineStr">
        <is>
          <t>UN</t>
        </is>
      </c>
      <c r="E3" s="53" t="inlineStr">
        <is>
          <t>Dustin Hurt</t>
        </is>
      </c>
      <c r="F3" s="53" t="inlineStr">
        <is>
          <t>LTB Construction, Inc.</t>
        </is>
      </c>
      <c r="G3" s="53" t="inlineStr">
        <is>
          <t>ACTIVE</t>
        </is>
      </c>
      <c r="H3" s="53" t="n">
        <v>5000</v>
      </c>
      <c r="I3" s="53" t="n">
        <v>0</v>
      </c>
      <c r="J3" s="53" t="n">
        <v>0</v>
      </c>
      <c r="K3" s="53" t="n">
        <v>0</v>
      </c>
      <c r="L3" s="53" t="n">
        <v>0</v>
      </c>
      <c r="M3" s="53" t="n">
        <v>0</v>
      </c>
      <c r="N3" s="53" t="n">
        <v>0</v>
      </c>
      <c r="O3" s="53" t="n">
        <v>0</v>
      </c>
      <c r="P3" s="53" t="n">
        <v>0</v>
      </c>
      <c r="Q3" s="53" t="n">
        <v>0</v>
      </c>
      <c r="R3" s="53" t="n">
        <v>0</v>
      </c>
      <c r="S3" s="53" t="n">
        <v>0</v>
      </c>
      <c r="T3" s="53" t="n">
        <v>0</v>
      </c>
      <c r="U3" s="53" t="n">
        <v>0</v>
      </c>
      <c r="V3" s="53" t="n">
        <v>100</v>
      </c>
      <c r="W3" s="53" t="n">
        <v>0.02</v>
      </c>
      <c r="X3" s="53" t="n">
        <v>0</v>
      </c>
      <c r="Y3" s="53" t="n">
        <v>0</v>
      </c>
      <c r="Z3" s="53" t="n">
        <v>0</v>
      </c>
      <c r="AA3" s="53" t="n">
        <v>0</v>
      </c>
      <c r="AB3" s="53" t="inlineStr">
        <is>
          <t>FALSE</t>
        </is>
      </c>
      <c r="AC3" s="53" t="inlineStr">
        <is>
          <t>FALSE</t>
        </is>
      </c>
    </row>
    <row r="4">
      <c r="A4" s="53" t="inlineStr">
        <is>
          <t>2026-06-17</t>
        </is>
      </c>
      <c r="B4" s="53" t="inlineStr">
        <is>
          <t>2893583</t>
        </is>
      </c>
      <c r="C4" s="53" t="inlineStr">
        <is>
          <t>2026.1058 Patch McCordsville Building 1</t>
        </is>
      </c>
      <c r="D4" s="53" t="inlineStr">
        <is>
          <t>UN</t>
        </is>
      </c>
      <c r="E4" s="53" t="inlineStr">
        <is>
          <t>Spencer Anderson</t>
        </is>
      </c>
      <c r="F4" s="53" t="inlineStr">
        <is>
          <t>Patch Development</t>
        </is>
      </c>
      <c r="G4" s="53" t="inlineStr">
        <is>
          <t>ACTIVE</t>
        </is>
      </c>
      <c r="H4" s="53" t="n">
        <v>211750</v>
      </c>
      <c r="I4" s="53" t="n">
        <v>0</v>
      </c>
      <c r="J4" s="53" t="n">
        <v>0</v>
      </c>
      <c r="K4" s="53" t="n">
        <v>0</v>
      </c>
      <c r="L4" s="53" t="n">
        <v>0</v>
      </c>
      <c r="M4" s="53" t="n">
        <v>0</v>
      </c>
      <c r="N4" s="53" t="n">
        <v>0</v>
      </c>
      <c r="O4" s="53" t="n">
        <v>0</v>
      </c>
      <c r="P4" s="53" t="n">
        <v>0</v>
      </c>
      <c r="Q4" s="53" t="n">
        <v>0</v>
      </c>
      <c r="R4" s="53" t="n">
        <v>0</v>
      </c>
      <c r="S4" s="53" t="n">
        <v>0</v>
      </c>
      <c r="T4" s="53" t="n">
        <v>0</v>
      </c>
      <c r="U4" s="53" t="n">
        <v>0</v>
      </c>
      <c r="V4" s="53" t="n">
        <v>100</v>
      </c>
      <c r="W4" s="53" t="n">
        <v>0.0005</v>
      </c>
      <c r="X4" s="53" t="n">
        <v>0</v>
      </c>
      <c r="Y4" s="53" t="n">
        <v>0</v>
      </c>
      <c r="Z4" s="53" t="n">
        <v>0</v>
      </c>
      <c r="AA4" s="53" t="n">
        <v>0</v>
      </c>
      <c r="AB4" s="53" t="inlineStr">
        <is>
          <t>FALSE</t>
        </is>
      </c>
      <c r="AC4" s="53" t="inlineStr">
        <is>
          <t>FALSE</t>
        </is>
      </c>
    </row>
    <row r="5">
      <c r="A5" s="53" t="inlineStr">
        <is>
          <t>2026-06-17</t>
        </is>
      </c>
      <c r="B5" s="53" t="inlineStr">
        <is>
          <t>2889499</t>
        </is>
      </c>
      <c r="C5" s="53" t="inlineStr">
        <is>
          <t>DS.2026.2439 2335 Treesdale Circle</t>
        </is>
      </c>
      <c r="D5" s="53" t="inlineStr">
        <is>
          <t>DW</t>
        </is>
      </c>
      <c r="E5" s="53" t="inlineStr">
        <is>
          <t>(Unassigned)</t>
        </is>
      </c>
      <c r="F5" s="53" t="inlineStr">
        <is>
          <t>Precision Dry Wall</t>
        </is>
      </c>
      <c r="G5" s="53" t="inlineStr">
        <is>
          <t>ACTIVE</t>
        </is>
      </c>
      <c r="H5" s="53" t="n">
        <v>527.3099999999999</v>
      </c>
      <c r="I5" s="53" t="n">
        <v>0</v>
      </c>
      <c r="J5" s="53" t="n">
        <v>527.3099999999999</v>
      </c>
      <c r="K5" s="53" t="n">
        <v>0</v>
      </c>
      <c r="L5" s="53" t="n">
        <v>0</v>
      </c>
      <c r="M5" s="53" t="n">
        <v>378.63</v>
      </c>
      <c r="N5" s="53" t="n">
        <v>0</v>
      </c>
      <c r="O5" s="53" t="n">
        <v>0</v>
      </c>
      <c r="P5" s="53" t="n">
        <v>-527.3099999999999</v>
      </c>
      <c r="Q5" s="53" t="n">
        <v>0</v>
      </c>
      <c r="R5" s="53" t="n">
        <v>527.3099999999999</v>
      </c>
      <c r="S5" s="53" t="n">
        <v>0</v>
      </c>
      <c r="T5" s="53" t="n">
        <v>148.68</v>
      </c>
      <c r="U5" s="53" t="n">
        <v>0.282</v>
      </c>
      <c r="V5" s="53" t="n">
        <v>100</v>
      </c>
      <c r="W5" s="53" t="n">
        <v>0.1896</v>
      </c>
      <c r="X5" s="53" t="n">
        <v>0</v>
      </c>
      <c r="Y5" s="53" t="n">
        <v>0</v>
      </c>
      <c r="Z5" s="53" t="n">
        <v>0</v>
      </c>
      <c r="AA5" s="53" t="n">
        <v>527.3099999999999</v>
      </c>
      <c r="AB5" s="53" t="inlineStr">
        <is>
          <t>FALSE</t>
        </is>
      </c>
      <c r="AC5" s="53" t="inlineStr">
        <is>
          <t>FALSE</t>
        </is>
      </c>
    </row>
    <row r="6">
      <c r="A6" s="53" t="inlineStr">
        <is>
          <t>2026-06-17</t>
        </is>
      </c>
      <c r="B6" s="53" t="inlineStr">
        <is>
          <t>2888259</t>
        </is>
      </c>
      <c r="C6" s="53" t="inlineStr">
        <is>
          <t>DS.2026.2438 10806 McPherson St</t>
        </is>
      </c>
      <c r="D6" s="53" t="inlineStr">
        <is>
          <t>DW</t>
        </is>
      </c>
      <c r="E6" s="53" t="inlineStr">
        <is>
          <t>(Unassigned)</t>
        </is>
      </c>
      <c r="F6" s="53" t="inlineStr">
        <is>
          <t>Precision Dry Wall</t>
        </is>
      </c>
      <c r="G6" s="53" t="inlineStr">
        <is>
          <t>ACTIVE</t>
        </is>
      </c>
      <c r="H6" s="53" t="n">
        <v>3124.93</v>
      </c>
      <c r="I6" s="53" t="n">
        <v>0</v>
      </c>
      <c r="J6" s="53" t="n">
        <v>3124.93</v>
      </c>
      <c r="K6" s="53" t="n">
        <v>0</v>
      </c>
      <c r="L6" s="53" t="n">
        <v>0</v>
      </c>
      <c r="M6" s="53" t="n">
        <v>1833.96</v>
      </c>
      <c r="N6" s="53" t="n">
        <v>0</v>
      </c>
      <c r="O6" s="53" t="n">
        <v>0</v>
      </c>
      <c r="P6" s="53" t="n">
        <v>-3124.93</v>
      </c>
      <c r="Q6" s="53" t="n">
        <v>0</v>
      </c>
      <c r="R6" s="53" t="n">
        <v>3124.93</v>
      </c>
      <c r="S6" s="53" t="n">
        <v>0</v>
      </c>
      <c r="T6" s="53" t="n">
        <v>1290.97</v>
      </c>
      <c r="U6" s="53" t="n">
        <v>0.4131</v>
      </c>
      <c r="V6" s="53" t="n">
        <v>100</v>
      </c>
      <c r="W6" s="53" t="n">
        <v>0.032</v>
      </c>
      <c r="X6" s="53" t="n">
        <v>0</v>
      </c>
      <c r="Y6" s="53" t="n">
        <v>0</v>
      </c>
      <c r="Z6" s="53" t="n">
        <v>0</v>
      </c>
      <c r="AA6" s="53" t="n">
        <v>3124.93</v>
      </c>
      <c r="AB6" s="53" t="inlineStr">
        <is>
          <t>FALSE</t>
        </is>
      </c>
      <c r="AC6" s="53" t="inlineStr">
        <is>
          <t>FALSE</t>
        </is>
      </c>
    </row>
    <row r="7">
      <c r="A7" s="53" t="inlineStr">
        <is>
          <t>2026-06-17</t>
        </is>
      </c>
      <c r="B7" s="53" t="inlineStr">
        <is>
          <t>2888192</t>
        </is>
      </c>
      <c r="C7" s="53" t="inlineStr">
        <is>
          <t>DS.2026.2437 970 Starkey Ave</t>
        </is>
      </c>
      <c r="D7" s="53" t="inlineStr">
        <is>
          <t>DW</t>
        </is>
      </c>
      <c r="E7" s="53" t="inlineStr">
        <is>
          <t>(Unassigned)</t>
        </is>
      </c>
      <c r="F7" s="53" t="inlineStr">
        <is>
          <t>Precision Dry Wall</t>
        </is>
      </c>
      <c r="G7" s="53" t="inlineStr">
        <is>
          <t>ACTIVE</t>
        </is>
      </c>
      <c r="H7" s="53" t="n">
        <v>8372.52</v>
      </c>
      <c r="I7" s="53" t="n">
        <v>0</v>
      </c>
      <c r="J7" s="53" t="n">
        <v>8372.52</v>
      </c>
      <c r="K7" s="53" t="n">
        <v>0</v>
      </c>
      <c r="L7" s="53" t="n">
        <v>0</v>
      </c>
      <c r="M7" s="53" t="n">
        <v>5495.96</v>
      </c>
      <c r="N7" s="53" t="n">
        <v>0</v>
      </c>
      <c r="O7" s="53" t="n">
        <v>0</v>
      </c>
      <c r="P7" s="53" t="n">
        <v>-8372.52</v>
      </c>
      <c r="Q7" s="53" t="n">
        <v>0</v>
      </c>
      <c r="R7" s="53" t="n">
        <v>8372.52</v>
      </c>
      <c r="S7" s="53" t="n">
        <v>0</v>
      </c>
      <c r="T7" s="53" t="n">
        <v>2876.56</v>
      </c>
      <c r="U7" s="53" t="n">
        <v>0.3436</v>
      </c>
      <c r="V7" s="53" t="n">
        <v>100</v>
      </c>
      <c r="W7" s="53" t="n">
        <v>0.0119</v>
      </c>
      <c r="X7" s="53" t="n">
        <v>0</v>
      </c>
      <c r="Y7" s="53" t="n">
        <v>0</v>
      </c>
      <c r="Z7" s="53" t="n">
        <v>0</v>
      </c>
      <c r="AA7" s="53" t="n">
        <v>8372.52</v>
      </c>
      <c r="AB7" s="53" t="inlineStr">
        <is>
          <t>FALSE</t>
        </is>
      </c>
      <c r="AC7" s="53" t="inlineStr">
        <is>
          <t>FALSE</t>
        </is>
      </c>
    </row>
    <row r="8">
      <c r="A8" s="53" t="inlineStr">
        <is>
          <t>2026-06-17</t>
        </is>
      </c>
      <c r="B8" s="53" t="inlineStr">
        <is>
          <t>2887165</t>
        </is>
      </c>
      <c r="C8" s="53" t="inlineStr">
        <is>
          <t>MDG Warehouse Demising Wall</t>
        </is>
      </c>
      <c r="D8" s="53" t="inlineStr">
        <is>
          <t>UN</t>
        </is>
      </c>
      <c r="E8" s="53" t="inlineStr">
        <is>
          <t>(Unassigned)</t>
        </is>
      </c>
      <c r="F8" s="53" t="inlineStr">
        <is>
          <t>MDG Real Estate LLC</t>
        </is>
      </c>
      <c r="G8" s="53" t="inlineStr">
        <is>
          <t>ACTIVE</t>
        </is>
      </c>
      <c r="H8" s="53" t="n">
        <v>75000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6847.14</v>
      </c>
      <c r="N8" s="53" t="n">
        <v>0</v>
      </c>
      <c r="O8" s="53" t="n">
        <v>0</v>
      </c>
      <c r="P8" s="53" t="n">
        <v>0</v>
      </c>
      <c r="Q8" s="53" t="n">
        <v>0</v>
      </c>
      <c r="R8" s="53" t="n">
        <v>0</v>
      </c>
      <c r="S8" s="53" t="n">
        <v>0</v>
      </c>
      <c r="T8" s="53" t="n">
        <v>-6847.14</v>
      </c>
      <c r="U8" s="53" t="n">
        <v>0</v>
      </c>
      <c r="V8" s="53" t="n">
        <v>100</v>
      </c>
      <c r="W8" s="53" t="n">
        <v>0.0013</v>
      </c>
      <c r="X8" s="53" t="n">
        <v>0</v>
      </c>
      <c r="Y8" s="53" t="n">
        <v>0</v>
      </c>
      <c r="Z8" s="53" t="n">
        <v>0</v>
      </c>
      <c r="AA8" s="53" t="n">
        <v>0</v>
      </c>
      <c r="AB8" s="53" t="inlineStr">
        <is>
          <t>FALSE</t>
        </is>
      </c>
      <c r="AC8" s="53" t="inlineStr">
        <is>
          <t>FALSE</t>
        </is>
      </c>
    </row>
    <row r="9">
      <c r="A9" s="53" t="inlineStr">
        <is>
          <t>2026-06-17</t>
        </is>
      </c>
      <c r="B9" s="53" t="inlineStr">
        <is>
          <t>2887151</t>
        </is>
      </c>
      <c r="C9" s="53" t="inlineStr">
        <is>
          <t>DS.2026.2436 25 Harper Estates</t>
        </is>
      </c>
      <c r="D9" s="53" t="inlineStr">
        <is>
          <t>DW</t>
        </is>
      </c>
      <c r="E9" s="53" t="inlineStr">
        <is>
          <t>(Unassigned)</t>
        </is>
      </c>
      <c r="F9" s="53" t="inlineStr">
        <is>
          <t>Flores Drywall and Remodeling LLC</t>
        </is>
      </c>
      <c r="G9" s="53" t="inlineStr">
        <is>
          <t>ACTIVE</t>
        </is>
      </c>
      <c r="H9" s="53" t="n">
        <v>5768.6</v>
      </c>
      <c r="I9" s="53" t="n">
        <v>0</v>
      </c>
      <c r="J9" s="53" t="n">
        <v>5768.6</v>
      </c>
      <c r="K9" s="53" t="n">
        <v>0</v>
      </c>
      <c r="L9" s="53" t="n">
        <v>0</v>
      </c>
      <c r="M9" s="53" t="n">
        <v>4226.3</v>
      </c>
      <c r="N9" s="53" t="n">
        <v>0</v>
      </c>
      <c r="O9" s="53" t="n">
        <v>0</v>
      </c>
      <c r="P9" s="53" t="n">
        <v>-5768.6</v>
      </c>
      <c r="Q9" s="53" t="n">
        <v>0</v>
      </c>
      <c r="R9" s="53" t="n">
        <v>5768.6</v>
      </c>
      <c r="S9" s="53" t="n">
        <v>0</v>
      </c>
      <c r="T9" s="53" t="n">
        <v>1542.3</v>
      </c>
      <c r="U9" s="53" t="n">
        <v>0.2674</v>
      </c>
      <c r="V9" s="53" t="n">
        <v>100</v>
      </c>
      <c r="W9" s="53" t="n">
        <v>0.0173</v>
      </c>
      <c r="X9" s="53" t="n">
        <v>0</v>
      </c>
      <c r="Y9" s="53" t="n">
        <v>0</v>
      </c>
      <c r="Z9" s="53" t="n">
        <v>0</v>
      </c>
      <c r="AA9" s="53" t="n">
        <v>5768.6</v>
      </c>
      <c r="AB9" s="53" t="inlineStr">
        <is>
          <t>FALSE</t>
        </is>
      </c>
      <c r="AC9" s="53" t="inlineStr">
        <is>
          <t>FALSE</t>
        </is>
      </c>
    </row>
    <row r="10">
      <c r="A10" s="53" t="inlineStr">
        <is>
          <t>2026-06-17</t>
        </is>
      </c>
      <c r="B10" s="53" t="inlineStr">
        <is>
          <t>2887141</t>
        </is>
      </c>
      <c r="C10" s="53" t="inlineStr">
        <is>
          <t>DS.2026.2435 21 Harper Estates</t>
        </is>
      </c>
      <c r="D10" s="53" t="inlineStr">
        <is>
          <t>DW</t>
        </is>
      </c>
      <c r="E10" s="53" t="inlineStr">
        <is>
          <t>(Unassigned)</t>
        </is>
      </c>
      <c r="F10" s="53" t="inlineStr">
        <is>
          <t>Flores Drywall and Remodeling LLC</t>
        </is>
      </c>
      <c r="G10" s="53" t="inlineStr">
        <is>
          <t>ACTIVE</t>
        </is>
      </c>
      <c r="H10" s="53" t="n">
        <v>6176</v>
      </c>
      <c r="I10" s="53" t="n">
        <v>0</v>
      </c>
      <c r="J10" s="53" t="n">
        <v>6176</v>
      </c>
      <c r="K10" s="53" t="n">
        <v>0</v>
      </c>
      <c r="L10" s="53" t="n">
        <v>0</v>
      </c>
      <c r="M10" s="53" t="n">
        <v>4487.52</v>
      </c>
      <c r="N10" s="53" t="n">
        <v>0</v>
      </c>
      <c r="O10" s="53" t="n">
        <v>0</v>
      </c>
      <c r="P10" s="53" t="n">
        <v>-6176</v>
      </c>
      <c r="Q10" s="53" t="n">
        <v>0</v>
      </c>
      <c r="R10" s="53" t="n">
        <v>6176</v>
      </c>
      <c r="S10" s="53" t="n">
        <v>0</v>
      </c>
      <c r="T10" s="53" t="n">
        <v>1688.48</v>
      </c>
      <c r="U10" s="53" t="n">
        <v>0.2734</v>
      </c>
      <c r="V10" s="53" t="n">
        <v>100</v>
      </c>
      <c r="W10" s="53" t="n">
        <v>0.0162</v>
      </c>
      <c r="X10" s="53" t="n">
        <v>0</v>
      </c>
      <c r="Y10" s="53" t="n">
        <v>0</v>
      </c>
      <c r="Z10" s="53" t="n">
        <v>0</v>
      </c>
      <c r="AA10" s="53" t="n">
        <v>6176</v>
      </c>
      <c r="AB10" s="53" t="inlineStr">
        <is>
          <t>FALSE</t>
        </is>
      </c>
      <c r="AC10" s="53" t="inlineStr">
        <is>
          <t>FALSE</t>
        </is>
      </c>
    </row>
    <row r="11">
      <c r="A11" s="53" t="inlineStr">
        <is>
          <t>2026-06-17</t>
        </is>
      </c>
      <c r="B11" s="53" t="inlineStr">
        <is>
          <t>2887107</t>
        </is>
      </c>
      <c r="C11" s="53" t="inlineStr">
        <is>
          <t>DS.2026.2434 19 Harper Estates</t>
        </is>
      </c>
      <c r="D11" s="53" t="inlineStr">
        <is>
          <t>DW</t>
        </is>
      </c>
      <c r="E11" s="53" t="inlineStr">
        <is>
          <t>(Unassigned)</t>
        </is>
      </c>
      <c r="F11" s="53" t="inlineStr">
        <is>
          <t>Flores Drywall and Remodeling LLC</t>
        </is>
      </c>
      <c r="G11" s="53" t="inlineStr">
        <is>
          <t>ACTIVE</t>
        </is>
      </c>
      <c r="H11" s="53" t="n">
        <v>6043.1</v>
      </c>
      <c r="I11" s="53" t="n">
        <v>0</v>
      </c>
      <c r="J11" s="53" t="n">
        <v>6043.1</v>
      </c>
      <c r="K11" s="53" t="n">
        <v>0</v>
      </c>
      <c r="L11" s="53" t="n">
        <v>0</v>
      </c>
      <c r="M11" s="53" t="n">
        <v>4392.06</v>
      </c>
      <c r="N11" s="53" t="n">
        <v>0</v>
      </c>
      <c r="O11" s="53" t="n">
        <v>0</v>
      </c>
      <c r="P11" s="53" t="n">
        <v>-6043.1</v>
      </c>
      <c r="Q11" s="53" t="n">
        <v>0</v>
      </c>
      <c r="R11" s="53" t="n">
        <v>6043.1</v>
      </c>
      <c r="S11" s="53" t="n">
        <v>0</v>
      </c>
      <c r="T11" s="53" t="n">
        <v>1651.04</v>
      </c>
      <c r="U11" s="53" t="n">
        <v>0.2732</v>
      </c>
      <c r="V11" s="53" t="n">
        <v>100</v>
      </c>
      <c r="W11" s="53" t="n">
        <v>0.0165</v>
      </c>
      <c r="X11" s="53" t="n">
        <v>0</v>
      </c>
      <c r="Y11" s="53" t="n">
        <v>0</v>
      </c>
      <c r="Z11" s="53" t="n">
        <v>0</v>
      </c>
      <c r="AA11" s="53" t="n">
        <v>6043.1</v>
      </c>
      <c r="AB11" s="53" t="inlineStr">
        <is>
          <t>FALSE</t>
        </is>
      </c>
      <c r="AC11" s="53" t="inlineStr">
        <is>
          <t>FALSE</t>
        </is>
      </c>
    </row>
    <row r="12">
      <c r="A12" s="53" t="inlineStr">
        <is>
          <t>2026-06-17</t>
        </is>
      </c>
      <c r="B12" s="53" t="inlineStr">
        <is>
          <t>2872036</t>
        </is>
      </c>
      <c r="C12" s="53" t="inlineStr">
        <is>
          <t>DS.2026.2433 Liberty Assisted Living 0529</t>
        </is>
      </c>
      <c r="D12" s="53" t="inlineStr">
        <is>
          <t>DW</t>
        </is>
      </c>
      <c r="E12" s="53" t="inlineStr">
        <is>
          <t>(Unassigned)</t>
        </is>
      </c>
      <c r="F12" s="53" t="inlineStr">
        <is>
          <t>Flores Drywall and Remodeling LLC</t>
        </is>
      </c>
      <c r="G12" s="53" t="inlineStr">
        <is>
          <t>ACTIVE</t>
        </is>
      </c>
      <c r="H12" s="53" t="n">
        <v>9607.6</v>
      </c>
      <c r="I12" s="53" t="n">
        <v>0</v>
      </c>
      <c r="J12" s="53" t="n">
        <v>9607.6</v>
      </c>
      <c r="K12" s="53" t="n">
        <v>0</v>
      </c>
      <c r="L12" s="53" t="n">
        <v>0</v>
      </c>
      <c r="M12" s="53" t="n">
        <v>7386.98</v>
      </c>
      <c r="N12" s="53" t="n">
        <v>0</v>
      </c>
      <c r="O12" s="53" t="n">
        <v>0</v>
      </c>
      <c r="P12" s="53" t="n">
        <v>-9607.6</v>
      </c>
      <c r="Q12" s="53" t="n">
        <v>0</v>
      </c>
      <c r="R12" s="53" t="n">
        <v>9607.6</v>
      </c>
      <c r="S12" s="53" t="n">
        <v>0</v>
      </c>
      <c r="T12" s="53" t="n">
        <v>2220.62</v>
      </c>
      <c r="U12" s="53" t="n">
        <v>0.2311</v>
      </c>
      <c r="V12" s="53" t="n">
        <v>100</v>
      </c>
      <c r="W12" s="53" t="n">
        <v>0.0104</v>
      </c>
      <c r="X12" s="53" t="n">
        <v>0</v>
      </c>
      <c r="Y12" s="53" t="n">
        <v>0</v>
      </c>
      <c r="Z12" s="53" t="n">
        <v>0</v>
      </c>
      <c r="AA12" s="53" t="n">
        <v>9607.6</v>
      </c>
      <c r="AB12" s="53" t="inlineStr">
        <is>
          <t>FALSE</t>
        </is>
      </c>
      <c r="AC12" s="53" t="inlineStr">
        <is>
          <t>FALSE</t>
        </is>
      </c>
    </row>
    <row r="13">
      <c r="A13" s="53" t="inlineStr">
        <is>
          <t>2026-06-17</t>
        </is>
      </c>
      <c r="B13" s="53" t="inlineStr">
        <is>
          <t>2872017</t>
        </is>
      </c>
      <c r="C13" s="53" t="inlineStr">
        <is>
          <t>DS.2026.2432 Liberty Assisted LIving 0528</t>
        </is>
      </c>
      <c r="D13" s="53" t="inlineStr">
        <is>
          <t>DW</t>
        </is>
      </c>
      <c r="E13" s="53" t="inlineStr">
        <is>
          <t>(Unassigned)</t>
        </is>
      </c>
      <c r="F13" s="53" t="inlineStr">
        <is>
          <t>Flores Drywall and Remodeling LLC</t>
        </is>
      </c>
      <c r="G13" s="53" t="inlineStr">
        <is>
          <t>ACTIVE</t>
        </is>
      </c>
      <c r="H13" s="53" t="n">
        <v>12455.2</v>
      </c>
      <c r="I13" s="53" t="n">
        <v>0</v>
      </c>
      <c r="J13" s="53" t="n">
        <v>12455.2</v>
      </c>
      <c r="K13" s="53" t="n">
        <v>0</v>
      </c>
      <c r="L13" s="53" t="n">
        <v>0</v>
      </c>
      <c r="M13" s="53" t="n">
        <v>8760.959999999999</v>
      </c>
      <c r="N13" s="53" t="n">
        <v>0</v>
      </c>
      <c r="O13" s="53" t="n">
        <v>0</v>
      </c>
      <c r="P13" s="53" t="n">
        <v>-12455.2</v>
      </c>
      <c r="Q13" s="53" t="n">
        <v>0</v>
      </c>
      <c r="R13" s="53" t="n">
        <v>12455.2</v>
      </c>
      <c r="S13" s="53" t="n">
        <v>0</v>
      </c>
      <c r="T13" s="53" t="n">
        <v>3694.24</v>
      </c>
      <c r="U13" s="53" t="n">
        <v>0.2966</v>
      </c>
      <c r="V13" s="53" t="n">
        <v>100</v>
      </c>
      <c r="W13" s="53" t="n">
        <v>0.008</v>
      </c>
      <c r="X13" s="53" t="n">
        <v>0</v>
      </c>
      <c r="Y13" s="53" t="n">
        <v>0</v>
      </c>
      <c r="Z13" s="53" t="n">
        <v>0</v>
      </c>
      <c r="AA13" s="53" t="n">
        <v>12455.2</v>
      </c>
      <c r="AB13" s="53" t="inlineStr">
        <is>
          <t>FALSE</t>
        </is>
      </c>
      <c r="AC13" s="53" t="inlineStr">
        <is>
          <t>FALSE</t>
        </is>
      </c>
    </row>
    <row r="14">
      <c r="A14" s="53" t="inlineStr">
        <is>
          <t>2026-06-17</t>
        </is>
      </c>
      <c r="B14" s="53" t="inlineStr">
        <is>
          <t>2872004</t>
        </is>
      </c>
      <c r="C14" s="53" t="inlineStr">
        <is>
          <t>DS.2026.2431 123 Centre Place</t>
        </is>
      </c>
      <c r="D14" s="53" t="inlineStr">
        <is>
          <t>DW</t>
        </is>
      </c>
      <c r="E14" s="53" t="inlineStr">
        <is>
          <t>(Unassigned)</t>
        </is>
      </c>
      <c r="F14" s="53" t="inlineStr">
        <is>
          <t>Flores Drywall and Remodeling LLC</t>
        </is>
      </c>
      <c r="G14" s="53" t="inlineStr">
        <is>
          <t>ACTIVE</t>
        </is>
      </c>
      <c r="H14" s="53" t="n">
        <v>3188.13</v>
      </c>
      <c r="I14" s="53" t="n">
        <v>0</v>
      </c>
      <c r="J14" s="53" t="n">
        <v>3188.13</v>
      </c>
      <c r="K14" s="53" t="n">
        <v>0</v>
      </c>
      <c r="L14" s="53" t="n">
        <v>0</v>
      </c>
      <c r="M14" s="53" t="n">
        <v>2336.22</v>
      </c>
      <c r="N14" s="53" t="n">
        <v>0</v>
      </c>
      <c r="O14" s="53" t="n">
        <v>0</v>
      </c>
      <c r="P14" s="53" t="n">
        <v>-3188.13</v>
      </c>
      <c r="Q14" s="53" t="n">
        <v>0</v>
      </c>
      <c r="R14" s="53" t="n">
        <v>3188.13</v>
      </c>
      <c r="S14" s="53" t="n">
        <v>0</v>
      </c>
      <c r="T14" s="53" t="n">
        <v>851.91</v>
      </c>
      <c r="U14" s="53" t="n">
        <v>0.2672</v>
      </c>
      <c r="V14" s="53" t="n">
        <v>100</v>
      </c>
      <c r="W14" s="53" t="n">
        <v>0.0314</v>
      </c>
      <c r="X14" s="53" t="n">
        <v>0</v>
      </c>
      <c r="Y14" s="53" t="n">
        <v>0</v>
      </c>
      <c r="Z14" s="53" t="n">
        <v>0</v>
      </c>
      <c r="AA14" s="53" t="n">
        <v>3188.13</v>
      </c>
      <c r="AB14" s="53" t="inlineStr">
        <is>
          <t>FALSE</t>
        </is>
      </c>
      <c r="AC14" s="53" t="inlineStr">
        <is>
          <t>FALSE</t>
        </is>
      </c>
    </row>
    <row r="15">
      <c r="A15" s="53" t="inlineStr">
        <is>
          <t>2026-06-17</t>
        </is>
      </c>
      <c r="B15" s="53" t="inlineStr">
        <is>
          <t>2871958</t>
        </is>
      </c>
      <c r="C15" s="53" t="inlineStr">
        <is>
          <t>DS.2026.2430 119 Centre Place</t>
        </is>
      </c>
      <c r="D15" s="53" t="inlineStr">
        <is>
          <t>DW</t>
        </is>
      </c>
      <c r="E15" s="53" t="inlineStr">
        <is>
          <t>(Unassigned)</t>
        </is>
      </c>
      <c r="F15" s="53" t="inlineStr">
        <is>
          <t>Flores Drywall and Remodeling LLC</t>
        </is>
      </c>
      <c r="G15" s="53" t="inlineStr">
        <is>
          <t>ACTIVE</t>
        </is>
      </c>
      <c r="H15" s="53" t="n">
        <v>3188.13</v>
      </c>
      <c r="I15" s="53" t="n">
        <v>0</v>
      </c>
      <c r="J15" s="53" t="n">
        <v>3188.13</v>
      </c>
      <c r="K15" s="53" t="n">
        <v>0</v>
      </c>
      <c r="L15" s="53" t="n">
        <v>0</v>
      </c>
      <c r="M15" s="53" t="n">
        <v>2336.22</v>
      </c>
      <c r="N15" s="53" t="n">
        <v>0</v>
      </c>
      <c r="O15" s="53" t="n">
        <v>0</v>
      </c>
      <c r="P15" s="53" t="n">
        <v>-3188.13</v>
      </c>
      <c r="Q15" s="53" t="n">
        <v>0</v>
      </c>
      <c r="R15" s="53" t="n">
        <v>3188.13</v>
      </c>
      <c r="S15" s="53" t="n">
        <v>0</v>
      </c>
      <c r="T15" s="53" t="n">
        <v>851.91</v>
      </c>
      <c r="U15" s="53" t="n">
        <v>0.2672</v>
      </c>
      <c r="V15" s="53" t="n">
        <v>100</v>
      </c>
      <c r="W15" s="53" t="n">
        <v>0.0314</v>
      </c>
      <c r="X15" s="53" t="n">
        <v>0</v>
      </c>
      <c r="Y15" s="53" t="n">
        <v>0</v>
      </c>
      <c r="Z15" s="53" t="n">
        <v>0</v>
      </c>
      <c r="AA15" s="53" t="n">
        <v>3188.13</v>
      </c>
      <c r="AB15" s="53" t="inlineStr">
        <is>
          <t>FALSE</t>
        </is>
      </c>
      <c r="AC15" s="53" t="inlineStr">
        <is>
          <t>FALSE</t>
        </is>
      </c>
    </row>
    <row r="16">
      <c r="A16" s="53" t="inlineStr">
        <is>
          <t>2026-06-17</t>
        </is>
      </c>
      <c r="B16" s="53" t="inlineStr">
        <is>
          <t>2871926</t>
        </is>
      </c>
      <c r="C16" s="53" t="inlineStr">
        <is>
          <t>DS.2026.2429 108 Centre Place</t>
        </is>
      </c>
      <c r="D16" s="53" t="inlineStr">
        <is>
          <t>DW</t>
        </is>
      </c>
      <c r="E16" s="53" t="inlineStr">
        <is>
          <t>(Unassigned)</t>
        </is>
      </c>
      <c r="F16" s="53" t="inlineStr">
        <is>
          <t>Flores Drywall and Remodeling LLC</t>
        </is>
      </c>
      <c r="G16" s="53" t="inlineStr">
        <is>
          <t>ACTIVE</t>
        </is>
      </c>
      <c r="H16" s="53" t="n">
        <v>3468.6</v>
      </c>
      <c r="I16" s="53" t="n">
        <v>0</v>
      </c>
      <c r="J16" s="53" t="n">
        <v>3468.6</v>
      </c>
      <c r="K16" s="53" t="n">
        <v>0</v>
      </c>
      <c r="L16" s="53" t="n">
        <v>0</v>
      </c>
      <c r="M16" s="53" t="n">
        <v>2537.94</v>
      </c>
      <c r="N16" s="53" t="n">
        <v>0</v>
      </c>
      <c r="O16" s="53" t="n">
        <v>0</v>
      </c>
      <c r="P16" s="53" t="n">
        <v>-3468.6</v>
      </c>
      <c r="Q16" s="53" t="n">
        <v>0</v>
      </c>
      <c r="R16" s="53" t="n">
        <v>3468.6</v>
      </c>
      <c r="S16" s="53" t="n">
        <v>0</v>
      </c>
      <c r="T16" s="53" t="n">
        <v>930.66</v>
      </c>
      <c r="U16" s="53" t="n">
        <v>0.2683</v>
      </c>
      <c r="V16" s="53" t="n">
        <v>100</v>
      </c>
      <c r="W16" s="53" t="n">
        <v>0.0288</v>
      </c>
      <c r="X16" s="53" t="n">
        <v>0</v>
      </c>
      <c r="Y16" s="53" t="n">
        <v>0</v>
      </c>
      <c r="Z16" s="53" t="n">
        <v>0</v>
      </c>
      <c r="AA16" s="53" t="n">
        <v>3468.6</v>
      </c>
      <c r="AB16" s="53" t="inlineStr">
        <is>
          <t>FALSE</t>
        </is>
      </c>
      <c r="AC16" s="53" t="inlineStr">
        <is>
          <t>FALSE</t>
        </is>
      </c>
    </row>
    <row r="17">
      <c r="A17" s="53" t="inlineStr">
        <is>
          <t>2026-06-17</t>
        </is>
      </c>
      <c r="B17" s="53" t="inlineStr">
        <is>
          <t>2871859</t>
        </is>
      </c>
      <c r="C17" s="53" t="inlineStr">
        <is>
          <t>DS.2026.2428 9 Centre Place</t>
        </is>
      </c>
      <c r="D17" s="53" t="inlineStr">
        <is>
          <t>DW</t>
        </is>
      </c>
      <c r="E17" s="53" t="inlineStr">
        <is>
          <t>(Unassigned)</t>
        </is>
      </c>
      <c r="F17" s="53" t="inlineStr">
        <is>
          <t>Flores Drywall and Remodeling LLC</t>
        </is>
      </c>
      <c r="G17" s="53" t="inlineStr">
        <is>
          <t>ACTIVE</t>
        </is>
      </c>
      <c r="H17" s="53" t="n">
        <v>4637.64</v>
      </c>
      <c r="I17" s="53" t="n">
        <v>0</v>
      </c>
      <c r="J17" s="53" t="n">
        <v>4637.64</v>
      </c>
      <c r="K17" s="53" t="n">
        <v>0</v>
      </c>
      <c r="L17" s="53" t="n">
        <v>0</v>
      </c>
      <c r="M17" s="53" t="n">
        <v>3598.89</v>
      </c>
      <c r="N17" s="53" t="n">
        <v>0</v>
      </c>
      <c r="O17" s="53" t="n">
        <v>0</v>
      </c>
      <c r="P17" s="53" t="n">
        <v>-4637.64</v>
      </c>
      <c r="Q17" s="53" t="n">
        <v>0</v>
      </c>
      <c r="R17" s="53" t="n">
        <v>4637.64</v>
      </c>
      <c r="S17" s="53" t="n">
        <v>0</v>
      </c>
      <c r="T17" s="53" t="n">
        <v>1038.75</v>
      </c>
      <c r="U17" s="53" t="n">
        <v>0.224</v>
      </c>
      <c r="V17" s="53" t="n">
        <v>100</v>
      </c>
      <c r="W17" s="53" t="n">
        <v>0.0216</v>
      </c>
      <c r="X17" s="53" t="n">
        <v>0</v>
      </c>
      <c r="Y17" s="53" t="n">
        <v>0</v>
      </c>
      <c r="Z17" s="53" t="n">
        <v>0</v>
      </c>
      <c r="AA17" s="53" t="n">
        <v>4637.64</v>
      </c>
      <c r="AB17" s="53" t="inlineStr">
        <is>
          <t>FALSE</t>
        </is>
      </c>
      <c r="AC17" s="53" t="inlineStr">
        <is>
          <t>FALSE</t>
        </is>
      </c>
    </row>
    <row r="18">
      <c r="A18" s="53" t="inlineStr">
        <is>
          <t>2026-06-17</t>
        </is>
      </c>
      <c r="B18" s="53" t="inlineStr">
        <is>
          <t>2863766</t>
        </is>
      </c>
      <c r="C18" s="53" t="inlineStr">
        <is>
          <t>DS.2026.2427 Dapp Garage</t>
        </is>
      </c>
      <c r="D18" s="53" t="inlineStr">
        <is>
          <t>DW</t>
        </is>
      </c>
      <c r="E18" s="53" t="inlineStr">
        <is>
          <t>(Unassigned)</t>
        </is>
      </c>
      <c r="F18" s="53" t="inlineStr">
        <is>
          <t>Flores Drywall and Remodeling LLC</t>
        </is>
      </c>
      <c r="G18" s="53" t="inlineStr">
        <is>
          <t>ACTIVE</t>
        </is>
      </c>
      <c r="H18" s="53" t="n">
        <v>1892.4</v>
      </c>
      <c r="I18" s="53" t="n">
        <v>0</v>
      </c>
      <c r="J18" s="53" t="n">
        <v>1892.4</v>
      </c>
      <c r="K18" s="53" t="n">
        <v>0</v>
      </c>
      <c r="L18" s="53" t="n">
        <v>0</v>
      </c>
      <c r="M18" s="53" t="n">
        <v>1278.6</v>
      </c>
      <c r="N18" s="53" t="n">
        <v>0</v>
      </c>
      <c r="O18" s="53" t="n">
        <v>0</v>
      </c>
      <c r="P18" s="53" t="n">
        <v>-1892.4</v>
      </c>
      <c r="Q18" s="53" t="n">
        <v>0</v>
      </c>
      <c r="R18" s="53" t="n">
        <v>1892.4</v>
      </c>
      <c r="S18" s="53" t="n">
        <v>0</v>
      </c>
      <c r="T18" s="53" t="n">
        <v>613.8</v>
      </c>
      <c r="U18" s="53" t="n">
        <v>0.3244</v>
      </c>
      <c r="V18" s="53" t="n">
        <v>100</v>
      </c>
      <c r="W18" s="53" t="n">
        <v>0.0528</v>
      </c>
      <c r="X18" s="53" t="n">
        <v>0</v>
      </c>
      <c r="Y18" s="53" t="n">
        <v>0</v>
      </c>
      <c r="Z18" s="53" t="n">
        <v>0</v>
      </c>
      <c r="AA18" s="53" t="n">
        <v>1892.4</v>
      </c>
      <c r="AB18" s="53" t="inlineStr">
        <is>
          <t>FALSE</t>
        </is>
      </c>
      <c r="AC18" s="53" t="inlineStr">
        <is>
          <t>FALSE</t>
        </is>
      </c>
    </row>
    <row r="19">
      <c r="A19" s="53" t="inlineStr">
        <is>
          <t>2026-06-17</t>
        </is>
      </c>
      <c r="B19" s="53" t="inlineStr">
        <is>
          <t>2863755</t>
        </is>
      </c>
      <c r="C19" s="53" t="inlineStr">
        <is>
          <t>DS.2026.2426 121 Centre Place</t>
        </is>
      </c>
      <c r="D19" s="53" t="inlineStr">
        <is>
          <t>DW</t>
        </is>
      </c>
      <c r="E19" s="53" t="inlineStr">
        <is>
          <t>(Unassigned)</t>
        </is>
      </c>
      <c r="F19" s="53" t="inlineStr">
        <is>
          <t>Flores Drywall and Remodeling LLC</t>
        </is>
      </c>
      <c r="G19" s="53" t="inlineStr">
        <is>
          <t>ACTIVE</t>
        </is>
      </c>
      <c r="H19" s="53" t="n">
        <v>5159.58</v>
      </c>
      <c r="I19" s="53" t="n">
        <v>0</v>
      </c>
      <c r="J19" s="53" t="n">
        <v>5159.58</v>
      </c>
      <c r="K19" s="53" t="n">
        <v>0</v>
      </c>
      <c r="L19" s="53" t="n">
        <v>0</v>
      </c>
      <c r="M19" s="53" t="n">
        <v>3802.57</v>
      </c>
      <c r="N19" s="53" t="n">
        <v>0</v>
      </c>
      <c r="O19" s="53" t="n">
        <v>0</v>
      </c>
      <c r="P19" s="53" t="n">
        <v>-5159.58</v>
      </c>
      <c r="Q19" s="53" t="n">
        <v>0</v>
      </c>
      <c r="R19" s="53" t="n">
        <v>5159.58</v>
      </c>
      <c r="S19" s="53" t="n">
        <v>0</v>
      </c>
      <c r="T19" s="53" t="n">
        <v>1357.01</v>
      </c>
      <c r="U19" s="53" t="n">
        <v>0.263</v>
      </c>
      <c r="V19" s="53" t="n">
        <v>100</v>
      </c>
      <c r="W19" s="53" t="n">
        <v>0.0194</v>
      </c>
      <c r="X19" s="53" t="n">
        <v>0</v>
      </c>
      <c r="Y19" s="53" t="n">
        <v>0</v>
      </c>
      <c r="Z19" s="53" t="n">
        <v>0</v>
      </c>
      <c r="AA19" s="53" t="n">
        <v>5159.58</v>
      </c>
      <c r="AB19" s="53" t="inlineStr">
        <is>
          <t>FALSE</t>
        </is>
      </c>
      <c r="AC19" s="53" t="inlineStr">
        <is>
          <t>FALSE</t>
        </is>
      </c>
    </row>
    <row r="20">
      <c r="A20" s="53" t="inlineStr">
        <is>
          <t>2026-06-17</t>
        </is>
      </c>
      <c r="B20" s="53" t="inlineStr">
        <is>
          <t>2863752</t>
        </is>
      </c>
      <c r="C20" s="53" t="inlineStr">
        <is>
          <t>DS.2026.2425 14 Parks</t>
        </is>
      </c>
      <c r="D20" s="53" t="inlineStr">
        <is>
          <t>DW</t>
        </is>
      </c>
      <c r="E20" s="53" t="inlineStr">
        <is>
          <t>(Unassigned)</t>
        </is>
      </c>
      <c r="F20" s="53" t="inlineStr">
        <is>
          <t>Flores Drywall and Remodeling LLC</t>
        </is>
      </c>
      <c r="G20" s="53" t="inlineStr">
        <is>
          <t>ACTIVE</t>
        </is>
      </c>
      <c r="H20" s="53" t="n">
        <v>5159.58</v>
      </c>
      <c r="I20" s="53" t="n">
        <v>0</v>
      </c>
      <c r="J20" s="53" t="n">
        <v>5159.58</v>
      </c>
      <c r="K20" s="53" t="n">
        <v>0</v>
      </c>
      <c r="L20" s="53" t="n">
        <v>0</v>
      </c>
      <c r="M20" s="53" t="n">
        <v>3802.57</v>
      </c>
      <c r="N20" s="53" t="n">
        <v>0</v>
      </c>
      <c r="O20" s="53" t="n">
        <v>0</v>
      </c>
      <c r="P20" s="53" t="n">
        <v>-5159.58</v>
      </c>
      <c r="Q20" s="53" t="n">
        <v>0</v>
      </c>
      <c r="R20" s="53" t="n">
        <v>5159.58</v>
      </c>
      <c r="S20" s="53" t="n">
        <v>0</v>
      </c>
      <c r="T20" s="53" t="n">
        <v>1357.01</v>
      </c>
      <c r="U20" s="53" t="n">
        <v>0.263</v>
      </c>
      <c r="V20" s="53" t="n">
        <v>100</v>
      </c>
      <c r="W20" s="53" t="n">
        <v>0.0194</v>
      </c>
      <c r="X20" s="53" t="n">
        <v>0</v>
      </c>
      <c r="Y20" s="53" t="n">
        <v>0</v>
      </c>
      <c r="Z20" s="53" t="n">
        <v>0</v>
      </c>
      <c r="AA20" s="53" t="n">
        <v>5159.58</v>
      </c>
      <c r="AB20" s="53" t="inlineStr">
        <is>
          <t>FALSE</t>
        </is>
      </c>
      <c r="AC20" s="53" t="inlineStr">
        <is>
          <t>FALSE</t>
        </is>
      </c>
    </row>
    <row r="21">
      <c r="A21" s="53" t="inlineStr">
        <is>
          <t>2026-06-17</t>
        </is>
      </c>
      <c r="B21" s="53" t="inlineStr">
        <is>
          <t>2863728</t>
        </is>
      </c>
      <c r="C21" s="53" t="inlineStr">
        <is>
          <t>DS.2026.2424 10566 Coppergate</t>
        </is>
      </c>
      <c r="D21" s="53" t="inlineStr">
        <is>
          <t>DW</t>
        </is>
      </c>
      <c r="E21" s="53" t="inlineStr">
        <is>
          <t>(Unassigned)</t>
        </is>
      </c>
      <c r="F21" s="53" t="inlineStr">
        <is>
          <t>Precision Dry Wall</t>
        </is>
      </c>
      <c r="G21" s="53" t="inlineStr">
        <is>
          <t>ACTIVE</t>
        </is>
      </c>
      <c r="H21" s="53" t="n">
        <v>3628.78</v>
      </c>
      <c r="I21" s="53" t="n">
        <v>0</v>
      </c>
      <c r="J21" s="53" t="n">
        <v>3628.78</v>
      </c>
      <c r="K21" s="53" t="n">
        <v>0</v>
      </c>
      <c r="L21" s="53" t="n">
        <v>0</v>
      </c>
      <c r="M21" s="53" t="n">
        <v>2212.54</v>
      </c>
      <c r="N21" s="53" t="n">
        <v>0</v>
      </c>
      <c r="O21" s="53" t="n">
        <v>0</v>
      </c>
      <c r="P21" s="53" t="n">
        <v>-3628.78</v>
      </c>
      <c r="Q21" s="53" t="n">
        <v>0</v>
      </c>
      <c r="R21" s="53" t="n">
        <v>3628.78</v>
      </c>
      <c r="S21" s="53" t="n">
        <v>0</v>
      </c>
      <c r="T21" s="53" t="n">
        <v>1416.24</v>
      </c>
      <c r="U21" s="53" t="n">
        <v>0.3903</v>
      </c>
      <c r="V21" s="53" t="n">
        <v>100</v>
      </c>
      <c r="W21" s="53" t="n">
        <v>0.0276</v>
      </c>
      <c r="X21" s="53" t="n">
        <v>0</v>
      </c>
      <c r="Y21" s="53" t="n">
        <v>0</v>
      </c>
      <c r="Z21" s="53" t="n">
        <v>0</v>
      </c>
      <c r="AA21" s="53" t="n">
        <v>3628.78</v>
      </c>
      <c r="AB21" s="53" t="inlineStr">
        <is>
          <t>FALSE</t>
        </is>
      </c>
      <c r="AC21" s="53" t="inlineStr">
        <is>
          <t>FALSE</t>
        </is>
      </c>
    </row>
    <row r="22">
      <c r="A22" s="53" t="inlineStr">
        <is>
          <t>2026-06-17</t>
        </is>
      </c>
      <c r="B22" s="53" t="inlineStr">
        <is>
          <t>2863715</t>
        </is>
      </c>
      <c r="C22" s="53" t="inlineStr">
        <is>
          <t>DS.2026.2423 10816 McPherson St</t>
        </is>
      </c>
      <c r="D22" s="53" t="inlineStr">
        <is>
          <t>DW</t>
        </is>
      </c>
      <c r="E22" s="53" t="inlineStr">
        <is>
          <t>(Unassigned)</t>
        </is>
      </c>
      <c r="F22" s="53" t="inlineStr">
        <is>
          <t>Precision Dry Wall</t>
        </is>
      </c>
      <c r="G22" s="53" t="inlineStr">
        <is>
          <t>ACTIVE</t>
        </is>
      </c>
      <c r="H22" s="53" t="n">
        <v>2440.48</v>
      </c>
      <c r="I22" s="53" t="n">
        <v>0</v>
      </c>
      <c r="J22" s="53" t="n">
        <v>2440.48</v>
      </c>
      <c r="K22" s="53" t="n">
        <v>0</v>
      </c>
      <c r="L22" s="53" t="n">
        <v>0</v>
      </c>
      <c r="M22" s="53" t="n">
        <v>1410.6</v>
      </c>
      <c r="N22" s="53" t="n">
        <v>0</v>
      </c>
      <c r="O22" s="53" t="n">
        <v>0</v>
      </c>
      <c r="P22" s="53" t="n">
        <v>-2440.48</v>
      </c>
      <c r="Q22" s="53" t="n">
        <v>0</v>
      </c>
      <c r="R22" s="53" t="n">
        <v>2440.48</v>
      </c>
      <c r="S22" s="53" t="n">
        <v>0</v>
      </c>
      <c r="T22" s="53" t="n">
        <v>1029.88</v>
      </c>
      <c r="U22" s="53" t="n">
        <v>0.422</v>
      </c>
      <c r="V22" s="53" t="n">
        <v>100</v>
      </c>
      <c r="W22" s="53" t="n">
        <v>0.041</v>
      </c>
      <c r="X22" s="53" t="n">
        <v>0</v>
      </c>
      <c r="Y22" s="53" t="n">
        <v>0</v>
      </c>
      <c r="Z22" s="53" t="n">
        <v>0</v>
      </c>
      <c r="AA22" s="53" t="n">
        <v>2440.48</v>
      </c>
      <c r="AB22" s="53" t="inlineStr">
        <is>
          <t>FALSE</t>
        </is>
      </c>
      <c r="AC22" s="53" t="inlineStr">
        <is>
          <t>FALSE</t>
        </is>
      </c>
    </row>
    <row r="23">
      <c r="A23" s="53" t="inlineStr">
        <is>
          <t>2026-06-17</t>
        </is>
      </c>
      <c r="B23" s="53" t="inlineStr">
        <is>
          <t>2863703</t>
        </is>
      </c>
      <c r="C23" s="53" t="inlineStr">
        <is>
          <t>DS.2026.2422 10814 McPherson St</t>
        </is>
      </c>
      <c r="D23" s="53" t="inlineStr">
        <is>
          <t>DW</t>
        </is>
      </c>
      <c r="E23" s="53" t="inlineStr">
        <is>
          <t>(Unassigned)</t>
        </is>
      </c>
      <c r="F23" s="53" t="inlineStr">
        <is>
          <t>Precision Dry Wall</t>
        </is>
      </c>
      <c r="G23" s="53" t="inlineStr">
        <is>
          <t>ACTIVE</t>
        </is>
      </c>
      <c r="H23" s="53" t="n">
        <v>2440.48</v>
      </c>
      <c r="I23" s="53" t="n">
        <v>0</v>
      </c>
      <c r="J23" s="53" t="n">
        <v>2440.48</v>
      </c>
      <c r="K23" s="53" t="n">
        <v>0</v>
      </c>
      <c r="L23" s="53" t="n">
        <v>0</v>
      </c>
      <c r="M23" s="53" t="n">
        <v>1410.6</v>
      </c>
      <c r="N23" s="53" t="n">
        <v>0</v>
      </c>
      <c r="O23" s="53" t="n">
        <v>0</v>
      </c>
      <c r="P23" s="53" t="n">
        <v>-2440.48</v>
      </c>
      <c r="Q23" s="53" t="n">
        <v>0</v>
      </c>
      <c r="R23" s="53" t="n">
        <v>2440.48</v>
      </c>
      <c r="S23" s="53" t="n">
        <v>0</v>
      </c>
      <c r="T23" s="53" t="n">
        <v>1029.88</v>
      </c>
      <c r="U23" s="53" t="n">
        <v>0.422</v>
      </c>
      <c r="V23" s="53" t="n">
        <v>100</v>
      </c>
      <c r="W23" s="53" t="n">
        <v>0.041</v>
      </c>
      <c r="X23" s="53" t="n">
        <v>0</v>
      </c>
      <c r="Y23" s="53" t="n">
        <v>0</v>
      </c>
      <c r="Z23" s="53" t="n">
        <v>0</v>
      </c>
      <c r="AA23" s="53" t="n">
        <v>2440.48</v>
      </c>
      <c r="AB23" s="53" t="inlineStr">
        <is>
          <t>FALSE</t>
        </is>
      </c>
      <c r="AC23" s="53" t="inlineStr">
        <is>
          <t>FALSE</t>
        </is>
      </c>
    </row>
    <row r="24">
      <c r="A24" s="53" t="inlineStr">
        <is>
          <t>2026-06-17</t>
        </is>
      </c>
      <c r="B24" s="53" t="inlineStr">
        <is>
          <t>2863678</t>
        </is>
      </c>
      <c r="C24" s="53" t="inlineStr">
        <is>
          <t>DS.2026.2421 Flores Ohio Job</t>
        </is>
      </c>
      <c r="D24" s="53" t="inlineStr">
        <is>
          <t>DW</t>
        </is>
      </c>
      <c r="E24" s="53" t="inlineStr">
        <is>
          <t>(Unassigned)</t>
        </is>
      </c>
      <c r="F24" s="53" t="inlineStr">
        <is>
          <t>Flores Drywall and Remodeling LLC</t>
        </is>
      </c>
      <c r="G24" s="53" t="inlineStr">
        <is>
          <t>ACTIVE</t>
        </is>
      </c>
      <c r="H24" s="53" t="n">
        <v>8624.08</v>
      </c>
      <c r="I24" s="53" t="n">
        <v>0</v>
      </c>
      <c r="J24" s="53" t="n">
        <v>8624.08</v>
      </c>
      <c r="K24" s="53" t="n">
        <v>0</v>
      </c>
      <c r="L24" s="53" t="n">
        <v>0</v>
      </c>
      <c r="M24" s="53" t="n">
        <v>6153</v>
      </c>
      <c r="N24" s="53" t="n">
        <v>0</v>
      </c>
      <c r="O24" s="53" t="n">
        <v>0</v>
      </c>
      <c r="P24" s="53" t="n">
        <v>-8624.08</v>
      </c>
      <c r="Q24" s="53" t="n">
        <v>0</v>
      </c>
      <c r="R24" s="53" t="n">
        <v>8624.08</v>
      </c>
      <c r="S24" s="53" t="n">
        <v>0</v>
      </c>
      <c r="T24" s="53" t="n">
        <v>2471.08</v>
      </c>
      <c r="U24" s="53" t="n">
        <v>0.2865</v>
      </c>
      <c r="V24" s="53" t="n">
        <v>100</v>
      </c>
      <c r="W24" s="53" t="n">
        <v>0.0116</v>
      </c>
      <c r="X24" s="53" t="n">
        <v>0</v>
      </c>
      <c r="Y24" s="53" t="n">
        <v>0</v>
      </c>
      <c r="Z24" s="53" t="n">
        <v>0</v>
      </c>
      <c r="AA24" s="53" t="n">
        <v>8624.08</v>
      </c>
      <c r="AB24" s="53" t="inlineStr">
        <is>
          <t>FALSE</t>
        </is>
      </c>
      <c r="AC24" s="53" t="inlineStr">
        <is>
          <t>FALSE</t>
        </is>
      </c>
    </row>
    <row r="25">
      <c r="A25" s="53" t="inlineStr">
        <is>
          <t>2026-06-17</t>
        </is>
      </c>
      <c r="B25" s="53" t="inlineStr">
        <is>
          <t>2852408</t>
        </is>
      </c>
      <c r="C25" s="53" t="inlineStr">
        <is>
          <t>DS.2026.2420 7508 Central Ave</t>
        </is>
      </c>
      <c r="D25" s="53" t="inlineStr">
        <is>
          <t>DW</t>
        </is>
      </c>
      <c r="E25" s="53" t="inlineStr">
        <is>
          <t>(Unassigned)</t>
        </is>
      </c>
      <c r="F25" s="53" t="inlineStr">
        <is>
          <t>Precision Dry Wall</t>
        </is>
      </c>
      <c r="G25" s="53" t="inlineStr">
        <is>
          <t>ACTIVE</t>
        </is>
      </c>
      <c r="H25" s="53" t="n">
        <v>4040.48</v>
      </c>
      <c r="I25" s="53" t="n">
        <v>0</v>
      </c>
      <c r="J25" s="53" t="n">
        <v>4040.48</v>
      </c>
      <c r="K25" s="53" t="n">
        <v>0</v>
      </c>
      <c r="L25" s="53" t="n">
        <v>0</v>
      </c>
      <c r="M25" s="53" t="n">
        <v>2427.56</v>
      </c>
      <c r="N25" s="53" t="n">
        <v>0</v>
      </c>
      <c r="O25" s="53" t="n">
        <v>0</v>
      </c>
      <c r="P25" s="53" t="n">
        <v>-4040.48</v>
      </c>
      <c r="Q25" s="53" t="n">
        <v>0</v>
      </c>
      <c r="R25" s="53" t="n">
        <v>4040.48</v>
      </c>
      <c r="S25" s="53" t="n">
        <v>0</v>
      </c>
      <c r="T25" s="53" t="n">
        <v>1612.92</v>
      </c>
      <c r="U25" s="53" t="n">
        <v>0.3992</v>
      </c>
      <c r="V25" s="53" t="n">
        <v>100</v>
      </c>
      <c r="W25" s="53" t="n">
        <v>0.0247</v>
      </c>
      <c r="X25" s="53" t="n">
        <v>0</v>
      </c>
      <c r="Y25" s="53" t="n">
        <v>0</v>
      </c>
      <c r="Z25" s="53" t="n">
        <v>0</v>
      </c>
      <c r="AA25" s="53" t="n">
        <v>4040.48</v>
      </c>
      <c r="AB25" s="53" t="inlineStr">
        <is>
          <t>FALSE</t>
        </is>
      </c>
      <c r="AC25" s="53" t="inlineStr">
        <is>
          <t>FALSE</t>
        </is>
      </c>
    </row>
    <row r="26">
      <c r="A26" s="53" t="inlineStr">
        <is>
          <t>2026-06-17</t>
        </is>
      </c>
      <c r="B26" s="53" t="inlineStr">
        <is>
          <t>2852375</t>
        </is>
      </c>
      <c r="C26" s="53" t="inlineStr">
        <is>
          <t>DS.2026.2419 120 Centre Place</t>
        </is>
      </c>
      <c r="D26" s="53" t="inlineStr">
        <is>
          <t>DW</t>
        </is>
      </c>
      <c r="E26" s="53" t="inlineStr">
        <is>
          <t>(Unassigned)</t>
        </is>
      </c>
      <c r="F26" s="53" t="inlineStr">
        <is>
          <t>Flores Drywall and Remodeling LLC</t>
        </is>
      </c>
      <c r="G26" s="53" t="inlineStr">
        <is>
          <t>ACTIVE</t>
        </is>
      </c>
      <c r="H26" s="53" t="n">
        <v>3804.32</v>
      </c>
      <c r="I26" s="53" t="n">
        <v>0</v>
      </c>
      <c r="J26" s="53" t="n">
        <v>3804.32</v>
      </c>
      <c r="K26" s="53" t="n">
        <v>0</v>
      </c>
      <c r="L26" s="53" t="n">
        <v>0</v>
      </c>
      <c r="M26" s="53" t="n">
        <v>3804.32</v>
      </c>
      <c r="N26" s="53" t="n">
        <v>0</v>
      </c>
      <c r="O26" s="53" t="n">
        <v>0</v>
      </c>
      <c r="P26" s="53" t="n">
        <v>-3804.32</v>
      </c>
      <c r="Q26" s="53" t="n">
        <v>0</v>
      </c>
      <c r="R26" s="53" t="n">
        <v>3804.32</v>
      </c>
      <c r="S26" s="53" t="n">
        <v>0</v>
      </c>
      <c r="T26" s="53" t="n">
        <v>0</v>
      </c>
      <c r="U26" s="53" t="n">
        <v>0</v>
      </c>
      <c r="V26" s="53" t="n">
        <v>100</v>
      </c>
      <c r="W26" s="53" t="n">
        <v>0.0263</v>
      </c>
      <c r="X26" s="53" t="n">
        <v>0</v>
      </c>
      <c r="Y26" s="53" t="n">
        <v>0</v>
      </c>
      <c r="Z26" s="53" t="n">
        <v>0</v>
      </c>
      <c r="AA26" s="53" t="n">
        <v>3804.32</v>
      </c>
      <c r="AB26" s="53" t="inlineStr">
        <is>
          <t>FALSE</t>
        </is>
      </c>
      <c r="AC26" s="53" t="inlineStr">
        <is>
          <t>FALSE</t>
        </is>
      </c>
    </row>
    <row r="27">
      <c r="A27" s="53" t="inlineStr">
        <is>
          <t>2026-06-17</t>
        </is>
      </c>
      <c r="B27" s="53" t="inlineStr">
        <is>
          <t>2844284</t>
        </is>
      </c>
      <c r="C27" s="53" t="inlineStr">
        <is>
          <t>DS.2026.2418 118 Centre Place</t>
        </is>
      </c>
      <c r="D27" s="53" t="inlineStr">
        <is>
          <t>DW</t>
        </is>
      </c>
      <c r="E27" s="53" t="inlineStr">
        <is>
          <t>(Unassigned)</t>
        </is>
      </c>
      <c r="F27" s="53" t="inlineStr">
        <is>
          <t>Flores Drywall and Remodeling LLC</t>
        </is>
      </c>
      <c r="G27" s="53" t="inlineStr">
        <is>
          <t>ACTIVE</t>
        </is>
      </c>
      <c r="H27" s="53" t="n">
        <v>5159.58</v>
      </c>
      <c r="I27" s="53" t="n">
        <v>0</v>
      </c>
      <c r="J27" s="53" t="n">
        <v>5159.58</v>
      </c>
      <c r="K27" s="53" t="n">
        <v>0</v>
      </c>
      <c r="L27" s="53" t="n">
        <v>0</v>
      </c>
      <c r="M27" s="53" t="n">
        <v>3802.57</v>
      </c>
      <c r="N27" s="53" t="n">
        <v>0</v>
      </c>
      <c r="O27" s="53" t="n">
        <v>0</v>
      </c>
      <c r="P27" s="53" t="n">
        <v>-5159.58</v>
      </c>
      <c r="Q27" s="53" t="n">
        <v>0</v>
      </c>
      <c r="R27" s="53" t="n">
        <v>5159.58</v>
      </c>
      <c r="S27" s="53" t="n">
        <v>0</v>
      </c>
      <c r="T27" s="53" t="n">
        <v>1357.01</v>
      </c>
      <c r="U27" s="53" t="n">
        <v>0.263</v>
      </c>
      <c r="V27" s="53" t="n">
        <v>100</v>
      </c>
      <c r="W27" s="53" t="n">
        <v>0.0194</v>
      </c>
      <c r="X27" s="53" t="n">
        <v>0</v>
      </c>
      <c r="Y27" s="53" t="n">
        <v>0</v>
      </c>
      <c r="Z27" s="53" t="n">
        <v>0</v>
      </c>
      <c r="AA27" s="53" t="n">
        <v>5159.58</v>
      </c>
      <c r="AB27" s="53" t="inlineStr">
        <is>
          <t>FALSE</t>
        </is>
      </c>
      <c r="AC27" s="53" t="inlineStr">
        <is>
          <t>FALSE</t>
        </is>
      </c>
    </row>
    <row r="28">
      <c r="A28" s="53" t="inlineStr">
        <is>
          <t>2026-06-17</t>
        </is>
      </c>
      <c r="B28" s="53" t="inlineStr">
        <is>
          <t>2844272</t>
        </is>
      </c>
      <c r="C28" s="53" t="inlineStr">
        <is>
          <t>DS.2026.2417 117 Centre Place</t>
        </is>
      </c>
      <c r="D28" s="53" t="inlineStr">
        <is>
          <t>DW</t>
        </is>
      </c>
      <c r="E28" s="53" t="inlineStr">
        <is>
          <t>(Unassigned)</t>
        </is>
      </c>
      <c r="F28" s="53" t="inlineStr">
        <is>
          <t>Flores Drywall and Remodeling LLC</t>
        </is>
      </c>
      <c r="G28" s="53" t="inlineStr">
        <is>
          <t>ACTIVE</t>
        </is>
      </c>
      <c r="H28" s="53" t="n">
        <v>3804.32</v>
      </c>
      <c r="I28" s="53" t="n">
        <v>0</v>
      </c>
      <c r="J28" s="53" t="n">
        <v>3804.32</v>
      </c>
      <c r="K28" s="53" t="n">
        <v>0</v>
      </c>
      <c r="L28" s="53" t="n">
        <v>0</v>
      </c>
      <c r="M28" s="53" t="n">
        <v>2778.55</v>
      </c>
      <c r="N28" s="53" t="n">
        <v>0</v>
      </c>
      <c r="O28" s="53" t="n">
        <v>0</v>
      </c>
      <c r="P28" s="53" t="n">
        <v>-3804.32</v>
      </c>
      <c r="Q28" s="53" t="n">
        <v>0</v>
      </c>
      <c r="R28" s="53" t="n">
        <v>3804.32</v>
      </c>
      <c r="S28" s="53" t="n">
        <v>0</v>
      </c>
      <c r="T28" s="53" t="n">
        <v>1025.77</v>
      </c>
      <c r="U28" s="53" t="n">
        <v>0.2696</v>
      </c>
      <c r="V28" s="53" t="n">
        <v>100</v>
      </c>
      <c r="W28" s="53" t="n">
        <v>0.0263</v>
      </c>
      <c r="X28" s="53" t="n">
        <v>0</v>
      </c>
      <c r="Y28" s="53" t="n">
        <v>0</v>
      </c>
      <c r="Z28" s="53" t="n">
        <v>0</v>
      </c>
      <c r="AA28" s="53" t="n">
        <v>3804.32</v>
      </c>
      <c r="AB28" s="53" t="inlineStr">
        <is>
          <t>FALSE</t>
        </is>
      </c>
      <c r="AC28" s="53" t="inlineStr">
        <is>
          <t>FALSE</t>
        </is>
      </c>
    </row>
    <row r="29">
      <c r="A29" s="53" t="inlineStr">
        <is>
          <t>2026-06-17</t>
        </is>
      </c>
      <c r="B29" s="53" t="inlineStr">
        <is>
          <t>2844253</t>
        </is>
      </c>
      <c r="C29" s="53" t="inlineStr">
        <is>
          <t>DS.2026.2416 52 Centre Place</t>
        </is>
      </c>
      <c r="D29" s="53" t="inlineStr">
        <is>
          <t>DW</t>
        </is>
      </c>
      <c r="E29" s="53" t="inlineStr">
        <is>
          <t>(Unassigned)</t>
        </is>
      </c>
      <c r="F29" s="53" t="inlineStr">
        <is>
          <t>Flores Drywall and Remodeling LLC</t>
        </is>
      </c>
      <c r="G29" s="53" t="inlineStr">
        <is>
          <t>ACTIVE</t>
        </is>
      </c>
      <c r="H29" s="53" t="n">
        <v>5159.58</v>
      </c>
      <c r="I29" s="53" t="n">
        <v>0</v>
      </c>
      <c r="J29" s="53" t="n">
        <v>5159.58</v>
      </c>
      <c r="K29" s="53" t="n">
        <v>0</v>
      </c>
      <c r="L29" s="53" t="n">
        <v>0</v>
      </c>
      <c r="M29" s="53" t="n">
        <v>3802.57</v>
      </c>
      <c r="N29" s="53" t="n">
        <v>0</v>
      </c>
      <c r="O29" s="53" t="n">
        <v>0</v>
      </c>
      <c r="P29" s="53" t="n">
        <v>-5159.58</v>
      </c>
      <c r="Q29" s="53" t="n">
        <v>0</v>
      </c>
      <c r="R29" s="53" t="n">
        <v>5159.58</v>
      </c>
      <c r="S29" s="53" t="n">
        <v>0</v>
      </c>
      <c r="T29" s="53" t="n">
        <v>1357.01</v>
      </c>
      <c r="U29" s="53" t="n">
        <v>0.263</v>
      </c>
      <c r="V29" s="53" t="n">
        <v>100</v>
      </c>
      <c r="W29" s="53" t="n">
        <v>0.0194</v>
      </c>
      <c r="X29" s="53" t="n">
        <v>0</v>
      </c>
      <c r="Y29" s="53" t="n">
        <v>0</v>
      </c>
      <c r="Z29" s="53" t="n">
        <v>0</v>
      </c>
      <c r="AA29" s="53" t="n">
        <v>5159.58</v>
      </c>
      <c r="AB29" s="53" t="inlineStr">
        <is>
          <t>FALSE</t>
        </is>
      </c>
      <c r="AC29" s="53" t="inlineStr">
        <is>
          <t>FALSE</t>
        </is>
      </c>
    </row>
    <row r="30">
      <c r="A30" s="53" t="inlineStr">
        <is>
          <t>2026-06-17</t>
        </is>
      </c>
      <c r="B30" s="53" t="inlineStr">
        <is>
          <t>2844241</t>
        </is>
      </c>
      <c r="C30" s="53" t="inlineStr">
        <is>
          <t>DS.2026.2415 10826 McPherson St</t>
        </is>
      </c>
      <c r="D30" s="53" t="inlineStr">
        <is>
          <t>DW</t>
        </is>
      </c>
      <c r="E30" s="53" t="inlineStr">
        <is>
          <t>(Unassigned)</t>
        </is>
      </c>
      <c r="F30" s="53" t="inlineStr">
        <is>
          <t>Precision Dry Wall</t>
        </is>
      </c>
      <c r="G30" s="53" t="inlineStr">
        <is>
          <t>ACTIVE</t>
        </is>
      </c>
      <c r="H30" s="53" t="n">
        <v>2440.48</v>
      </c>
      <c r="I30" s="53" t="n">
        <v>0</v>
      </c>
      <c r="J30" s="53" t="n">
        <v>2440.48</v>
      </c>
      <c r="K30" s="53" t="n">
        <v>0</v>
      </c>
      <c r="L30" s="53" t="n">
        <v>0</v>
      </c>
      <c r="M30" s="53" t="n">
        <v>1410.6</v>
      </c>
      <c r="N30" s="53" t="n">
        <v>0</v>
      </c>
      <c r="O30" s="53" t="n">
        <v>0</v>
      </c>
      <c r="P30" s="53" t="n">
        <v>-2440.48</v>
      </c>
      <c r="Q30" s="53" t="n">
        <v>0</v>
      </c>
      <c r="R30" s="53" t="n">
        <v>2440.48</v>
      </c>
      <c r="S30" s="53" t="n">
        <v>0</v>
      </c>
      <c r="T30" s="53" t="n">
        <v>1029.88</v>
      </c>
      <c r="U30" s="53" t="n">
        <v>0.422</v>
      </c>
      <c r="V30" s="53" t="n">
        <v>100</v>
      </c>
      <c r="W30" s="53" t="n">
        <v>0.041</v>
      </c>
      <c r="X30" s="53" t="n">
        <v>0</v>
      </c>
      <c r="Y30" s="53" t="n">
        <v>0</v>
      </c>
      <c r="Z30" s="53" t="n">
        <v>0</v>
      </c>
      <c r="AA30" s="53" t="n">
        <v>2440.48</v>
      </c>
      <c r="AB30" s="53" t="inlineStr">
        <is>
          <t>FALSE</t>
        </is>
      </c>
      <c r="AC30" s="53" t="inlineStr">
        <is>
          <t>FALSE</t>
        </is>
      </c>
    </row>
    <row r="31">
      <c r="A31" s="53" t="inlineStr">
        <is>
          <t>2026-06-17</t>
        </is>
      </c>
      <c r="B31" s="53" t="inlineStr">
        <is>
          <t>2844222</t>
        </is>
      </c>
      <c r="C31" s="53" t="inlineStr">
        <is>
          <t>DS.2026.2414 10824 McPherson St</t>
        </is>
      </c>
      <c r="D31" s="53" t="inlineStr">
        <is>
          <t>DW</t>
        </is>
      </c>
      <c r="E31" s="53" t="inlineStr">
        <is>
          <t>(Unassigned)</t>
        </is>
      </c>
      <c r="F31" s="53" t="inlineStr">
        <is>
          <t>Precision Dry Wall</t>
        </is>
      </c>
      <c r="G31" s="53" t="inlineStr">
        <is>
          <t>ACTIVE</t>
        </is>
      </c>
      <c r="H31" s="53" t="n">
        <v>2440.48</v>
      </c>
      <c r="I31" s="53" t="n">
        <v>0</v>
      </c>
      <c r="J31" s="53" t="n">
        <v>2440.48</v>
      </c>
      <c r="K31" s="53" t="n">
        <v>0</v>
      </c>
      <c r="L31" s="53" t="n">
        <v>0</v>
      </c>
      <c r="M31" s="53" t="n">
        <v>1410.6</v>
      </c>
      <c r="N31" s="53" t="n">
        <v>0</v>
      </c>
      <c r="O31" s="53" t="n">
        <v>0</v>
      </c>
      <c r="P31" s="53" t="n">
        <v>-2440.48</v>
      </c>
      <c r="Q31" s="53" t="n">
        <v>0</v>
      </c>
      <c r="R31" s="53" t="n">
        <v>2440.48</v>
      </c>
      <c r="S31" s="53" t="n">
        <v>0</v>
      </c>
      <c r="T31" s="53" t="n">
        <v>1029.88</v>
      </c>
      <c r="U31" s="53" t="n">
        <v>0.422</v>
      </c>
      <c r="V31" s="53" t="n">
        <v>100</v>
      </c>
      <c r="W31" s="53" t="n">
        <v>0.041</v>
      </c>
      <c r="X31" s="53" t="n">
        <v>0</v>
      </c>
      <c r="Y31" s="53" t="n">
        <v>0</v>
      </c>
      <c r="Z31" s="53" t="n">
        <v>0</v>
      </c>
      <c r="AA31" s="53" t="n">
        <v>2440.48</v>
      </c>
      <c r="AB31" s="53" t="inlineStr">
        <is>
          <t>FALSE</t>
        </is>
      </c>
      <c r="AC31" s="53" t="inlineStr">
        <is>
          <t>FALSE</t>
        </is>
      </c>
    </row>
    <row r="32">
      <c r="A32" s="53" t="inlineStr">
        <is>
          <t>2026-06-17</t>
        </is>
      </c>
      <c r="B32" s="53" t="inlineStr">
        <is>
          <t>2834059</t>
        </is>
      </c>
      <c r="C32" s="53" t="inlineStr">
        <is>
          <t>DS.2026.2413 Precision Pickup 0501</t>
        </is>
      </c>
      <c r="D32" s="53" t="inlineStr">
        <is>
          <t>DW</t>
        </is>
      </c>
      <c r="E32" s="53" t="inlineStr">
        <is>
          <t>(Unassigned)</t>
        </is>
      </c>
      <c r="F32" s="53" t="inlineStr">
        <is>
          <t>Precision Dry Wall</t>
        </is>
      </c>
      <c r="G32" s="53" t="inlineStr">
        <is>
          <t>ACTIVE</t>
        </is>
      </c>
      <c r="H32" s="53" t="n">
        <v>1025.01</v>
      </c>
      <c r="I32" s="53" t="n">
        <v>0</v>
      </c>
      <c r="J32" s="53" t="n">
        <v>1025.01</v>
      </c>
      <c r="K32" s="53" t="n">
        <v>0</v>
      </c>
      <c r="L32" s="53" t="n">
        <v>0</v>
      </c>
      <c r="M32" s="53" t="n">
        <v>735.21</v>
      </c>
      <c r="N32" s="53" t="n">
        <v>0</v>
      </c>
      <c r="O32" s="53" t="n">
        <v>0</v>
      </c>
      <c r="P32" s="53" t="n">
        <v>-1025.01</v>
      </c>
      <c r="Q32" s="53" t="n">
        <v>0</v>
      </c>
      <c r="R32" s="53" t="n">
        <v>1025.01</v>
      </c>
      <c r="S32" s="53" t="n">
        <v>0</v>
      </c>
      <c r="T32" s="53" t="n">
        <v>289.8</v>
      </c>
      <c r="U32" s="53" t="n">
        <v>0.2827</v>
      </c>
      <c r="V32" s="53" t="n">
        <v>100</v>
      </c>
      <c r="W32" s="53" t="n">
        <v>0.09760000000000001</v>
      </c>
      <c r="X32" s="53" t="n">
        <v>0</v>
      </c>
      <c r="Y32" s="53" t="n">
        <v>0</v>
      </c>
      <c r="Z32" s="53" t="n">
        <v>0</v>
      </c>
      <c r="AA32" s="53" t="n">
        <v>1025.01</v>
      </c>
      <c r="AB32" s="53" t="inlineStr">
        <is>
          <t>FALSE</t>
        </is>
      </c>
      <c r="AC32" s="53" t="inlineStr">
        <is>
          <t>FALSE</t>
        </is>
      </c>
    </row>
    <row r="33">
      <c r="A33" s="53" t="inlineStr">
        <is>
          <t>2026-06-17</t>
        </is>
      </c>
      <c r="B33" s="53" t="inlineStr">
        <is>
          <t>2834016</t>
        </is>
      </c>
      <c r="C33" s="53" t="inlineStr">
        <is>
          <t>DS.2026.2412 10732 Heaven Cove Way</t>
        </is>
      </c>
      <c r="D33" s="53" t="inlineStr">
        <is>
          <t>DW</t>
        </is>
      </c>
      <c r="E33" s="53" t="inlineStr">
        <is>
          <t>(Unassigned)</t>
        </is>
      </c>
      <c r="F33" s="53" t="inlineStr">
        <is>
          <t>Precision Dry Wall</t>
        </is>
      </c>
      <c r="G33" s="53" t="inlineStr">
        <is>
          <t>ACTIVE</t>
        </is>
      </c>
      <c r="H33" s="53" t="n">
        <v>9353.41</v>
      </c>
      <c r="I33" s="53" t="n">
        <v>0</v>
      </c>
      <c r="J33" s="53" t="n">
        <v>9353.41</v>
      </c>
      <c r="K33" s="53" t="n">
        <v>0</v>
      </c>
      <c r="L33" s="53" t="n">
        <v>0</v>
      </c>
      <c r="M33" s="53" t="n">
        <v>6102.17</v>
      </c>
      <c r="N33" s="53" t="n">
        <v>0</v>
      </c>
      <c r="O33" s="53" t="n">
        <v>0</v>
      </c>
      <c r="P33" s="53" t="n">
        <v>-9353.41</v>
      </c>
      <c r="Q33" s="53" t="n">
        <v>0</v>
      </c>
      <c r="R33" s="53" t="n">
        <v>9353.41</v>
      </c>
      <c r="S33" s="53" t="n">
        <v>0</v>
      </c>
      <c r="T33" s="53" t="n">
        <v>3251.24</v>
      </c>
      <c r="U33" s="53" t="n">
        <v>0.3476</v>
      </c>
      <c r="V33" s="53" t="n">
        <v>100</v>
      </c>
      <c r="W33" s="53" t="n">
        <v>0.0107</v>
      </c>
      <c r="X33" s="53" t="n">
        <v>0</v>
      </c>
      <c r="Y33" s="53" t="n">
        <v>0</v>
      </c>
      <c r="Z33" s="53" t="n">
        <v>0</v>
      </c>
      <c r="AA33" s="53" t="n">
        <v>9353.41</v>
      </c>
      <c r="AB33" s="53" t="inlineStr">
        <is>
          <t>FALSE</t>
        </is>
      </c>
      <c r="AC33" s="53" t="inlineStr">
        <is>
          <t>FALSE</t>
        </is>
      </c>
    </row>
    <row r="34">
      <c r="A34" s="53" t="inlineStr">
        <is>
          <t>2026-06-17</t>
        </is>
      </c>
      <c r="B34" s="53" t="inlineStr">
        <is>
          <t>2818141</t>
        </is>
      </c>
      <c r="C34" s="53" t="inlineStr">
        <is>
          <t>DS.2026.2411 Clark Remodel</t>
        </is>
      </c>
      <c r="D34" s="53" t="inlineStr">
        <is>
          <t>DW</t>
        </is>
      </c>
      <c r="E34" s="53" t="inlineStr">
        <is>
          <t>(Unassigned)</t>
        </is>
      </c>
      <c r="F34" s="53" t="inlineStr">
        <is>
          <t>Flores Drywall and Remodeling LLC</t>
        </is>
      </c>
      <c r="G34" s="53" t="inlineStr">
        <is>
          <t>ACTIVE</t>
        </is>
      </c>
      <c r="H34" s="53" t="n">
        <v>3518.56</v>
      </c>
      <c r="I34" s="53" t="n">
        <v>0</v>
      </c>
      <c r="J34" s="53" t="n">
        <v>3518.56</v>
      </c>
      <c r="K34" s="53" t="n">
        <v>3764.86</v>
      </c>
      <c r="L34" s="53" t="n">
        <v>0</v>
      </c>
      <c r="M34" s="53" t="n">
        <v>2632.94</v>
      </c>
      <c r="N34" s="53" t="n">
        <v>0</v>
      </c>
      <c r="O34" s="53" t="n">
        <v>0</v>
      </c>
      <c r="P34" s="53" t="n">
        <v>-3518.56</v>
      </c>
      <c r="Q34" s="53" t="n">
        <v>0</v>
      </c>
      <c r="R34" s="53" t="n">
        <v>3518.56</v>
      </c>
      <c r="S34" s="53" t="n">
        <v>0</v>
      </c>
      <c r="T34" s="53" t="n">
        <v>885.62</v>
      </c>
      <c r="U34" s="53" t="n">
        <v>0.2517</v>
      </c>
      <c r="V34" s="53" t="n">
        <v>100</v>
      </c>
      <c r="W34" s="53" t="n">
        <v>0.0284</v>
      </c>
      <c r="X34" s="53" t="n">
        <v>0</v>
      </c>
      <c r="Y34" s="53" t="n">
        <v>0</v>
      </c>
      <c r="Z34" s="53" t="n">
        <v>0</v>
      </c>
      <c r="AA34" s="53" t="n">
        <v>-246.3</v>
      </c>
      <c r="AB34" s="53" t="inlineStr">
        <is>
          <t>FALSE</t>
        </is>
      </c>
      <c r="AC34" s="53" t="inlineStr">
        <is>
          <t>FALSE</t>
        </is>
      </c>
    </row>
    <row r="35">
      <c r="A35" s="53" t="inlineStr">
        <is>
          <t>2026-06-17</t>
        </is>
      </c>
      <c r="B35" s="53" t="inlineStr">
        <is>
          <t>2803284</t>
        </is>
      </c>
      <c r="C35" s="53" t="inlineStr">
        <is>
          <t>2026.1053 Lot 32 Vacant TI</t>
        </is>
      </c>
      <c r="D35" s="53" t="inlineStr">
        <is>
          <t>TI</t>
        </is>
      </c>
      <c r="E35" s="53" t="inlineStr">
        <is>
          <t>Spencer Anderson</t>
        </is>
      </c>
      <c r="F35" s="53" t="inlineStr">
        <is>
          <t>Holladay Construction Group</t>
        </is>
      </c>
      <c r="G35" s="53" t="inlineStr">
        <is>
          <t>ACTIVE</t>
        </is>
      </c>
      <c r="H35" s="53" t="n">
        <v>126210</v>
      </c>
      <c r="I35" s="53" t="n">
        <v>0</v>
      </c>
      <c r="J35" s="53" t="n">
        <v>0</v>
      </c>
      <c r="K35" s="53" t="n">
        <v>0</v>
      </c>
      <c r="L35" s="53" t="n">
        <v>68244</v>
      </c>
      <c r="M35" s="53" t="n">
        <v>24185.09</v>
      </c>
      <c r="N35" s="53" t="n">
        <v>0.3544</v>
      </c>
      <c r="O35" s="53" t="n">
        <v>44728.82</v>
      </c>
      <c r="P35" s="53" t="n">
        <v>44728.82</v>
      </c>
      <c r="Q35" s="53" t="n">
        <v>44727.74</v>
      </c>
      <c r="R35" s="53" t="n">
        <v>0</v>
      </c>
      <c r="S35" s="53" t="n">
        <v>44728.82</v>
      </c>
      <c r="T35" s="53" t="n">
        <v>-24185.09</v>
      </c>
      <c r="U35" s="53" t="n">
        <v>0</v>
      </c>
      <c r="V35" s="53" t="n">
        <v>45.93</v>
      </c>
      <c r="W35" s="53" t="n">
        <v>0.0004</v>
      </c>
      <c r="X35" s="53" t="n">
        <v>0.4593</v>
      </c>
      <c r="Y35" s="53" t="n">
        <v>-0.4589</v>
      </c>
      <c r="Z35" s="53" t="n">
        <v>0</v>
      </c>
      <c r="AA35" s="53" t="n">
        <v>0</v>
      </c>
      <c r="AB35" s="53" t="inlineStr">
        <is>
          <t>TRUE</t>
        </is>
      </c>
      <c r="AC35" s="53" t="inlineStr">
        <is>
          <t>TRUE</t>
        </is>
      </c>
    </row>
    <row r="36">
      <c r="A36" s="53" t="inlineStr">
        <is>
          <t>2026-06-17</t>
        </is>
      </c>
      <c r="B36" s="53" t="inlineStr">
        <is>
          <t>2796562</t>
        </is>
      </c>
      <c r="C36" s="53" t="inlineStr">
        <is>
          <t>DS.2026.2410 Courtyards of Russell Oaks 113</t>
        </is>
      </c>
      <c r="D36" s="53" t="inlineStr">
        <is>
          <t>DW</t>
        </is>
      </c>
      <c r="E36" s="53" t="inlineStr">
        <is>
          <t>(Unassigned)</t>
        </is>
      </c>
      <c r="F36" s="53" t="inlineStr">
        <is>
          <t>Big Dawg Drywall</t>
        </is>
      </c>
      <c r="G36" s="53" t="inlineStr">
        <is>
          <t>ACTIVE</t>
        </is>
      </c>
      <c r="H36" s="53" t="n">
        <v>7088.8</v>
      </c>
      <c r="I36" s="53" t="n">
        <v>0</v>
      </c>
      <c r="J36" s="53" t="n">
        <v>7088.8</v>
      </c>
      <c r="K36" s="53" t="n">
        <v>7585.02</v>
      </c>
      <c r="L36" s="53" t="n">
        <v>0</v>
      </c>
      <c r="M36" s="53" t="n">
        <v>5604.04</v>
      </c>
      <c r="N36" s="53" t="n">
        <v>0</v>
      </c>
      <c r="O36" s="53" t="n">
        <v>0</v>
      </c>
      <c r="P36" s="53" t="n">
        <v>-7088.8</v>
      </c>
      <c r="Q36" s="53" t="n">
        <v>0</v>
      </c>
      <c r="R36" s="53" t="n">
        <v>7088.8</v>
      </c>
      <c r="S36" s="53" t="n">
        <v>0</v>
      </c>
      <c r="T36" s="53" t="n">
        <v>1484.76</v>
      </c>
      <c r="U36" s="53" t="n">
        <v>0.2095</v>
      </c>
      <c r="V36" s="53" t="n">
        <v>100</v>
      </c>
      <c r="W36" s="53" t="n">
        <v>0.0141</v>
      </c>
      <c r="X36" s="53" t="n">
        <v>0</v>
      </c>
      <c r="Y36" s="53" t="n">
        <v>0</v>
      </c>
      <c r="Z36" s="53" t="n">
        <v>0</v>
      </c>
      <c r="AA36" s="53" t="n">
        <v>-496.22</v>
      </c>
      <c r="AB36" s="53" t="inlineStr">
        <is>
          <t>FALSE</t>
        </is>
      </c>
      <c r="AC36" s="53" t="inlineStr">
        <is>
          <t>FALSE</t>
        </is>
      </c>
    </row>
    <row r="37">
      <c r="A37" s="53" t="inlineStr">
        <is>
          <t>2026-06-17</t>
        </is>
      </c>
      <c r="B37" s="53" t="inlineStr">
        <is>
          <t>2796526</t>
        </is>
      </c>
      <c r="C37" s="53" t="inlineStr">
        <is>
          <t>DS.2026.2409 Precision Pickup 0410</t>
        </is>
      </c>
      <c r="D37" s="53" t="inlineStr">
        <is>
          <t>DW</t>
        </is>
      </c>
      <c r="E37" s="53" t="inlineStr">
        <is>
          <t>(Unassigned)</t>
        </is>
      </c>
      <c r="F37" s="53" t="inlineStr">
        <is>
          <t>Precision Dry Wall</t>
        </is>
      </c>
      <c r="G37" s="53" t="inlineStr">
        <is>
          <t>ACTIVE</t>
        </is>
      </c>
      <c r="H37" s="53" t="n">
        <v>100.8</v>
      </c>
      <c r="I37" s="53" t="n">
        <v>0</v>
      </c>
      <c r="J37" s="53" t="n">
        <v>100.8</v>
      </c>
      <c r="K37" s="53" t="n">
        <v>107.86</v>
      </c>
      <c r="L37" s="53" t="n">
        <v>0</v>
      </c>
      <c r="M37" s="53" t="n">
        <v>94.08</v>
      </c>
      <c r="N37" s="53" t="n">
        <v>0</v>
      </c>
      <c r="O37" s="53" t="n">
        <v>0</v>
      </c>
      <c r="P37" s="53" t="n">
        <v>-100.8</v>
      </c>
      <c r="Q37" s="53" t="n">
        <v>0</v>
      </c>
      <c r="R37" s="53" t="n">
        <v>100.8</v>
      </c>
      <c r="S37" s="53" t="n">
        <v>0</v>
      </c>
      <c r="T37" s="53" t="n">
        <v>6.72</v>
      </c>
      <c r="U37" s="53" t="n">
        <v>0.0667</v>
      </c>
      <c r="V37" s="53" t="n">
        <v>100</v>
      </c>
      <c r="W37" s="53" t="n">
        <v>0.9921</v>
      </c>
      <c r="X37" s="53" t="n">
        <v>0</v>
      </c>
      <c r="Y37" s="53" t="n">
        <v>0</v>
      </c>
      <c r="Z37" s="53" t="n">
        <v>0</v>
      </c>
      <c r="AA37" s="53" t="n">
        <v>-7.06</v>
      </c>
      <c r="AB37" s="53" t="inlineStr">
        <is>
          <t>FALSE</t>
        </is>
      </c>
      <c r="AC37" s="53" t="inlineStr">
        <is>
          <t>FALSE</t>
        </is>
      </c>
    </row>
    <row r="38">
      <c r="A38" s="53" t="inlineStr">
        <is>
          <t>2026-06-17</t>
        </is>
      </c>
      <c r="B38" s="53" t="inlineStr">
        <is>
          <t>2782708</t>
        </is>
      </c>
      <c r="C38" s="53" t="inlineStr">
        <is>
          <t>DS.2026.2408 Courtyards of Westfield 107</t>
        </is>
      </c>
      <c r="D38" s="53" t="inlineStr">
        <is>
          <t>DW</t>
        </is>
      </c>
      <c r="E38" s="53" t="inlineStr">
        <is>
          <t>(Unassigned)</t>
        </is>
      </c>
      <c r="F38" s="53" t="inlineStr">
        <is>
          <t>Big Dawg Drywall</t>
        </is>
      </c>
      <c r="G38" s="53" t="inlineStr">
        <is>
          <t>ACTIVE</t>
        </is>
      </c>
      <c r="H38" s="53" t="n">
        <v>6501.79</v>
      </c>
      <c r="I38" s="53" t="n">
        <v>0</v>
      </c>
      <c r="J38" s="53" t="n">
        <v>6501.79</v>
      </c>
      <c r="K38" s="53" t="n">
        <v>6956.92</v>
      </c>
      <c r="L38" s="53" t="n">
        <v>0</v>
      </c>
      <c r="M38" s="53" t="n">
        <v>4825.36</v>
      </c>
      <c r="N38" s="53" t="n">
        <v>0</v>
      </c>
      <c r="O38" s="53" t="n">
        <v>0</v>
      </c>
      <c r="P38" s="53" t="n">
        <v>-6501.79</v>
      </c>
      <c r="Q38" s="53" t="n">
        <v>0</v>
      </c>
      <c r="R38" s="53" t="n">
        <v>6501.79</v>
      </c>
      <c r="S38" s="53" t="n">
        <v>0</v>
      </c>
      <c r="T38" s="53" t="n">
        <v>1676.43</v>
      </c>
      <c r="U38" s="53" t="n">
        <v>0.2578</v>
      </c>
      <c r="V38" s="53" t="n">
        <v>100</v>
      </c>
      <c r="W38" s="53" t="n">
        <v>0.0154</v>
      </c>
      <c r="X38" s="53" t="n">
        <v>0</v>
      </c>
      <c r="Y38" s="53" t="n">
        <v>0</v>
      </c>
      <c r="Z38" s="53" t="n">
        <v>0</v>
      </c>
      <c r="AA38" s="53" t="n">
        <v>-455.13</v>
      </c>
      <c r="AB38" s="53" t="inlineStr">
        <is>
          <t>FALSE</t>
        </is>
      </c>
      <c r="AC38" s="53" t="inlineStr">
        <is>
          <t>FALSE</t>
        </is>
      </c>
    </row>
    <row r="39">
      <c r="A39" s="53" t="inlineStr">
        <is>
          <t>2026-06-17</t>
        </is>
      </c>
      <c r="B39" s="53" t="inlineStr">
        <is>
          <t>2782668</t>
        </is>
      </c>
      <c r="C39" s="53" t="inlineStr">
        <is>
          <t>DS.2026.2407 Courtyards of Russel Oaks 126</t>
        </is>
      </c>
      <c r="D39" s="53" t="inlineStr">
        <is>
          <t>DW</t>
        </is>
      </c>
      <c r="E39" s="53" t="inlineStr">
        <is>
          <t>(Unassigned)</t>
        </is>
      </c>
      <c r="F39" s="53" t="inlineStr">
        <is>
          <t>Big Dawg Drywall</t>
        </is>
      </c>
      <c r="G39" s="53" t="inlineStr">
        <is>
          <t>ACTIVE</t>
        </is>
      </c>
      <c r="H39" s="53" t="n">
        <v>5540.58</v>
      </c>
      <c r="I39" s="53" t="n">
        <v>0</v>
      </c>
      <c r="J39" s="53" t="n">
        <v>5540.58</v>
      </c>
      <c r="K39" s="53" t="n">
        <v>0</v>
      </c>
      <c r="L39" s="53" t="n">
        <v>0</v>
      </c>
      <c r="M39" s="53" t="n">
        <v>4142.66</v>
      </c>
      <c r="N39" s="53" t="n">
        <v>0</v>
      </c>
      <c r="O39" s="53" t="n">
        <v>0</v>
      </c>
      <c r="P39" s="53" t="n">
        <v>-5540.58</v>
      </c>
      <c r="Q39" s="53" t="n">
        <v>0</v>
      </c>
      <c r="R39" s="53" t="n">
        <v>5540.58</v>
      </c>
      <c r="S39" s="53" t="n">
        <v>0</v>
      </c>
      <c r="T39" s="53" t="n">
        <v>1397.92</v>
      </c>
      <c r="U39" s="53" t="n">
        <v>0.2523</v>
      </c>
      <c r="V39" s="53" t="n">
        <v>100</v>
      </c>
      <c r="W39" s="53" t="n">
        <v>0.018</v>
      </c>
      <c r="X39" s="53" t="n">
        <v>0</v>
      </c>
      <c r="Y39" s="53" t="n">
        <v>0</v>
      </c>
      <c r="Z39" s="53" t="n">
        <v>0</v>
      </c>
      <c r="AA39" s="53" t="n">
        <v>5540.58</v>
      </c>
      <c r="AB39" s="53" t="inlineStr">
        <is>
          <t>FALSE</t>
        </is>
      </c>
      <c r="AC39" s="53" t="inlineStr">
        <is>
          <t>FALSE</t>
        </is>
      </c>
    </row>
    <row r="40">
      <c r="A40" s="53" t="inlineStr">
        <is>
          <t>2026-06-17</t>
        </is>
      </c>
      <c r="B40" s="53" t="inlineStr">
        <is>
          <t>2763556</t>
        </is>
      </c>
      <c r="C40" s="53" t="inlineStr">
        <is>
          <t>DS.2026.2406 Premier Custom Homes Quote</t>
        </is>
      </c>
      <c r="D40" s="53" t="inlineStr">
        <is>
          <t>UN</t>
        </is>
      </c>
      <c r="E40" s="53" t="inlineStr">
        <is>
          <t>(Unassigned)</t>
        </is>
      </c>
      <c r="F40" s="53" t="inlineStr">
        <is>
          <t>Premier Custom Homes</t>
        </is>
      </c>
      <c r="G40" s="53" t="inlineStr">
        <is>
          <t>ACTIVE</t>
        </is>
      </c>
      <c r="H40" s="53" t="n">
        <v>16133.4</v>
      </c>
      <c r="I40" s="53" t="n">
        <v>0</v>
      </c>
      <c r="J40" s="53" t="n">
        <v>16133.4</v>
      </c>
      <c r="K40" s="53" t="n">
        <v>17262.74</v>
      </c>
      <c r="L40" s="53" t="n">
        <v>0</v>
      </c>
      <c r="M40" s="53" t="n">
        <v>13255.7</v>
      </c>
      <c r="N40" s="53" t="n">
        <v>0</v>
      </c>
      <c r="O40" s="53" t="n">
        <v>0</v>
      </c>
      <c r="P40" s="53" t="n">
        <v>-16133.4</v>
      </c>
      <c r="Q40" s="53" t="n">
        <v>0</v>
      </c>
      <c r="R40" s="53" t="n">
        <v>16133.4</v>
      </c>
      <c r="S40" s="53" t="n">
        <v>0</v>
      </c>
      <c r="T40" s="53" t="n">
        <v>2877.7</v>
      </c>
      <c r="U40" s="53" t="n">
        <v>0.1784</v>
      </c>
      <c r="V40" s="53" t="n">
        <v>100</v>
      </c>
      <c r="W40" s="53" t="n">
        <v>0.0062</v>
      </c>
      <c r="X40" s="53" t="n">
        <v>0</v>
      </c>
      <c r="Y40" s="53" t="n">
        <v>0</v>
      </c>
      <c r="Z40" s="53" t="n">
        <v>0</v>
      </c>
      <c r="AA40" s="53" t="n">
        <v>-1129.34</v>
      </c>
      <c r="AB40" s="53" t="inlineStr">
        <is>
          <t>FALSE</t>
        </is>
      </c>
      <c r="AC40" s="53" t="inlineStr">
        <is>
          <t>FALSE</t>
        </is>
      </c>
    </row>
    <row r="41">
      <c r="A41" s="53" t="inlineStr">
        <is>
          <t>2026-06-17</t>
        </is>
      </c>
      <c r="B41" s="53" t="inlineStr">
        <is>
          <t>2762554</t>
        </is>
      </c>
      <c r="C41" s="53" t="inlineStr">
        <is>
          <t>DS.2026.2405 21569 Anchor Bay Drive</t>
        </is>
      </c>
      <c r="D41" s="53" t="inlineStr">
        <is>
          <t>DW</t>
        </is>
      </c>
      <c r="E41" s="53" t="inlineStr">
        <is>
          <t>(Unassigned)</t>
        </is>
      </c>
      <c r="F41" s="53" t="inlineStr">
        <is>
          <t>Precision Dry Wall</t>
        </is>
      </c>
      <c r="G41" s="53" t="inlineStr">
        <is>
          <t>ACTIVE</t>
        </is>
      </c>
      <c r="H41" s="53" t="n">
        <v>6573.38</v>
      </c>
      <c r="I41" s="53" t="n">
        <v>0</v>
      </c>
      <c r="J41" s="53" t="n">
        <v>6573.38</v>
      </c>
      <c r="K41" s="53" t="n">
        <v>7033.52</v>
      </c>
      <c r="L41" s="53" t="n">
        <v>0</v>
      </c>
      <c r="M41" s="53" t="n">
        <v>4396.3</v>
      </c>
      <c r="N41" s="53" t="n">
        <v>0</v>
      </c>
      <c r="O41" s="53" t="n">
        <v>0</v>
      </c>
      <c r="P41" s="53" t="n">
        <v>-6573.38</v>
      </c>
      <c r="Q41" s="53" t="n">
        <v>0</v>
      </c>
      <c r="R41" s="53" t="n">
        <v>6573.38</v>
      </c>
      <c r="S41" s="53" t="n">
        <v>0</v>
      </c>
      <c r="T41" s="53" t="n">
        <v>2177.08</v>
      </c>
      <c r="U41" s="53" t="n">
        <v>0.3312</v>
      </c>
      <c r="V41" s="53" t="n">
        <v>100</v>
      </c>
      <c r="W41" s="53" t="n">
        <v>0.0152</v>
      </c>
      <c r="X41" s="53" t="n">
        <v>0</v>
      </c>
      <c r="Y41" s="53" t="n">
        <v>0</v>
      </c>
      <c r="Z41" s="53" t="n">
        <v>0</v>
      </c>
      <c r="AA41" s="53" t="n">
        <v>-460.14</v>
      </c>
      <c r="AB41" s="53" t="inlineStr">
        <is>
          <t>FALSE</t>
        </is>
      </c>
      <c r="AC41" s="53" t="inlineStr">
        <is>
          <t>FALSE</t>
        </is>
      </c>
    </row>
    <row r="42">
      <c r="A42" s="53" t="inlineStr">
        <is>
          <t>2026-06-17</t>
        </is>
      </c>
      <c r="B42" s="53" t="inlineStr">
        <is>
          <t>2761732</t>
        </is>
      </c>
      <c r="C42" s="53" t="inlineStr">
        <is>
          <t>2026.1051 Park 130 Building 8</t>
        </is>
      </c>
      <c r="D42" s="53" t="inlineStr">
        <is>
          <t>TI</t>
        </is>
      </c>
      <c r="E42" s="53" t="inlineStr">
        <is>
          <t>Spencer Anderson</t>
        </is>
      </c>
      <c r="F42" s="53" t="inlineStr">
        <is>
          <t>The Peterson Company, LLC</t>
        </is>
      </c>
      <c r="G42" s="53" t="inlineStr">
        <is>
          <t>ACTIVE</t>
        </is>
      </c>
      <c r="H42" s="53" t="n">
        <v>294700</v>
      </c>
      <c r="I42" s="53" t="n">
        <v>0</v>
      </c>
      <c r="J42" s="53" t="n">
        <v>0</v>
      </c>
      <c r="K42" s="53" t="n">
        <v>0</v>
      </c>
      <c r="L42" s="53" t="n">
        <v>165074.41</v>
      </c>
      <c r="M42" s="53" t="n">
        <v>36401.41</v>
      </c>
      <c r="N42" s="53" t="n">
        <v>0.2205</v>
      </c>
      <c r="O42" s="53" t="n">
        <v>64981.35</v>
      </c>
      <c r="P42" s="53" t="n">
        <v>64981.35</v>
      </c>
      <c r="Q42" s="53" t="n">
        <v>64985.82</v>
      </c>
      <c r="R42" s="53" t="n">
        <v>0</v>
      </c>
      <c r="S42" s="53" t="n">
        <v>64981.35</v>
      </c>
      <c r="T42" s="53" t="n">
        <v>-36401.41</v>
      </c>
      <c r="U42" s="53" t="n">
        <v>0</v>
      </c>
      <c r="V42" s="53" t="n">
        <v>43.99</v>
      </c>
      <c r="W42" s="53" t="n">
        <v>0.0001</v>
      </c>
      <c r="X42" s="53" t="n">
        <v>0.4399</v>
      </c>
      <c r="Y42" s="53" t="n">
        <v>-0.4397</v>
      </c>
      <c r="Z42" s="53" t="n">
        <v>0</v>
      </c>
      <c r="AA42" s="53" t="n">
        <v>0</v>
      </c>
      <c r="AB42" s="53" t="inlineStr">
        <is>
          <t>TRUE</t>
        </is>
      </c>
      <c r="AC42" s="53" t="inlineStr">
        <is>
          <t>TRUE</t>
        </is>
      </c>
    </row>
    <row r="43">
      <c r="A43" s="53" t="inlineStr">
        <is>
          <t>2026-06-17</t>
        </is>
      </c>
      <c r="B43" s="53" t="inlineStr">
        <is>
          <t>2759560</t>
        </is>
      </c>
      <c r="C43" s="53" t="inlineStr">
        <is>
          <t>DS.2026.2404 Flores Sandhu Res</t>
        </is>
      </c>
      <c r="D43" s="53" t="inlineStr">
        <is>
          <t>DW</t>
        </is>
      </c>
      <c r="E43" s="53" t="inlineStr">
        <is>
          <t>(Unassigned)</t>
        </is>
      </c>
      <c r="F43" s="53" t="inlineStr">
        <is>
          <t>Flores Drywall and Remodeling LLC</t>
        </is>
      </c>
      <c r="G43" s="53" t="inlineStr">
        <is>
          <t>ACTIVE</t>
        </is>
      </c>
      <c r="H43" s="53" t="n">
        <v>19488.46</v>
      </c>
      <c r="I43" s="53" t="n">
        <v>0</v>
      </c>
      <c r="J43" s="53" t="n">
        <v>19488.46</v>
      </c>
      <c r="K43" s="53" t="n">
        <v>20852.65</v>
      </c>
      <c r="L43" s="53" t="n">
        <v>0</v>
      </c>
      <c r="M43" s="53" t="n">
        <v>14485.4</v>
      </c>
      <c r="N43" s="53" t="n">
        <v>0</v>
      </c>
      <c r="O43" s="53" t="n">
        <v>0</v>
      </c>
      <c r="P43" s="53" t="n">
        <v>-19488.46</v>
      </c>
      <c r="Q43" s="53" t="n">
        <v>0</v>
      </c>
      <c r="R43" s="53" t="n">
        <v>19488.46</v>
      </c>
      <c r="S43" s="53" t="n">
        <v>0</v>
      </c>
      <c r="T43" s="53" t="n">
        <v>5003.06</v>
      </c>
      <c r="U43" s="53" t="n">
        <v>0.2567</v>
      </c>
      <c r="V43" s="53" t="n">
        <v>100</v>
      </c>
      <c r="W43" s="53" t="n">
        <v>0.0051</v>
      </c>
      <c r="X43" s="53" t="n">
        <v>0</v>
      </c>
      <c r="Y43" s="53" t="n">
        <v>0</v>
      </c>
      <c r="Z43" s="53" t="n">
        <v>0</v>
      </c>
      <c r="AA43" s="53" t="n">
        <v>-1364.19</v>
      </c>
      <c r="AB43" s="53" t="inlineStr">
        <is>
          <t>FALSE</t>
        </is>
      </c>
      <c r="AC43" s="53" t="inlineStr">
        <is>
          <t>FALSE</t>
        </is>
      </c>
    </row>
    <row r="44">
      <c r="A44" s="53" t="inlineStr">
        <is>
          <t>2026-06-17</t>
        </is>
      </c>
      <c r="B44" s="53" t="inlineStr">
        <is>
          <t>2750306</t>
        </is>
      </c>
      <c r="C44" s="53" t="inlineStr">
        <is>
          <t>DS.2026.2403 Big Dawg Pickup 0327</t>
        </is>
      </c>
      <c r="D44" s="53" t="inlineStr">
        <is>
          <t>DW</t>
        </is>
      </c>
      <c r="E44" s="53" t="inlineStr">
        <is>
          <t>(Unassigned)</t>
        </is>
      </c>
      <c r="F44" s="53" t="inlineStr">
        <is>
          <t>Big Dawg Drywall</t>
        </is>
      </c>
      <c r="G44" s="53" t="inlineStr">
        <is>
          <t>ACTIVE</t>
        </is>
      </c>
      <c r="H44" s="53" t="n">
        <v>4955.6</v>
      </c>
      <c r="I44" s="53" t="n">
        <v>0</v>
      </c>
      <c r="J44" s="53" t="n">
        <v>4955.6</v>
      </c>
      <c r="K44" s="53" t="n">
        <v>5302.49</v>
      </c>
      <c r="L44" s="53" t="n">
        <v>0</v>
      </c>
      <c r="M44" s="53" t="n">
        <v>3306.1</v>
      </c>
      <c r="N44" s="53" t="n">
        <v>0</v>
      </c>
      <c r="O44" s="53" t="n">
        <v>0</v>
      </c>
      <c r="P44" s="53" t="n">
        <v>-4955.6</v>
      </c>
      <c r="Q44" s="53" t="n">
        <v>0</v>
      </c>
      <c r="R44" s="53" t="n">
        <v>4955.6</v>
      </c>
      <c r="S44" s="53" t="n">
        <v>0</v>
      </c>
      <c r="T44" s="53" t="n">
        <v>1649.5</v>
      </c>
      <c r="U44" s="53" t="n">
        <v>0.3329</v>
      </c>
      <c r="V44" s="53" t="n">
        <v>100</v>
      </c>
      <c r="W44" s="53" t="n">
        <v>0.0202</v>
      </c>
      <c r="X44" s="53" t="n">
        <v>0</v>
      </c>
      <c r="Y44" s="53" t="n">
        <v>0</v>
      </c>
      <c r="Z44" s="53" t="n">
        <v>0</v>
      </c>
      <c r="AA44" s="53" t="n">
        <v>-346.89</v>
      </c>
      <c r="AB44" s="53" t="inlineStr">
        <is>
          <t>FALSE</t>
        </is>
      </c>
      <c r="AC44" s="53" t="inlineStr">
        <is>
          <t>FALSE</t>
        </is>
      </c>
    </row>
    <row r="45">
      <c r="A45" s="53" t="inlineStr">
        <is>
          <t>2026-06-17</t>
        </is>
      </c>
      <c r="B45" s="53" t="inlineStr">
        <is>
          <t>2750278</t>
        </is>
      </c>
      <c r="C45" s="53" t="inlineStr">
        <is>
          <t>DS.2026.2402 Courtyards of Cielo Ranch 17</t>
        </is>
      </c>
      <c r="D45" s="53" t="inlineStr">
        <is>
          <t>DW</t>
        </is>
      </c>
      <c r="E45" s="53" t="inlineStr">
        <is>
          <t>(Unassigned)</t>
        </is>
      </c>
      <c r="F45" s="53" t="inlineStr">
        <is>
          <t>Big Dawg Drywall</t>
        </is>
      </c>
      <c r="G45" s="53" t="inlineStr">
        <is>
          <t>ACTIVE</t>
        </is>
      </c>
      <c r="H45" s="53" t="n">
        <v>7053.88</v>
      </c>
      <c r="I45" s="53" t="n">
        <v>224.64</v>
      </c>
      <c r="J45" s="53" t="n">
        <v>7053.88</v>
      </c>
      <c r="K45" s="53" t="n">
        <v>7547.65</v>
      </c>
      <c r="L45" s="53" t="n">
        <v>0</v>
      </c>
      <c r="M45" s="53" t="n">
        <v>5265.64</v>
      </c>
      <c r="N45" s="53" t="n">
        <v>0</v>
      </c>
      <c r="O45" s="53" t="n">
        <v>0</v>
      </c>
      <c r="P45" s="53" t="n">
        <v>-7053.88</v>
      </c>
      <c r="Q45" s="53" t="n">
        <v>0</v>
      </c>
      <c r="R45" s="53" t="n">
        <v>7053.88</v>
      </c>
      <c r="S45" s="53" t="n">
        <v>0</v>
      </c>
      <c r="T45" s="53" t="n">
        <v>1788.24</v>
      </c>
      <c r="U45" s="53" t="n">
        <v>0.2535</v>
      </c>
      <c r="V45" s="53" t="n">
        <v>100</v>
      </c>
      <c r="W45" s="53" t="n">
        <v>0.0142</v>
      </c>
      <c r="X45" s="53" t="n">
        <v>0</v>
      </c>
      <c r="Y45" s="53" t="n">
        <v>0</v>
      </c>
      <c r="Z45" s="53" t="n">
        <v>0</v>
      </c>
      <c r="AA45" s="53" t="n">
        <v>-493.77</v>
      </c>
      <c r="AB45" s="53" t="inlineStr">
        <is>
          <t>FALSE</t>
        </is>
      </c>
      <c r="AC45" s="53" t="inlineStr">
        <is>
          <t>FALSE</t>
        </is>
      </c>
    </row>
    <row r="46">
      <c r="A46" s="53" t="inlineStr">
        <is>
          <t>2026-06-17</t>
        </is>
      </c>
      <c r="B46" s="53" t="inlineStr">
        <is>
          <t>2750126</t>
        </is>
      </c>
      <c r="C46" s="53" t="inlineStr">
        <is>
          <t>DS.2026.2401 Flores Kenneland</t>
        </is>
      </c>
      <c r="D46" s="53" t="inlineStr">
        <is>
          <t>DW</t>
        </is>
      </c>
      <c r="E46" s="53" t="inlineStr">
        <is>
          <t>(Unassigned)</t>
        </is>
      </c>
      <c r="F46" s="53" t="inlineStr">
        <is>
          <t>Flores Drywall and Remodeling LLC</t>
        </is>
      </c>
      <c r="G46" s="53" t="inlineStr">
        <is>
          <t>ACTIVE</t>
        </is>
      </c>
      <c r="H46" s="53" t="n">
        <v>10704.98</v>
      </c>
      <c r="I46" s="53" t="n">
        <v>0</v>
      </c>
      <c r="J46" s="53" t="n">
        <v>10704.98</v>
      </c>
      <c r="K46" s="53" t="n">
        <v>11454.33</v>
      </c>
      <c r="L46" s="53" t="n">
        <v>0</v>
      </c>
      <c r="M46" s="53" t="n">
        <v>7733.81</v>
      </c>
      <c r="N46" s="53" t="n">
        <v>0</v>
      </c>
      <c r="O46" s="53" t="n">
        <v>0</v>
      </c>
      <c r="P46" s="53" t="n">
        <v>-10704.98</v>
      </c>
      <c r="Q46" s="53" t="n">
        <v>0</v>
      </c>
      <c r="R46" s="53" t="n">
        <v>10704.98</v>
      </c>
      <c r="S46" s="53" t="n">
        <v>0</v>
      </c>
      <c r="T46" s="53" t="n">
        <v>2971.17</v>
      </c>
      <c r="U46" s="53" t="n">
        <v>0.2776</v>
      </c>
      <c r="V46" s="53" t="n">
        <v>100</v>
      </c>
      <c r="W46" s="53" t="n">
        <v>0.009299999999999999</v>
      </c>
      <c r="X46" s="53" t="n">
        <v>0</v>
      </c>
      <c r="Y46" s="53" t="n">
        <v>0</v>
      </c>
      <c r="Z46" s="53" t="n">
        <v>0</v>
      </c>
      <c r="AA46" s="53" t="n">
        <v>-749.35</v>
      </c>
      <c r="AB46" s="53" t="inlineStr">
        <is>
          <t>FALSE</t>
        </is>
      </c>
      <c r="AC46" s="53" t="inlineStr">
        <is>
          <t>FALSE</t>
        </is>
      </c>
    </row>
    <row r="47">
      <c r="A47" s="53" t="inlineStr">
        <is>
          <t>2026-06-17</t>
        </is>
      </c>
      <c r="B47" s="53" t="inlineStr">
        <is>
          <t>2733362</t>
        </is>
      </c>
      <c r="C47" s="53" t="inlineStr">
        <is>
          <t>DS.2026.2400 Courtyards of Russell Oaks 115</t>
        </is>
      </c>
      <c r="D47" s="53" t="inlineStr">
        <is>
          <t>DW</t>
        </is>
      </c>
      <c r="E47" s="53" t="inlineStr">
        <is>
          <t>(Unassigned)</t>
        </is>
      </c>
      <c r="F47" s="53" t="inlineStr">
        <is>
          <t>Big Dawg Drywall</t>
        </is>
      </c>
      <c r="G47" s="53" t="inlineStr">
        <is>
          <t>ACTIVE</t>
        </is>
      </c>
      <c r="H47" s="53" t="n">
        <v>7145.56</v>
      </c>
      <c r="I47" s="53" t="n">
        <v>0</v>
      </c>
      <c r="J47" s="53" t="n">
        <v>7145.56</v>
      </c>
      <c r="K47" s="53" t="n">
        <v>7645.75</v>
      </c>
      <c r="L47" s="53" t="n">
        <v>0</v>
      </c>
      <c r="M47" s="53" t="n">
        <v>5280.52</v>
      </c>
      <c r="N47" s="53" t="n">
        <v>0</v>
      </c>
      <c r="O47" s="53" t="n">
        <v>0</v>
      </c>
      <c r="P47" s="53" t="n">
        <v>-7145.56</v>
      </c>
      <c r="Q47" s="53" t="n">
        <v>0</v>
      </c>
      <c r="R47" s="53" t="n">
        <v>7145.56</v>
      </c>
      <c r="S47" s="53" t="n">
        <v>0</v>
      </c>
      <c r="T47" s="53" t="n">
        <v>1865.04</v>
      </c>
      <c r="U47" s="53" t="n">
        <v>0.261</v>
      </c>
      <c r="V47" s="53" t="n">
        <v>100</v>
      </c>
      <c r="W47" s="53" t="n">
        <v>0.014</v>
      </c>
      <c r="X47" s="53" t="n">
        <v>0</v>
      </c>
      <c r="Y47" s="53" t="n">
        <v>0</v>
      </c>
      <c r="Z47" s="53" t="n">
        <v>0</v>
      </c>
      <c r="AA47" s="53" t="n">
        <v>-500.19</v>
      </c>
      <c r="AB47" s="53" t="inlineStr">
        <is>
          <t>FALSE</t>
        </is>
      </c>
      <c r="AC47" s="53" t="inlineStr">
        <is>
          <t>FALSE</t>
        </is>
      </c>
    </row>
    <row r="48">
      <c r="A48" s="53" t="inlineStr">
        <is>
          <t>2026-06-17</t>
        </is>
      </c>
      <c r="B48" s="53" t="inlineStr">
        <is>
          <t>2733343</t>
        </is>
      </c>
      <c r="C48" s="53" t="inlineStr">
        <is>
          <t>DS.2026.2399 Courtyards of Russell Oaks 74</t>
        </is>
      </c>
      <c r="D48" s="53" t="inlineStr">
        <is>
          <t>DW</t>
        </is>
      </c>
      <c r="E48" s="53" t="inlineStr">
        <is>
          <t>(Unassigned)</t>
        </is>
      </c>
      <c r="F48" s="53" t="inlineStr">
        <is>
          <t>Big Dawg Drywall</t>
        </is>
      </c>
      <c r="G48" s="53" t="inlineStr">
        <is>
          <t>ACTIVE</t>
        </is>
      </c>
      <c r="H48" s="53" t="n">
        <v>5783.55</v>
      </c>
      <c r="I48" s="53" t="n">
        <v>1486.44</v>
      </c>
      <c r="J48" s="53" t="n">
        <v>5783.55</v>
      </c>
      <c r="K48" s="53" t="n">
        <v>6156.42</v>
      </c>
      <c r="L48" s="53" t="n">
        <v>0</v>
      </c>
      <c r="M48" s="53" t="n">
        <v>4560.77</v>
      </c>
      <c r="N48" s="53" t="n">
        <v>0</v>
      </c>
      <c r="O48" s="53" t="n">
        <v>0</v>
      </c>
      <c r="P48" s="53" t="n">
        <v>-5783.55</v>
      </c>
      <c r="Q48" s="53" t="n">
        <v>0</v>
      </c>
      <c r="R48" s="53" t="n">
        <v>5783.55</v>
      </c>
      <c r="S48" s="53" t="n">
        <v>0</v>
      </c>
      <c r="T48" s="53" t="n">
        <v>1222.78</v>
      </c>
      <c r="U48" s="53" t="n">
        <v>0.2114</v>
      </c>
      <c r="V48" s="53" t="n">
        <v>100</v>
      </c>
      <c r="W48" s="53" t="n">
        <v>0.0173</v>
      </c>
      <c r="X48" s="53" t="n">
        <v>0</v>
      </c>
      <c r="Y48" s="53" t="n">
        <v>0</v>
      </c>
      <c r="Z48" s="53" t="n">
        <v>0</v>
      </c>
      <c r="AA48" s="53" t="n">
        <v>-372.87</v>
      </c>
      <c r="AB48" s="53" t="inlineStr">
        <is>
          <t>FALSE</t>
        </is>
      </c>
      <c r="AC48" s="53" t="inlineStr">
        <is>
          <t>FALSE</t>
        </is>
      </c>
    </row>
    <row r="49">
      <c r="A49" s="53" t="inlineStr">
        <is>
          <t>2026-06-17</t>
        </is>
      </c>
      <c r="B49" s="53" t="inlineStr">
        <is>
          <t>2733326</t>
        </is>
      </c>
      <c r="C49" s="53" t="inlineStr">
        <is>
          <t>DS.2026.2398 Courtyards of Ceilo Ranch 26</t>
        </is>
      </c>
      <c r="D49" s="53" t="inlineStr">
        <is>
          <t>DW</t>
        </is>
      </c>
      <c r="E49" s="53" t="inlineStr">
        <is>
          <t>(Unassigned)</t>
        </is>
      </c>
      <c r="F49" s="53" t="inlineStr">
        <is>
          <t>Big Dawg Drywall</t>
        </is>
      </c>
      <c r="G49" s="53" t="inlineStr">
        <is>
          <t>ACTIVE</t>
        </is>
      </c>
      <c r="H49" s="53" t="n">
        <v>6800.59</v>
      </c>
      <c r="I49" s="53" t="n">
        <v>0</v>
      </c>
      <c r="J49" s="53" t="n">
        <v>6800.59</v>
      </c>
      <c r="K49" s="53" t="n">
        <v>7276.63</v>
      </c>
      <c r="L49" s="53" t="n">
        <v>0</v>
      </c>
      <c r="M49" s="53" t="n">
        <v>4827.91</v>
      </c>
      <c r="N49" s="53" t="n">
        <v>0</v>
      </c>
      <c r="O49" s="53" t="n">
        <v>0</v>
      </c>
      <c r="P49" s="53" t="n">
        <v>-6800.59</v>
      </c>
      <c r="Q49" s="53" t="n">
        <v>0</v>
      </c>
      <c r="R49" s="53" t="n">
        <v>6800.59</v>
      </c>
      <c r="S49" s="53" t="n">
        <v>0</v>
      </c>
      <c r="T49" s="53" t="n">
        <v>1972.68</v>
      </c>
      <c r="U49" s="53" t="n">
        <v>0.2901</v>
      </c>
      <c r="V49" s="53" t="n">
        <v>100</v>
      </c>
      <c r="W49" s="53" t="n">
        <v>0.0147</v>
      </c>
      <c r="X49" s="53" t="n">
        <v>0</v>
      </c>
      <c r="Y49" s="53" t="n">
        <v>0</v>
      </c>
      <c r="Z49" s="53" t="n">
        <v>0</v>
      </c>
      <c r="AA49" s="53" t="n">
        <v>-476.04</v>
      </c>
      <c r="AB49" s="53" t="inlineStr">
        <is>
          <t>FALSE</t>
        </is>
      </c>
      <c r="AC49" s="53" t="inlineStr">
        <is>
          <t>FALSE</t>
        </is>
      </c>
    </row>
    <row r="50">
      <c r="A50" s="53" t="inlineStr">
        <is>
          <t>2026-06-17</t>
        </is>
      </c>
      <c r="B50" s="53" t="inlineStr">
        <is>
          <t>2726249</t>
        </is>
      </c>
      <c r="C50" s="53" t="inlineStr">
        <is>
          <t>2026.1047 Springdale Building 4 Demising Walls</t>
        </is>
      </c>
      <c r="D50" s="53" t="inlineStr">
        <is>
          <t>TI</t>
        </is>
      </c>
      <c r="E50" s="53" t="inlineStr">
        <is>
          <t>Tommy Cohoat</t>
        </is>
      </c>
      <c r="F50" s="53" t="inlineStr">
        <is>
          <t>The Peterson Company, LLC</t>
        </is>
      </c>
      <c r="G50" s="53" t="inlineStr">
        <is>
          <t>ACTIVE</t>
        </is>
      </c>
      <c r="H50" s="53" t="n">
        <v>148800</v>
      </c>
      <c r="I50" s="53" t="n">
        <v>0</v>
      </c>
      <c r="J50" s="53" t="n">
        <v>148800</v>
      </c>
      <c r="K50" s="53" t="n">
        <v>0</v>
      </c>
      <c r="L50" s="53" t="n">
        <v>85100</v>
      </c>
      <c r="M50" s="53" t="n">
        <v>70081.74000000001</v>
      </c>
      <c r="N50" s="53" t="n">
        <v>0.8235</v>
      </c>
      <c r="O50" s="53" t="n">
        <v>122536.8</v>
      </c>
      <c r="P50" s="53" t="n">
        <v>-26263.2</v>
      </c>
      <c r="Q50" s="53" t="n">
        <v>-26259.9</v>
      </c>
      <c r="R50" s="53" t="n">
        <v>26263.2</v>
      </c>
      <c r="S50" s="53" t="n">
        <v>0</v>
      </c>
      <c r="T50" s="53" t="n">
        <v>78718.25999999999</v>
      </c>
      <c r="U50" s="53" t="n">
        <v>0.529</v>
      </c>
      <c r="V50" s="53" t="n">
        <v>42.81</v>
      </c>
      <c r="W50" s="53" t="n">
        <v>0.0003</v>
      </c>
      <c r="X50" s="53" t="n">
        <v>0.4281</v>
      </c>
      <c r="Y50" s="53" t="n">
        <v>-0.4278</v>
      </c>
      <c r="Z50" s="53" t="n">
        <v>0</v>
      </c>
      <c r="AA50" s="53" t="n">
        <v>148800</v>
      </c>
      <c r="AB50" s="53" t="inlineStr">
        <is>
          <t>TRUE</t>
        </is>
      </c>
      <c r="AC50" s="53" t="inlineStr">
        <is>
          <t>TRUE</t>
        </is>
      </c>
    </row>
    <row r="51">
      <c r="A51" s="53" t="inlineStr">
        <is>
          <t>2026-06-17</t>
        </is>
      </c>
      <c r="B51" s="53" t="inlineStr">
        <is>
          <t>2726122</t>
        </is>
      </c>
      <c r="C51" s="53" t="inlineStr">
        <is>
          <t>DS.2026.2397 Courtyards of Cielo Ranch 26</t>
        </is>
      </c>
      <c r="D51" s="53" t="inlineStr">
        <is>
          <t>DW</t>
        </is>
      </c>
      <c r="E51" s="53" t="inlineStr">
        <is>
          <t>(Unassigned)</t>
        </is>
      </c>
      <c r="F51" s="53" t="inlineStr">
        <is>
          <t>Big Dawg Drywall</t>
        </is>
      </c>
      <c r="G51" s="53" t="inlineStr">
        <is>
          <t>ACTIVE</t>
        </is>
      </c>
      <c r="H51" s="53" t="n">
        <v>336.96</v>
      </c>
      <c r="I51" s="53" t="n">
        <v>0</v>
      </c>
      <c r="J51" s="53" t="n">
        <v>336.96</v>
      </c>
      <c r="K51" s="53" t="n">
        <v>360.55</v>
      </c>
      <c r="L51" s="53" t="n">
        <v>0</v>
      </c>
      <c r="M51" s="53" t="n">
        <v>233.28</v>
      </c>
      <c r="N51" s="53" t="n">
        <v>0</v>
      </c>
      <c r="O51" s="53" t="n">
        <v>0</v>
      </c>
      <c r="P51" s="53" t="n">
        <v>-336.96</v>
      </c>
      <c r="Q51" s="53" t="n">
        <v>0</v>
      </c>
      <c r="R51" s="53" t="n">
        <v>336.96</v>
      </c>
      <c r="S51" s="53" t="n">
        <v>0</v>
      </c>
      <c r="T51" s="53" t="n">
        <v>103.68</v>
      </c>
      <c r="U51" s="53" t="n">
        <v>0.3077</v>
      </c>
      <c r="V51" s="53" t="n">
        <v>100</v>
      </c>
      <c r="W51" s="53" t="n">
        <v>0.2968</v>
      </c>
      <c r="X51" s="53" t="n">
        <v>0</v>
      </c>
      <c r="Y51" s="53" t="n">
        <v>0</v>
      </c>
      <c r="Z51" s="53" t="n">
        <v>0</v>
      </c>
      <c r="AA51" s="53" t="n">
        <v>-23.59</v>
      </c>
      <c r="AB51" s="53" t="inlineStr">
        <is>
          <t>FALSE</t>
        </is>
      </c>
      <c r="AC51" s="53" t="inlineStr">
        <is>
          <t>FALSE</t>
        </is>
      </c>
    </row>
    <row r="52">
      <c r="A52" s="53" t="inlineStr">
        <is>
          <t>2026-06-17</t>
        </is>
      </c>
      <c r="B52" s="53" t="inlineStr">
        <is>
          <t>2715709</t>
        </is>
      </c>
      <c r="C52" s="53" t="inlineStr">
        <is>
          <t>2026.1046 Automatic Distributors (Park 130 Bldg 6)</t>
        </is>
      </c>
      <c r="D52" s="53" t="inlineStr">
        <is>
          <t>TI</t>
        </is>
      </c>
      <c r="E52" s="53" t="inlineStr">
        <is>
          <t>Cole Garriott</t>
        </is>
      </c>
      <c r="F52" s="53" t="inlineStr">
        <is>
          <t>The Peterson Company, LLC</t>
        </is>
      </c>
      <c r="G52" s="53" t="inlineStr">
        <is>
          <t>ACTIVE</t>
        </is>
      </c>
      <c r="H52" s="53" t="n">
        <v>171900</v>
      </c>
      <c r="I52" s="53" t="n">
        <v>0</v>
      </c>
      <c r="J52" s="53" t="n">
        <v>154710</v>
      </c>
      <c r="K52" s="53" t="n">
        <v>32697</v>
      </c>
      <c r="L52" s="53" t="n">
        <v>105700</v>
      </c>
      <c r="M52" s="53" t="n">
        <v>64219.57</v>
      </c>
      <c r="N52" s="53" t="n">
        <v>0.6076</v>
      </c>
      <c r="O52" s="53" t="n">
        <v>104446.44</v>
      </c>
      <c r="P52" s="53" t="n">
        <v>-50263.56</v>
      </c>
      <c r="Q52" s="53" t="n">
        <v>-67459.66</v>
      </c>
      <c r="R52" s="53" t="n">
        <v>50263.56</v>
      </c>
      <c r="S52" s="53" t="n">
        <v>0</v>
      </c>
      <c r="T52" s="53" t="n">
        <v>107680.43</v>
      </c>
      <c r="U52" s="53" t="n">
        <v>0.6264</v>
      </c>
      <c r="V52" s="53" t="n">
        <v>38.51</v>
      </c>
      <c r="W52" s="53" t="n">
        <v>0.0002</v>
      </c>
      <c r="X52" s="53" t="n">
        <v>0.3851</v>
      </c>
      <c r="Y52" s="53" t="n">
        <v>-0.3849</v>
      </c>
      <c r="Z52" s="53" t="n">
        <v>17190</v>
      </c>
      <c r="AA52" s="53" t="n">
        <v>122013</v>
      </c>
      <c r="AB52" s="53" t="inlineStr">
        <is>
          <t>TRUE</t>
        </is>
      </c>
      <c r="AC52" s="53" t="inlineStr">
        <is>
          <t>TRUE</t>
        </is>
      </c>
    </row>
    <row r="53">
      <c r="A53" s="53" t="inlineStr">
        <is>
          <t>2026-06-17</t>
        </is>
      </c>
      <c r="B53" s="53" t="inlineStr">
        <is>
          <t>2712233</t>
        </is>
      </c>
      <c r="C53" s="53" t="inlineStr">
        <is>
          <t>2026.1045 First OnSite (Ameriplex)</t>
        </is>
      </c>
      <c r="D53" s="53" t="inlineStr">
        <is>
          <t>TI</t>
        </is>
      </c>
      <c r="E53" s="53" t="inlineStr">
        <is>
          <t>Spencer Anderson</t>
        </is>
      </c>
      <c r="F53" s="53" t="inlineStr">
        <is>
          <t>Holladay Construction Group</t>
        </is>
      </c>
      <c r="G53" s="53" t="inlineStr">
        <is>
          <t>ACTIVE</t>
        </is>
      </c>
      <c r="H53" s="53" t="n">
        <v>128000</v>
      </c>
      <c r="I53" s="53" t="n">
        <v>3000</v>
      </c>
      <c r="J53" s="53" t="n">
        <v>128000</v>
      </c>
      <c r="K53" s="53" t="n">
        <v>32940</v>
      </c>
      <c r="L53" s="53" t="n">
        <v>74368.27</v>
      </c>
      <c r="M53" s="53" t="n">
        <v>82331.75</v>
      </c>
      <c r="N53" s="53" t="n">
        <v>1.1071</v>
      </c>
      <c r="O53" s="53" t="n">
        <v>141708.8</v>
      </c>
      <c r="P53" s="53" t="n">
        <v>13708.8</v>
      </c>
      <c r="Q53" s="53" t="n">
        <v>0</v>
      </c>
      <c r="R53" s="53" t="n">
        <v>0</v>
      </c>
      <c r="S53" s="53" t="n">
        <v>13708.8</v>
      </c>
      <c r="T53" s="53" t="n">
        <v>45668.25</v>
      </c>
      <c r="U53" s="53" t="n">
        <v>0.3568</v>
      </c>
      <c r="V53" s="53" t="n">
        <v>41.9</v>
      </c>
      <c r="W53" s="53" t="n">
        <v>0.0003</v>
      </c>
      <c r="X53" s="53" t="n">
        <v>0.419</v>
      </c>
      <c r="Y53" s="53" t="n">
        <v>-0.4187</v>
      </c>
      <c r="Z53" s="53" t="n">
        <v>0</v>
      </c>
      <c r="AA53" s="53" t="n">
        <v>95060</v>
      </c>
      <c r="AB53" s="53" t="inlineStr">
        <is>
          <t>TRUE</t>
        </is>
      </c>
      <c r="AC53" s="53" t="inlineStr">
        <is>
          <t>TRUE</t>
        </is>
      </c>
    </row>
    <row r="54">
      <c r="A54" s="53" t="inlineStr">
        <is>
          <t>2026-06-17</t>
        </is>
      </c>
      <c r="B54" s="53" t="inlineStr">
        <is>
          <t>2703041</t>
        </is>
      </c>
      <c r="C54" s="53" t="inlineStr">
        <is>
          <t>DS.2026.2396 6252 West Turtle Hill Ct</t>
        </is>
      </c>
      <c r="D54" s="53" t="inlineStr">
        <is>
          <t>DW</t>
        </is>
      </c>
      <c r="E54" s="53" t="inlineStr">
        <is>
          <t>(Unassigned)</t>
        </is>
      </c>
      <c r="F54" s="53" t="inlineStr">
        <is>
          <t>Flores Drywall and Remodeling LLC</t>
        </is>
      </c>
      <c r="G54" s="53" t="inlineStr">
        <is>
          <t>ACTIVE</t>
        </is>
      </c>
      <c r="H54" s="53" t="n">
        <v>5858.41</v>
      </c>
      <c r="I54" s="53" t="n">
        <v>0</v>
      </c>
      <c r="J54" s="53" t="n">
        <v>5858.41</v>
      </c>
      <c r="K54" s="53" t="n">
        <v>6268.5</v>
      </c>
      <c r="L54" s="53" t="n">
        <v>0</v>
      </c>
      <c r="M54" s="53" t="n">
        <v>4720.53</v>
      </c>
      <c r="N54" s="53" t="n">
        <v>0</v>
      </c>
      <c r="O54" s="53" t="n">
        <v>0</v>
      </c>
      <c r="P54" s="53" t="n">
        <v>-5858.41</v>
      </c>
      <c r="Q54" s="53" t="n">
        <v>0</v>
      </c>
      <c r="R54" s="53" t="n">
        <v>5858.41</v>
      </c>
      <c r="S54" s="53" t="n">
        <v>0</v>
      </c>
      <c r="T54" s="53" t="n">
        <v>1137.88</v>
      </c>
      <c r="U54" s="53" t="n">
        <v>0.1942</v>
      </c>
      <c r="V54" s="53" t="n">
        <v>100</v>
      </c>
      <c r="W54" s="53" t="n">
        <v>0.0171</v>
      </c>
      <c r="X54" s="53" t="n">
        <v>0</v>
      </c>
      <c r="Y54" s="53" t="n">
        <v>0</v>
      </c>
      <c r="Z54" s="53" t="n">
        <v>0</v>
      </c>
      <c r="AA54" s="53" t="n">
        <v>-410.09</v>
      </c>
      <c r="AB54" s="53" t="inlineStr">
        <is>
          <t>FALSE</t>
        </is>
      </c>
      <c r="AC54" s="53" t="inlineStr">
        <is>
          <t>FALSE</t>
        </is>
      </c>
    </row>
    <row r="55">
      <c r="A55" s="53" t="inlineStr">
        <is>
          <t>2026-06-17</t>
        </is>
      </c>
      <c r="B55" s="53" t="inlineStr">
        <is>
          <t>2702940</t>
        </is>
      </c>
      <c r="C55" s="53" t="inlineStr">
        <is>
          <t>DS.2026.2395 Courtyards of Westfield 103</t>
        </is>
      </c>
      <c r="D55" s="53" t="inlineStr">
        <is>
          <t>DW</t>
        </is>
      </c>
      <c r="E55" s="53" t="inlineStr">
        <is>
          <t>(Unassigned)</t>
        </is>
      </c>
      <c r="F55" s="53" t="inlineStr">
        <is>
          <t>Big Dawg Drywall</t>
        </is>
      </c>
      <c r="G55" s="53" t="inlineStr">
        <is>
          <t>ACTIVE</t>
        </is>
      </c>
      <c r="H55" s="53" t="n">
        <v>252.72</v>
      </c>
      <c r="I55" s="53" t="n">
        <v>0</v>
      </c>
      <c r="J55" s="53" t="n">
        <v>252.72</v>
      </c>
      <c r="K55" s="53" t="n">
        <v>270.41</v>
      </c>
      <c r="L55" s="53" t="n">
        <v>0</v>
      </c>
      <c r="M55" s="53" t="n">
        <v>174.96</v>
      </c>
      <c r="N55" s="53" t="n">
        <v>0</v>
      </c>
      <c r="O55" s="53" t="n">
        <v>0</v>
      </c>
      <c r="P55" s="53" t="n">
        <v>-252.72</v>
      </c>
      <c r="Q55" s="53" t="n">
        <v>0</v>
      </c>
      <c r="R55" s="53" t="n">
        <v>252.72</v>
      </c>
      <c r="S55" s="53" t="n">
        <v>0</v>
      </c>
      <c r="T55" s="53" t="n">
        <v>77.76000000000001</v>
      </c>
      <c r="U55" s="53" t="n">
        <v>0.3077</v>
      </c>
      <c r="V55" s="53" t="n">
        <v>100</v>
      </c>
      <c r="W55" s="53" t="n">
        <v>0.3957</v>
      </c>
      <c r="X55" s="53" t="n">
        <v>0</v>
      </c>
      <c r="Y55" s="53" t="n">
        <v>0</v>
      </c>
      <c r="Z55" s="53" t="n">
        <v>0</v>
      </c>
      <c r="AA55" s="53" t="n">
        <v>-17.69</v>
      </c>
      <c r="AB55" s="53" t="inlineStr">
        <is>
          <t>FALSE</t>
        </is>
      </c>
      <c r="AC55" s="53" t="inlineStr">
        <is>
          <t>FALSE</t>
        </is>
      </c>
    </row>
    <row r="56">
      <c r="A56" s="53" t="inlineStr">
        <is>
          <t>2026-06-17</t>
        </is>
      </c>
      <c r="B56" s="53" t="inlineStr">
        <is>
          <t>2701256</t>
        </is>
      </c>
      <c r="C56" s="53" t="inlineStr">
        <is>
          <t>2026.1043 Deer Creek Building 1</t>
        </is>
      </c>
      <c r="D56" s="53" t="inlineStr">
        <is>
          <t>TI</t>
        </is>
      </c>
      <c r="E56" s="53" t="inlineStr">
        <is>
          <t>Tommy Cohoat</t>
        </is>
      </c>
      <c r="F56" s="53" t="inlineStr">
        <is>
          <t>Patch Development</t>
        </is>
      </c>
      <c r="G56" s="53" t="inlineStr">
        <is>
          <t>ACTIVE</t>
        </is>
      </c>
      <c r="H56" s="53" t="n">
        <v>135000</v>
      </c>
      <c r="I56" s="53" t="n">
        <v>0</v>
      </c>
      <c r="J56" s="53" t="n">
        <v>135000</v>
      </c>
      <c r="K56" s="53" t="n">
        <v>121500</v>
      </c>
      <c r="L56" s="53" t="n">
        <v>59800</v>
      </c>
      <c r="M56" s="53" t="n">
        <v>49599.2</v>
      </c>
      <c r="N56" s="53" t="n">
        <v>0.8294</v>
      </c>
      <c r="O56" s="53" t="n">
        <v>111969</v>
      </c>
      <c r="P56" s="53" t="n">
        <v>-23031</v>
      </c>
      <c r="Q56" s="53" t="n">
        <v>-23028.56</v>
      </c>
      <c r="R56" s="53" t="n">
        <v>23031</v>
      </c>
      <c r="S56" s="53" t="n">
        <v>0</v>
      </c>
      <c r="T56" s="53" t="n">
        <v>85400.8</v>
      </c>
      <c r="U56" s="53" t="n">
        <v>0.6326000000000001</v>
      </c>
      <c r="V56" s="53" t="n">
        <v>55.7</v>
      </c>
      <c r="W56" s="53" t="n">
        <v>0.0004</v>
      </c>
      <c r="X56" s="53" t="n">
        <v>0.5570000000000001</v>
      </c>
      <c r="Y56" s="53" t="n">
        <v>-0.5566</v>
      </c>
      <c r="Z56" s="53" t="n">
        <v>0</v>
      </c>
      <c r="AA56" s="53" t="n">
        <v>13500</v>
      </c>
      <c r="AB56" s="53" t="inlineStr">
        <is>
          <t>TRUE</t>
        </is>
      </c>
      <c r="AC56" s="53" t="inlineStr">
        <is>
          <t>TRUE</t>
        </is>
      </c>
    </row>
    <row r="57">
      <c r="A57" s="53" t="inlineStr">
        <is>
          <t>2026-06-17</t>
        </is>
      </c>
      <c r="B57" s="53" t="inlineStr">
        <is>
          <t>2686749</t>
        </is>
      </c>
      <c r="C57" s="53" t="inlineStr">
        <is>
          <t>DS.2026.2394 5778 Marvie Drive</t>
        </is>
      </c>
      <c r="D57" s="53" t="inlineStr">
        <is>
          <t>DW</t>
        </is>
      </c>
      <c r="E57" s="53" t="inlineStr">
        <is>
          <t>(Unassigned)</t>
        </is>
      </c>
      <c r="F57" s="53" t="inlineStr">
        <is>
          <t>Flores Drywall and Remodeling LLC</t>
        </is>
      </c>
      <c r="G57" s="53" t="inlineStr">
        <is>
          <t>ACTIVE</t>
        </is>
      </c>
      <c r="H57" s="53" t="n">
        <v>8024.34</v>
      </c>
      <c r="I57" s="53" t="n">
        <v>0</v>
      </c>
      <c r="J57" s="53" t="n">
        <v>8024.34</v>
      </c>
      <c r="K57" s="53" t="n">
        <v>8586.040000000001</v>
      </c>
      <c r="L57" s="53" t="n">
        <v>0</v>
      </c>
      <c r="M57" s="53" t="n">
        <v>5837.56</v>
      </c>
      <c r="N57" s="53" t="n">
        <v>0</v>
      </c>
      <c r="O57" s="53" t="n">
        <v>0</v>
      </c>
      <c r="P57" s="53" t="n">
        <v>-8024.34</v>
      </c>
      <c r="Q57" s="53" t="n">
        <v>0</v>
      </c>
      <c r="R57" s="53" t="n">
        <v>8024.34</v>
      </c>
      <c r="S57" s="53" t="n">
        <v>0</v>
      </c>
      <c r="T57" s="53" t="n">
        <v>2186.78</v>
      </c>
      <c r="U57" s="53" t="n">
        <v>0.2725</v>
      </c>
      <c r="V57" s="53" t="n">
        <v>100</v>
      </c>
      <c r="W57" s="53" t="n">
        <v>0.0125</v>
      </c>
      <c r="X57" s="53" t="n">
        <v>0</v>
      </c>
      <c r="Y57" s="53" t="n">
        <v>0</v>
      </c>
      <c r="Z57" s="53" t="n">
        <v>0</v>
      </c>
      <c r="AA57" s="53" t="n">
        <v>-561.7</v>
      </c>
      <c r="AB57" s="53" t="inlineStr">
        <is>
          <t>FALSE</t>
        </is>
      </c>
      <c r="AC57" s="53" t="inlineStr">
        <is>
          <t>FALSE</t>
        </is>
      </c>
    </row>
    <row r="58">
      <c r="A58" s="53" t="inlineStr">
        <is>
          <t>2026-06-17</t>
        </is>
      </c>
      <c r="B58" s="53" t="inlineStr">
        <is>
          <t>2684477</t>
        </is>
      </c>
      <c r="C58" s="53" t="inlineStr">
        <is>
          <t>DS.2026.2393 Precision Pickup 0216</t>
        </is>
      </c>
      <c r="D58" s="53" t="inlineStr">
        <is>
          <t>DW</t>
        </is>
      </c>
      <c r="E58" s="53" t="inlineStr">
        <is>
          <t>(Unassigned)</t>
        </is>
      </c>
      <c r="F58" s="53" t="inlineStr">
        <is>
          <t>Precision Dry Wall</t>
        </is>
      </c>
      <c r="G58" s="53" t="inlineStr">
        <is>
          <t>ACTIVE</t>
        </is>
      </c>
      <c r="H58" s="53" t="n">
        <v>235.52</v>
      </c>
      <c r="I58" s="53" t="n">
        <v>0</v>
      </c>
      <c r="J58" s="53" t="n">
        <v>235.52</v>
      </c>
      <c r="K58" s="53" t="n">
        <v>0</v>
      </c>
      <c r="L58" s="53" t="n">
        <v>0</v>
      </c>
      <c r="M58" s="53" t="n">
        <v>207.36</v>
      </c>
      <c r="N58" s="53" t="n">
        <v>0</v>
      </c>
      <c r="O58" s="53" t="n">
        <v>0</v>
      </c>
      <c r="P58" s="53" t="n">
        <v>-235.52</v>
      </c>
      <c r="Q58" s="53" t="n">
        <v>0</v>
      </c>
      <c r="R58" s="53" t="n">
        <v>235.52</v>
      </c>
      <c r="S58" s="53" t="n">
        <v>0</v>
      </c>
      <c r="T58" s="53" t="n">
        <v>28.16</v>
      </c>
      <c r="U58" s="53" t="n">
        <v>0.1196</v>
      </c>
      <c r="V58" s="53" t="n">
        <v>100</v>
      </c>
      <c r="W58" s="53" t="n">
        <v>0.4246</v>
      </c>
      <c r="X58" s="53" t="n">
        <v>0</v>
      </c>
      <c r="Y58" s="53" t="n">
        <v>0</v>
      </c>
      <c r="Z58" s="53" t="n">
        <v>0</v>
      </c>
      <c r="AA58" s="53" t="n">
        <v>235.52</v>
      </c>
      <c r="AB58" s="53" t="inlineStr">
        <is>
          <t>FALSE</t>
        </is>
      </c>
      <c r="AC58" s="53" t="inlineStr">
        <is>
          <t>FALSE</t>
        </is>
      </c>
    </row>
    <row r="59">
      <c r="A59" s="53" t="inlineStr">
        <is>
          <t>2026-06-17</t>
        </is>
      </c>
      <c r="B59" s="53" t="inlineStr">
        <is>
          <t>2681998</t>
        </is>
      </c>
      <c r="C59" s="53" t="inlineStr">
        <is>
          <t>2026.1056 Senator Banks Office</t>
        </is>
      </c>
      <c r="D59" s="53" t="inlineStr">
        <is>
          <t>TI</t>
        </is>
      </c>
      <c r="E59" s="53" t="inlineStr">
        <is>
          <t>Dustin Hurt</t>
        </is>
      </c>
      <c r="F59" s="53" t="inlineStr">
        <is>
          <t>BW Facility Management, LLC</t>
        </is>
      </c>
      <c r="G59" s="53" t="inlineStr">
        <is>
          <t>ACTIVE</t>
        </is>
      </c>
      <c r="H59" s="53" t="n">
        <v>47609</v>
      </c>
      <c r="I59" s="53" t="n">
        <v>0</v>
      </c>
      <c r="J59" s="53" t="n">
        <v>34444.01</v>
      </c>
      <c r="K59" s="53" t="n">
        <v>0</v>
      </c>
      <c r="L59" s="53" t="n">
        <v>29030</v>
      </c>
      <c r="M59" s="53" t="n">
        <v>9068.32</v>
      </c>
      <c r="N59" s="53" t="n">
        <v>0.3124</v>
      </c>
      <c r="O59" s="53" t="n">
        <v>14873.05</v>
      </c>
      <c r="P59" s="53" t="n">
        <v>-19570.96</v>
      </c>
      <c r="Q59" s="53" t="n">
        <v>-23399.14</v>
      </c>
      <c r="R59" s="53" t="n">
        <v>19570.96</v>
      </c>
      <c r="S59" s="53" t="n">
        <v>0</v>
      </c>
      <c r="T59" s="53" t="n">
        <v>29202.8</v>
      </c>
      <c r="U59" s="53" t="n">
        <v>0.7631</v>
      </c>
      <c r="V59" s="53" t="n">
        <v>39.02</v>
      </c>
      <c r="W59" s="53" t="n">
        <v>0.0008</v>
      </c>
      <c r="X59" s="53" t="n">
        <v>0.3902</v>
      </c>
      <c r="Y59" s="53" t="n">
        <v>-0.3894</v>
      </c>
      <c r="Z59" s="53" t="n">
        <v>3827.11</v>
      </c>
      <c r="AA59" s="53" t="n">
        <v>34444.01</v>
      </c>
      <c r="AB59" s="53" t="inlineStr">
        <is>
          <t>TRUE</t>
        </is>
      </c>
      <c r="AC59" s="53" t="inlineStr">
        <is>
          <t>TRUE</t>
        </is>
      </c>
    </row>
    <row r="60">
      <c r="A60" s="53" t="inlineStr">
        <is>
          <t>2026-06-17</t>
        </is>
      </c>
      <c r="B60" s="53" t="inlineStr">
        <is>
          <t>2676832</t>
        </is>
      </c>
      <c r="C60" s="53" t="inlineStr">
        <is>
          <t>DS.2026.2392 3705 Holiday Farms Blvd - Precision</t>
        </is>
      </c>
      <c r="D60" s="53" t="inlineStr">
        <is>
          <t>DW</t>
        </is>
      </c>
      <c r="E60" s="53" t="inlineStr">
        <is>
          <t>(Unassigned)</t>
        </is>
      </c>
      <c r="F60" s="53" t="inlineStr">
        <is>
          <t>Precision Dry Wall</t>
        </is>
      </c>
      <c r="G60" s="53" t="inlineStr">
        <is>
          <t>ACTIVE</t>
        </is>
      </c>
      <c r="H60" s="53" t="n">
        <v>7844.42</v>
      </c>
      <c r="I60" s="53" t="n">
        <v>0</v>
      </c>
      <c r="J60" s="53" t="n">
        <v>7844.42</v>
      </c>
      <c r="K60" s="53" t="n">
        <v>8393.530000000001</v>
      </c>
      <c r="L60" s="53" t="n">
        <v>0</v>
      </c>
      <c r="M60" s="53" t="n">
        <v>5379.42</v>
      </c>
      <c r="N60" s="53" t="n">
        <v>0</v>
      </c>
      <c r="O60" s="53" t="n">
        <v>0</v>
      </c>
      <c r="P60" s="53" t="n">
        <v>-7844.42</v>
      </c>
      <c r="Q60" s="53" t="n">
        <v>0</v>
      </c>
      <c r="R60" s="53" t="n">
        <v>7844.42</v>
      </c>
      <c r="S60" s="53" t="n">
        <v>0</v>
      </c>
      <c r="T60" s="53" t="n">
        <v>2465</v>
      </c>
      <c r="U60" s="53" t="n">
        <v>0.3142</v>
      </c>
      <c r="V60" s="53" t="n">
        <v>100</v>
      </c>
      <c r="W60" s="53" t="n">
        <v>0.0127</v>
      </c>
      <c r="X60" s="53" t="n">
        <v>0</v>
      </c>
      <c r="Y60" s="53" t="n">
        <v>0</v>
      </c>
      <c r="Z60" s="53" t="n">
        <v>0</v>
      </c>
      <c r="AA60" s="53" t="n">
        <v>-549.11</v>
      </c>
      <c r="AB60" s="53" t="inlineStr">
        <is>
          <t>FALSE</t>
        </is>
      </c>
      <c r="AC60" s="53" t="inlineStr">
        <is>
          <t>FALSE</t>
        </is>
      </c>
    </row>
    <row r="61">
      <c r="A61" s="53" t="inlineStr">
        <is>
          <t>2026-06-17</t>
        </is>
      </c>
      <c r="B61" s="53" t="inlineStr">
        <is>
          <t>2676780</t>
        </is>
      </c>
      <c r="C61" s="53" t="inlineStr">
        <is>
          <t>DS.2026.2391 0218 Jose Iracheta</t>
        </is>
      </c>
      <c r="D61" s="53" t="inlineStr">
        <is>
          <t>UN</t>
        </is>
      </c>
      <c r="E61" s="53" t="inlineStr">
        <is>
          <t>(Unassigned)</t>
        </is>
      </c>
      <c r="F61" s="53" t="inlineStr">
        <is>
          <t>Kjt General Construction</t>
        </is>
      </c>
      <c r="G61" s="53" t="inlineStr">
        <is>
          <t>ACTIVE</t>
        </is>
      </c>
      <c r="H61" s="53" t="n">
        <v>1937.28</v>
      </c>
      <c r="I61" s="53" t="n">
        <v>0</v>
      </c>
      <c r="J61" s="53" t="n">
        <v>1937.28</v>
      </c>
      <c r="K61" s="53" t="n">
        <v>0</v>
      </c>
      <c r="L61" s="53" t="n">
        <v>0</v>
      </c>
      <c r="M61" s="53" t="n">
        <v>1383.36</v>
      </c>
      <c r="N61" s="53" t="n">
        <v>0</v>
      </c>
      <c r="O61" s="53" t="n">
        <v>0</v>
      </c>
      <c r="P61" s="53" t="n">
        <v>-1937.28</v>
      </c>
      <c r="Q61" s="53" t="n">
        <v>0</v>
      </c>
      <c r="R61" s="53" t="n">
        <v>1937.28</v>
      </c>
      <c r="S61" s="53" t="n">
        <v>0</v>
      </c>
      <c r="T61" s="53" t="n">
        <v>553.92</v>
      </c>
      <c r="U61" s="53" t="n">
        <v>0.2859</v>
      </c>
      <c r="V61" s="53" t="n">
        <v>100</v>
      </c>
      <c r="W61" s="53" t="n">
        <v>0.0516</v>
      </c>
      <c r="X61" s="53" t="n">
        <v>0</v>
      </c>
      <c r="Y61" s="53" t="n">
        <v>0</v>
      </c>
      <c r="Z61" s="53" t="n">
        <v>0</v>
      </c>
      <c r="AA61" s="53" t="n">
        <v>1937.28</v>
      </c>
      <c r="AB61" s="53" t="inlineStr">
        <is>
          <t>FALSE</t>
        </is>
      </c>
      <c r="AC61" s="53" t="inlineStr">
        <is>
          <t>FALSE</t>
        </is>
      </c>
    </row>
    <row r="62">
      <c r="A62" s="53" t="inlineStr">
        <is>
          <t>2026-06-17</t>
        </is>
      </c>
      <c r="B62" s="53" t="inlineStr">
        <is>
          <t>2676758</t>
        </is>
      </c>
      <c r="C62" s="53" t="inlineStr">
        <is>
          <t>DS.2026.2390 510 W Pine St</t>
        </is>
      </c>
      <c r="D62" s="53" t="inlineStr">
        <is>
          <t>DW</t>
        </is>
      </c>
      <c r="E62" s="53" t="inlineStr">
        <is>
          <t>(Unassigned)</t>
        </is>
      </c>
      <c r="F62" s="53" t="inlineStr">
        <is>
          <t>Precision Dry Wall</t>
        </is>
      </c>
      <c r="G62" s="53" t="inlineStr">
        <is>
          <t>ACTIVE</t>
        </is>
      </c>
      <c r="H62" s="53" t="n">
        <v>2331.84</v>
      </c>
      <c r="I62" s="53" t="n">
        <v>0</v>
      </c>
      <c r="J62" s="53" t="n">
        <v>2331.84</v>
      </c>
      <c r="K62" s="53" t="n">
        <v>2495.07</v>
      </c>
      <c r="L62" s="53" t="n">
        <v>0</v>
      </c>
      <c r="M62" s="53" t="n">
        <v>1538.64</v>
      </c>
      <c r="N62" s="53" t="n">
        <v>0</v>
      </c>
      <c r="O62" s="53" t="n">
        <v>0</v>
      </c>
      <c r="P62" s="53" t="n">
        <v>-2331.84</v>
      </c>
      <c r="Q62" s="53" t="n">
        <v>0</v>
      </c>
      <c r="R62" s="53" t="n">
        <v>2331.84</v>
      </c>
      <c r="S62" s="53" t="n">
        <v>0</v>
      </c>
      <c r="T62" s="53" t="n">
        <v>793.2</v>
      </c>
      <c r="U62" s="53" t="n">
        <v>0.3402</v>
      </c>
      <c r="V62" s="53" t="n">
        <v>100</v>
      </c>
      <c r="W62" s="53" t="n">
        <v>0.0429</v>
      </c>
      <c r="X62" s="53" t="n">
        <v>0</v>
      </c>
      <c r="Y62" s="53" t="n">
        <v>0</v>
      </c>
      <c r="Z62" s="53" t="n">
        <v>0</v>
      </c>
      <c r="AA62" s="53" t="n">
        <v>-163.23</v>
      </c>
      <c r="AB62" s="53" t="inlineStr">
        <is>
          <t>FALSE</t>
        </is>
      </c>
      <c r="AC62" s="53" t="inlineStr">
        <is>
          <t>FALSE</t>
        </is>
      </c>
    </row>
    <row r="63">
      <c r="A63" s="53" t="inlineStr">
        <is>
          <t>2026-06-17</t>
        </is>
      </c>
      <c r="B63" s="53" t="inlineStr">
        <is>
          <t>2675379</t>
        </is>
      </c>
      <c r="C63" s="53" t="inlineStr">
        <is>
          <t>DS.2026.2389 Courtyards of Russell Oaks 145</t>
        </is>
      </c>
      <c r="D63" s="53" t="inlineStr">
        <is>
          <t>DW</t>
        </is>
      </c>
      <c r="E63" s="53" t="inlineStr">
        <is>
          <t>(Unassigned)</t>
        </is>
      </c>
      <c r="F63" s="53" t="inlineStr">
        <is>
          <t>Big Dawg Drywall</t>
        </is>
      </c>
      <c r="G63" s="53" t="inlineStr">
        <is>
          <t>ACTIVE</t>
        </is>
      </c>
      <c r="H63" s="53" t="n">
        <v>8107.43</v>
      </c>
      <c r="I63" s="53" t="n">
        <v>280</v>
      </c>
      <c r="J63" s="53" t="n">
        <v>8107.43</v>
      </c>
      <c r="K63" s="53" t="n">
        <v>8674.950000000001</v>
      </c>
      <c r="L63" s="53" t="n">
        <v>0</v>
      </c>
      <c r="M63" s="53" t="n">
        <v>5651.42</v>
      </c>
      <c r="N63" s="53" t="n">
        <v>0</v>
      </c>
      <c r="O63" s="53" t="n">
        <v>0</v>
      </c>
      <c r="P63" s="53" t="n">
        <v>-8107.43</v>
      </c>
      <c r="Q63" s="53" t="n">
        <v>0</v>
      </c>
      <c r="R63" s="53" t="n">
        <v>8107.43</v>
      </c>
      <c r="S63" s="53" t="n">
        <v>0</v>
      </c>
      <c r="T63" s="53" t="n">
        <v>2456.01</v>
      </c>
      <c r="U63" s="53" t="n">
        <v>0.3029</v>
      </c>
      <c r="V63" s="53" t="n">
        <v>100</v>
      </c>
      <c r="W63" s="53" t="n">
        <v>0.0123</v>
      </c>
      <c r="X63" s="53" t="n">
        <v>0</v>
      </c>
      <c r="Y63" s="53" t="n">
        <v>0</v>
      </c>
      <c r="Z63" s="53" t="n">
        <v>0</v>
      </c>
      <c r="AA63" s="53" t="n">
        <v>-567.52</v>
      </c>
      <c r="AB63" s="53" t="inlineStr">
        <is>
          <t>FALSE</t>
        </is>
      </c>
      <c r="AC63" s="53" t="inlineStr">
        <is>
          <t>FALSE</t>
        </is>
      </c>
    </row>
    <row r="64">
      <c r="A64" s="53" t="inlineStr">
        <is>
          <t>2026-06-17</t>
        </is>
      </c>
      <c r="B64" s="53" t="inlineStr">
        <is>
          <t>2675217</t>
        </is>
      </c>
      <c r="C64" s="53" t="inlineStr">
        <is>
          <t>DS.2026.2388 Courtyards of Cielo Ranch 13</t>
        </is>
      </c>
      <c r="D64" s="53" t="inlineStr">
        <is>
          <t>DW</t>
        </is>
      </c>
      <c r="E64" s="53" t="inlineStr">
        <is>
          <t>(Unassigned)</t>
        </is>
      </c>
      <c r="F64" s="53" t="inlineStr">
        <is>
          <t>Big Dawg Drywall</t>
        </is>
      </c>
      <c r="G64" s="53" t="inlineStr">
        <is>
          <t>ACTIVE</t>
        </is>
      </c>
      <c r="H64" s="53" t="n">
        <v>5878.68</v>
      </c>
      <c r="I64" s="53" t="n">
        <v>0</v>
      </c>
      <c r="J64" s="53" t="n">
        <v>5878.68</v>
      </c>
      <c r="K64" s="53" t="n">
        <v>6290.19</v>
      </c>
      <c r="L64" s="53" t="n">
        <v>0</v>
      </c>
      <c r="M64" s="53" t="n">
        <v>4386.92</v>
      </c>
      <c r="N64" s="53" t="n">
        <v>0</v>
      </c>
      <c r="O64" s="53" t="n">
        <v>0</v>
      </c>
      <c r="P64" s="53" t="n">
        <v>-5878.68</v>
      </c>
      <c r="Q64" s="53" t="n">
        <v>0</v>
      </c>
      <c r="R64" s="53" t="n">
        <v>5878.68</v>
      </c>
      <c r="S64" s="53" t="n">
        <v>0</v>
      </c>
      <c r="T64" s="53" t="n">
        <v>1491.76</v>
      </c>
      <c r="U64" s="53" t="n">
        <v>0.2538</v>
      </c>
      <c r="V64" s="53" t="n">
        <v>100</v>
      </c>
      <c r="W64" s="53" t="n">
        <v>0.017</v>
      </c>
      <c r="X64" s="53" t="n">
        <v>0</v>
      </c>
      <c r="Y64" s="53" t="n">
        <v>0</v>
      </c>
      <c r="Z64" s="53" t="n">
        <v>0</v>
      </c>
      <c r="AA64" s="53" t="n">
        <v>-411.51</v>
      </c>
      <c r="AB64" s="53" t="inlineStr">
        <is>
          <t>FALSE</t>
        </is>
      </c>
      <c r="AC64" s="53" t="inlineStr">
        <is>
          <t>FALSE</t>
        </is>
      </c>
    </row>
    <row r="65">
      <c r="A65" s="53" t="inlineStr">
        <is>
          <t>2026-06-17</t>
        </is>
      </c>
      <c r="B65" s="53" t="inlineStr">
        <is>
          <t>2665957</t>
        </is>
      </c>
      <c r="C65" s="53" t="inlineStr">
        <is>
          <t>DS.2026.2387 0204 Jose Irachetta</t>
        </is>
      </c>
      <c r="D65" s="53" t="inlineStr">
        <is>
          <t>UN</t>
        </is>
      </c>
      <c r="E65" s="53" t="inlineStr">
        <is>
          <t>(Unassigned)</t>
        </is>
      </c>
      <c r="F65" s="53" t="inlineStr">
        <is>
          <t>Kjt General Construction</t>
        </is>
      </c>
      <c r="G65" s="53" t="inlineStr">
        <is>
          <t>ACTIVE</t>
        </is>
      </c>
      <c r="H65" s="53" t="n">
        <v>18783.05</v>
      </c>
      <c r="I65" s="53" t="n">
        <v>0</v>
      </c>
      <c r="J65" s="53" t="n">
        <v>18783.05</v>
      </c>
      <c r="K65" s="53" t="n">
        <v>0</v>
      </c>
      <c r="L65" s="53" t="n">
        <v>0</v>
      </c>
      <c r="M65" s="53" t="n">
        <v>14081.61</v>
      </c>
      <c r="N65" s="53" t="n">
        <v>0</v>
      </c>
      <c r="O65" s="53" t="n">
        <v>0</v>
      </c>
      <c r="P65" s="53" t="n">
        <v>-18783.05</v>
      </c>
      <c r="Q65" s="53" t="n">
        <v>0</v>
      </c>
      <c r="R65" s="53" t="n">
        <v>18783.05</v>
      </c>
      <c r="S65" s="53" t="n">
        <v>0</v>
      </c>
      <c r="T65" s="53" t="n">
        <v>4701.44</v>
      </c>
      <c r="U65" s="53" t="n">
        <v>0.2503</v>
      </c>
      <c r="V65" s="53" t="n">
        <v>100</v>
      </c>
      <c r="W65" s="53" t="n">
        <v>0.0053</v>
      </c>
      <c r="X65" s="53" t="n">
        <v>0</v>
      </c>
      <c r="Y65" s="53" t="n">
        <v>0</v>
      </c>
      <c r="Z65" s="53" t="n">
        <v>0</v>
      </c>
      <c r="AA65" s="53" t="n">
        <v>18783.05</v>
      </c>
      <c r="AB65" s="53" t="inlineStr">
        <is>
          <t>FALSE</t>
        </is>
      </c>
      <c r="AC65" s="53" t="inlineStr">
        <is>
          <t>FALSE</t>
        </is>
      </c>
    </row>
    <row r="66">
      <c r="A66" s="53" t="inlineStr">
        <is>
          <t>2026-06-17</t>
        </is>
      </c>
      <c r="B66" s="53" t="inlineStr">
        <is>
          <t>2656341</t>
        </is>
      </c>
      <c r="C66" s="53" t="inlineStr">
        <is>
          <t>2026.1041 Whiteland Building 2 - Blackhawk</t>
        </is>
      </c>
      <c r="D66" s="53" t="inlineStr">
        <is>
          <t>TI</t>
        </is>
      </c>
      <c r="E66" s="53" t="inlineStr">
        <is>
          <t>Spencer Anderson</t>
        </is>
      </c>
      <c r="F66" s="53" t="inlineStr">
        <is>
          <t>Patch Development</t>
        </is>
      </c>
      <c r="G66" s="53" t="inlineStr">
        <is>
          <t>ACTIVE</t>
        </is>
      </c>
      <c r="H66" s="53" t="n">
        <v>187650</v>
      </c>
      <c r="I66" s="53" t="n">
        <v>1500</v>
      </c>
      <c r="J66" s="53" t="n">
        <v>156420.3</v>
      </c>
      <c r="K66" s="53" t="n">
        <v>111888</v>
      </c>
      <c r="L66" s="53" t="n">
        <v>89817.48</v>
      </c>
      <c r="M66" s="53" t="n">
        <v>58964.07</v>
      </c>
      <c r="N66" s="53" t="n">
        <v>0.6565</v>
      </c>
      <c r="O66" s="53" t="n">
        <v>123192.23</v>
      </c>
      <c r="P66" s="53" t="n">
        <v>-33228.07</v>
      </c>
      <c r="Q66" s="53" t="n">
        <v>-50610.41</v>
      </c>
      <c r="R66" s="53" t="n">
        <v>33228.07</v>
      </c>
      <c r="S66" s="53" t="n">
        <v>0</v>
      </c>
      <c r="T66" s="53" t="n">
        <v>114836.26</v>
      </c>
      <c r="U66" s="53" t="n">
        <v>0.6607</v>
      </c>
      <c r="V66" s="53" t="n">
        <v>52.14</v>
      </c>
      <c r="W66" s="53" t="n">
        <v>0.0003</v>
      </c>
      <c r="X66" s="53" t="n">
        <v>0.5214</v>
      </c>
      <c r="Y66" s="53" t="n">
        <v>-0.5211</v>
      </c>
      <c r="Z66" s="53" t="n">
        <v>17380.03</v>
      </c>
      <c r="AA66" s="53" t="n">
        <v>44532.3</v>
      </c>
      <c r="AB66" s="53" t="inlineStr">
        <is>
          <t>TRUE</t>
        </is>
      </c>
      <c r="AC66" s="53" t="inlineStr">
        <is>
          <t>TRUE</t>
        </is>
      </c>
    </row>
    <row r="67">
      <c r="A67" s="53" t="inlineStr">
        <is>
          <t>2026-06-17</t>
        </is>
      </c>
      <c r="B67" s="53" t="inlineStr">
        <is>
          <t>2653588</t>
        </is>
      </c>
      <c r="C67" s="53" t="inlineStr">
        <is>
          <t>2026.1040 Lakeside Books</t>
        </is>
      </c>
      <c r="D67" s="53" t="inlineStr">
        <is>
          <t>TI</t>
        </is>
      </c>
      <c r="E67" s="53" t="inlineStr">
        <is>
          <t>Trevor Anderson</t>
        </is>
      </c>
      <c r="F67" s="53" t="inlineStr">
        <is>
          <t>The Peterson Company, LLC</t>
        </is>
      </c>
      <c r="G67" s="53" t="inlineStr">
        <is>
          <t>ACTIVE</t>
        </is>
      </c>
      <c r="H67" s="53" t="n">
        <v>10020</v>
      </c>
      <c r="I67" s="53" t="n">
        <v>520</v>
      </c>
      <c r="J67" s="53" t="n">
        <v>10020</v>
      </c>
      <c r="K67" s="53" t="n">
        <v>0</v>
      </c>
      <c r="L67" s="53" t="n">
        <v>5603.33</v>
      </c>
      <c r="M67" s="53" t="n">
        <v>5603.33</v>
      </c>
      <c r="N67" s="53" t="n">
        <v>1</v>
      </c>
      <c r="O67" s="53" t="n">
        <v>10020</v>
      </c>
      <c r="P67" s="53" t="n">
        <v>0</v>
      </c>
      <c r="Q67" s="53" t="n">
        <v>0</v>
      </c>
      <c r="R67" s="53" t="n">
        <v>0</v>
      </c>
      <c r="S67" s="53" t="n">
        <v>0</v>
      </c>
      <c r="T67" s="53" t="n">
        <v>4416.67</v>
      </c>
      <c r="U67" s="53" t="n">
        <v>0.4408</v>
      </c>
      <c r="V67" s="53" t="n">
        <v>44.08</v>
      </c>
      <c r="W67" s="53" t="n">
        <v>0.0044</v>
      </c>
      <c r="X67" s="53" t="n">
        <v>0.4408</v>
      </c>
      <c r="Y67" s="53" t="n">
        <v>-0.4364</v>
      </c>
      <c r="Z67" s="53" t="n">
        <v>0</v>
      </c>
      <c r="AA67" s="53" t="n">
        <v>10020</v>
      </c>
      <c r="AB67" s="53" t="inlineStr">
        <is>
          <t>TRUE</t>
        </is>
      </c>
      <c r="AC67" s="53" t="inlineStr">
        <is>
          <t>TRUE</t>
        </is>
      </c>
    </row>
    <row r="68">
      <c r="A68" s="53" t="inlineStr">
        <is>
          <t>2026-06-17</t>
        </is>
      </c>
      <c r="B68" s="53" t="inlineStr">
        <is>
          <t>2653377</t>
        </is>
      </c>
      <c r="C68" s="53" t="inlineStr">
        <is>
          <t>DS.2026.2386 Courtyards of Russell Oaks 125</t>
        </is>
      </c>
      <c r="D68" s="53" t="inlineStr">
        <is>
          <t>DW</t>
        </is>
      </c>
      <c r="E68" s="53" t="inlineStr">
        <is>
          <t>(Unassigned)</t>
        </is>
      </c>
      <c r="F68" s="53" t="inlineStr">
        <is>
          <t>Big Dawg Drywall</t>
        </is>
      </c>
      <c r="G68" s="53" t="inlineStr">
        <is>
          <t>ACTIVE</t>
        </is>
      </c>
      <c r="H68" s="53" t="n">
        <v>5904.73</v>
      </c>
      <c r="I68" s="53" t="n">
        <v>0</v>
      </c>
      <c r="J68" s="53" t="n">
        <v>5904.73</v>
      </c>
      <c r="K68" s="53" t="n">
        <v>6318.06</v>
      </c>
      <c r="L68" s="53" t="n">
        <v>0</v>
      </c>
      <c r="M68" s="53" t="n">
        <v>4667.22</v>
      </c>
      <c r="N68" s="53" t="n">
        <v>0</v>
      </c>
      <c r="O68" s="53" t="n">
        <v>0</v>
      </c>
      <c r="P68" s="53" t="n">
        <v>-5904.73</v>
      </c>
      <c r="Q68" s="53" t="n">
        <v>0</v>
      </c>
      <c r="R68" s="53" t="n">
        <v>5904.73</v>
      </c>
      <c r="S68" s="53" t="n">
        <v>0</v>
      </c>
      <c r="T68" s="53" t="n">
        <v>1237.51</v>
      </c>
      <c r="U68" s="53" t="n">
        <v>0.2096</v>
      </c>
      <c r="V68" s="53" t="n">
        <v>100</v>
      </c>
      <c r="W68" s="53" t="n">
        <v>0.0169</v>
      </c>
      <c r="X68" s="53" t="n">
        <v>0</v>
      </c>
      <c r="Y68" s="53" t="n">
        <v>0</v>
      </c>
      <c r="Z68" s="53" t="n">
        <v>0</v>
      </c>
      <c r="AA68" s="53" t="n">
        <v>-413.33</v>
      </c>
      <c r="AB68" s="53" t="inlineStr">
        <is>
          <t>FALSE</t>
        </is>
      </c>
      <c r="AC68" s="53" t="inlineStr">
        <is>
          <t>FALSE</t>
        </is>
      </c>
    </row>
    <row r="69">
      <c r="A69" s="53" t="inlineStr">
        <is>
          <t>2026-06-17</t>
        </is>
      </c>
      <c r="B69" s="53" t="inlineStr">
        <is>
          <t>2653351</t>
        </is>
      </c>
      <c r="C69" s="53" t="inlineStr">
        <is>
          <t>DS.2026.2385 Courtyards of Russell Oaks 123</t>
        </is>
      </c>
      <c r="D69" s="53" t="inlineStr">
        <is>
          <t>DW</t>
        </is>
      </c>
      <c r="E69" s="53" t="inlineStr">
        <is>
          <t>(Unassigned)</t>
        </is>
      </c>
      <c r="F69" s="53" t="inlineStr">
        <is>
          <t>Big Dawg Drywall</t>
        </is>
      </c>
      <c r="G69" s="53" t="inlineStr">
        <is>
          <t>ACTIVE</t>
        </is>
      </c>
      <c r="H69" s="53" t="n">
        <v>6366.58</v>
      </c>
      <c r="I69" s="53" t="n">
        <v>0</v>
      </c>
      <c r="J69" s="53" t="n">
        <v>6366.58</v>
      </c>
      <c r="K69" s="53" t="n">
        <v>6812.24</v>
      </c>
      <c r="L69" s="53" t="n">
        <v>0</v>
      </c>
      <c r="M69" s="53" t="n">
        <v>5053.67</v>
      </c>
      <c r="N69" s="53" t="n">
        <v>0</v>
      </c>
      <c r="O69" s="53" t="n">
        <v>0</v>
      </c>
      <c r="P69" s="53" t="n">
        <v>-6366.58</v>
      </c>
      <c r="Q69" s="53" t="n">
        <v>0</v>
      </c>
      <c r="R69" s="53" t="n">
        <v>6366.58</v>
      </c>
      <c r="S69" s="53" t="n">
        <v>0</v>
      </c>
      <c r="T69" s="53" t="n">
        <v>1312.91</v>
      </c>
      <c r="U69" s="53" t="n">
        <v>0.2062</v>
      </c>
      <c r="V69" s="53" t="n">
        <v>100</v>
      </c>
      <c r="W69" s="53" t="n">
        <v>0.0157</v>
      </c>
      <c r="X69" s="53" t="n">
        <v>0</v>
      </c>
      <c r="Y69" s="53" t="n">
        <v>0</v>
      </c>
      <c r="Z69" s="53" t="n">
        <v>0</v>
      </c>
      <c r="AA69" s="53" t="n">
        <v>-445.66</v>
      </c>
      <c r="AB69" s="53" t="inlineStr">
        <is>
          <t>FALSE</t>
        </is>
      </c>
      <c r="AC69" s="53" t="inlineStr">
        <is>
          <t>FALSE</t>
        </is>
      </c>
    </row>
    <row r="70">
      <c r="A70" s="53" t="inlineStr">
        <is>
          <t>2026-06-17</t>
        </is>
      </c>
      <c r="B70" s="53" t="inlineStr">
        <is>
          <t>2653309</t>
        </is>
      </c>
      <c r="C70" s="53" t="inlineStr">
        <is>
          <t>DS.2026.2384 225 N St Ave</t>
        </is>
      </c>
      <c r="D70" s="53" t="inlineStr">
        <is>
          <t>DW</t>
        </is>
      </c>
      <c r="E70" s="53" t="inlineStr">
        <is>
          <t>(Unassigned)</t>
        </is>
      </c>
      <c r="F70" s="53" t="inlineStr">
        <is>
          <t>Precision Dry Wall</t>
        </is>
      </c>
      <c r="G70" s="53" t="inlineStr">
        <is>
          <t>ACTIVE</t>
        </is>
      </c>
      <c r="H70" s="53" t="n">
        <v>3992.46</v>
      </c>
      <c r="I70" s="53" t="n">
        <v>0</v>
      </c>
      <c r="J70" s="53" t="n">
        <v>3992.46</v>
      </c>
      <c r="K70" s="53" t="n">
        <v>4271.93</v>
      </c>
      <c r="L70" s="53" t="n">
        <v>0</v>
      </c>
      <c r="M70" s="53" t="n">
        <v>2908.28</v>
      </c>
      <c r="N70" s="53" t="n">
        <v>0</v>
      </c>
      <c r="O70" s="53" t="n">
        <v>0</v>
      </c>
      <c r="P70" s="53" t="n">
        <v>-3992.46</v>
      </c>
      <c r="Q70" s="53" t="n">
        <v>0</v>
      </c>
      <c r="R70" s="53" t="n">
        <v>3992.46</v>
      </c>
      <c r="S70" s="53" t="n">
        <v>0</v>
      </c>
      <c r="T70" s="53" t="n">
        <v>1084.18</v>
      </c>
      <c r="U70" s="53" t="n">
        <v>0.2716</v>
      </c>
      <c r="V70" s="53" t="n">
        <v>100</v>
      </c>
      <c r="W70" s="53" t="n">
        <v>0.025</v>
      </c>
      <c r="X70" s="53" t="n">
        <v>0</v>
      </c>
      <c r="Y70" s="53" t="n">
        <v>0</v>
      </c>
      <c r="Z70" s="53" t="n">
        <v>0</v>
      </c>
      <c r="AA70" s="53" t="n">
        <v>-279.47</v>
      </c>
      <c r="AB70" s="53" t="inlineStr">
        <is>
          <t>FALSE</t>
        </is>
      </c>
      <c r="AC70" s="53" t="inlineStr">
        <is>
          <t>FALSE</t>
        </is>
      </c>
    </row>
    <row r="71">
      <c r="A71" s="53" t="inlineStr">
        <is>
          <t>2026-06-17</t>
        </is>
      </c>
      <c r="B71" s="53" t="inlineStr">
        <is>
          <t>2652271</t>
        </is>
      </c>
      <c r="C71" s="53" t="inlineStr">
        <is>
          <t>2026.1039 Upland Prospect Street</t>
        </is>
      </c>
      <c r="D71" s="53" t="inlineStr">
        <is>
          <t>TI</t>
        </is>
      </c>
      <c r="E71" s="53" t="inlineStr">
        <is>
          <t>Tommy Cohoat</t>
        </is>
      </c>
      <c r="F71" s="53" t="inlineStr">
        <is>
          <t>Bischoff Construction, LLC</t>
        </is>
      </c>
      <c r="G71" s="53" t="inlineStr">
        <is>
          <t>ACTIVE</t>
        </is>
      </c>
      <c r="H71" s="53" t="n">
        <v>6500</v>
      </c>
      <c r="I71" s="53" t="n">
        <v>0</v>
      </c>
      <c r="J71" s="53" t="n">
        <v>6500</v>
      </c>
      <c r="K71" s="53" t="n">
        <v>6500</v>
      </c>
      <c r="L71" s="53" t="n">
        <v>6400</v>
      </c>
      <c r="M71" s="53" t="n">
        <v>6355.54</v>
      </c>
      <c r="N71" s="53" t="n">
        <v>0.9931</v>
      </c>
      <c r="O71" s="53" t="n">
        <v>6455.15</v>
      </c>
      <c r="P71" s="53" t="n">
        <v>-44.85</v>
      </c>
      <c r="Q71" s="53" t="n">
        <v>-45.15</v>
      </c>
      <c r="R71" s="53" t="n">
        <v>44.85</v>
      </c>
      <c r="S71" s="53" t="n">
        <v>0</v>
      </c>
      <c r="T71" s="53" t="n">
        <v>144.46</v>
      </c>
      <c r="U71" s="53" t="n">
        <v>0.0222</v>
      </c>
      <c r="V71" s="53" t="n">
        <v>1.54</v>
      </c>
      <c r="W71" s="53" t="n">
        <v>0.0002</v>
      </c>
      <c r="X71" s="53" t="n">
        <v>0.0154</v>
      </c>
      <c r="Y71" s="53" t="n">
        <v>-0.0151</v>
      </c>
      <c r="Z71" s="53" t="n">
        <v>0</v>
      </c>
      <c r="AA71" s="53" t="n">
        <v>0</v>
      </c>
      <c r="AB71" s="53" t="inlineStr">
        <is>
          <t>TRUE</t>
        </is>
      </c>
      <c r="AC71" s="53" t="inlineStr">
        <is>
          <t>TRUE</t>
        </is>
      </c>
    </row>
    <row r="72">
      <c r="A72" s="53" t="inlineStr">
        <is>
          <t>2026-06-17</t>
        </is>
      </c>
      <c r="B72" s="53" t="inlineStr">
        <is>
          <t>2645199</t>
        </is>
      </c>
      <c r="C72" s="53" t="inlineStr">
        <is>
          <t>DS.2026.2383 Courtyards of Cielo Ranch 37</t>
        </is>
      </c>
      <c r="D72" s="53" t="inlineStr">
        <is>
          <t>DW</t>
        </is>
      </c>
      <c r="E72" s="53" t="inlineStr">
        <is>
          <t>(Unassigned)</t>
        </is>
      </c>
      <c r="F72" s="53" t="inlineStr">
        <is>
          <t>Big Dawg Drywall</t>
        </is>
      </c>
      <c r="G72" s="53" t="inlineStr">
        <is>
          <t>ACTIVE</t>
        </is>
      </c>
      <c r="H72" s="53" t="n">
        <v>7213.87</v>
      </c>
      <c r="I72" s="53" t="n">
        <v>0</v>
      </c>
      <c r="J72" s="53" t="n">
        <v>7213.87</v>
      </c>
      <c r="K72" s="53" t="n">
        <v>7718.84</v>
      </c>
      <c r="L72" s="53" t="n">
        <v>0</v>
      </c>
      <c r="M72" s="53" t="n">
        <v>5333.35</v>
      </c>
      <c r="N72" s="53" t="n">
        <v>0</v>
      </c>
      <c r="O72" s="53" t="n">
        <v>0</v>
      </c>
      <c r="P72" s="53" t="n">
        <v>-7213.87</v>
      </c>
      <c r="Q72" s="53" t="n">
        <v>0</v>
      </c>
      <c r="R72" s="53" t="n">
        <v>7213.87</v>
      </c>
      <c r="S72" s="53" t="n">
        <v>0</v>
      </c>
      <c r="T72" s="53" t="n">
        <v>1880.52</v>
      </c>
      <c r="U72" s="53" t="n">
        <v>0.2607</v>
      </c>
      <c r="V72" s="53" t="n">
        <v>100</v>
      </c>
      <c r="W72" s="53" t="n">
        <v>0.0139</v>
      </c>
      <c r="X72" s="53" t="n">
        <v>0</v>
      </c>
      <c r="Y72" s="53" t="n">
        <v>0</v>
      </c>
      <c r="Z72" s="53" t="n">
        <v>0</v>
      </c>
      <c r="AA72" s="53" t="n">
        <v>-504.97</v>
      </c>
      <c r="AB72" s="53" t="inlineStr">
        <is>
          <t>FALSE</t>
        </is>
      </c>
      <c r="AC72" s="53" t="inlineStr">
        <is>
          <t>FALSE</t>
        </is>
      </c>
    </row>
    <row r="73">
      <c r="A73" s="53" t="inlineStr">
        <is>
          <t>2026-06-17</t>
        </is>
      </c>
      <c r="B73" s="53" t="inlineStr">
        <is>
          <t>2645179</t>
        </is>
      </c>
      <c r="C73" s="53" t="inlineStr">
        <is>
          <t>DS.2026.2382 Cohoat House</t>
        </is>
      </c>
      <c r="D73" s="53" t="inlineStr">
        <is>
          <t>DW</t>
        </is>
      </c>
      <c r="E73" s="53" t="inlineStr">
        <is>
          <t>(Unassigned)</t>
        </is>
      </c>
      <c r="F73" s="53" t="inlineStr">
        <is>
          <t>Mendoza</t>
        </is>
      </c>
      <c r="G73" s="53" t="inlineStr">
        <is>
          <t>ACTIVE</t>
        </is>
      </c>
      <c r="H73" s="53" t="n">
        <v>995.75</v>
      </c>
      <c r="I73" s="53" t="n">
        <v>0</v>
      </c>
      <c r="J73" s="53" t="n">
        <v>995.75</v>
      </c>
      <c r="K73" s="53" t="n">
        <v>1065.45</v>
      </c>
      <c r="L73" s="53" t="n">
        <v>0</v>
      </c>
      <c r="M73" s="53" t="n">
        <v>703.8099999999999</v>
      </c>
      <c r="N73" s="53" t="n">
        <v>0</v>
      </c>
      <c r="O73" s="53" t="n">
        <v>0</v>
      </c>
      <c r="P73" s="53" t="n">
        <v>-995.75</v>
      </c>
      <c r="Q73" s="53" t="n">
        <v>0</v>
      </c>
      <c r="R73" s="53" t="n">
        <v>995.75</v>
      </c>
      <c r="S73" s="53" t="n">
        <v>0</v>
      </c>
      <c r="T73" s="53" t="n">
        <v>291.94</v>
      </c>
      <c r="U73" s="53" t="n">
        <v>0.2932</v>
      </c>
      <c r="V73" s="53" t="n">
        <v>100</v>
      </c>
      <c r="W73" s="53" t="n">
        <v>0.1004</v>
      </c>
      <c r="X73" s="53" t="n">
        <v>0</v>
      </c>
      <c r="Y73" s="53" t="n">
        <v>0</v>
      </c>
      <c r="Z73" s="53" t="n">
        <v>0</v>
      </c>
      <c r="AA73" s="53" t="n">
        <v>-69.7</v>
      </c>
      <c r="AB73" s="53" t="inlineStr">
        <is>
          <t>FALSE</t>
        </is>
      </c>
      <c r="AC73" s="53" t="inlineStr">
        <is>
          <t>FALSE</t>
        </is>
      </c>
    </row>
    <row r="74">
      <c r="A74" s="53" t="inlineStr">
        <is>
          <t>2026-06-17</t>
        </is>
      </c>
      <c r="B74" s="53" t="inlineStr">
        <is>
          <t>2644918</t>
        </is>
      </c>
      <c r="C74" s="53" t="inlineStr">
        <is>
          <t>2026.1037 CV - Castle Rock</t>
        </is>
      </c>
      <c r="D74" s="53" t="inlineStr">
        <is>
          <t>TI</t>
        </is>
      </c>
      <c r="E74" s="53" t="inlineStr">
        <is>
          <t>Ben Garza</t>
        </is>
      </c>
      <c r="F74" s="53" t="inlineStr">
        <is>
          <t>Bischoff Construction, LLC</t>
        </is>
      </c>
      <c r="G74" s="53" t="inlineStr">
        <is>
          <t>ACTIVE</t>
        </is>
      </c>
      <c r="H74" s="53" t="n">
        <v>127451</v>
      </c>
      <c r="I74" s="53" t="n">
        <v>40451</v>
      </c>
      <c r="J74" s="53" t="n">
        <v>127451</v>
      </c>
      <c r="K74" s="53" t="n">
        <v>125451</v>
      </c>
      <c r="L74" s="53" t="n">
        <v>103762.97</v>
      </c>
      <c r="M74" s="53" t="n">
        <v>103762.97</v>
      </c>
      <c r="N74" s="53" t="n">
        <v>1</v>
      </c>
      <c r="O74" s="53" t="n">
        <v>127451</v>
      </c>
      <c r="P74" s="53" t="n">
        <v>0</v>
      </c>
      <c r="Q74" s="53" t="n">
        <v>-0</v>
      </c>
      <c r="R74" s="53" t="n">
        <v>0</v>
      </c>
      <c r="S74" s="53" t="n">
        <v>0</v>
      </c>
      <c r="T74" s="53" t="n">
        <v>23688.03</v>
      </c>
      <c r="U74" s="53" t="n">
        <v>0.1859</v>
      </c>
      <c r="V74" s="53" t="n">
        <v>18.59</v>
      </c>
      <c r="W74" s="53" t="n">
        <v>0.0001</v>
      </c>
      <c r="X74" s="53" t="n">
        <v>0.1859</v>
      </c>
      <c r="Y74" s="53" t="n">
        <v>-0.1857</v>
      </c>
      <c r="Z74" s="53" t="n">
        <v>0</v>
      </c>
      <c r="AA74" s="53" t="n">
        <v>2000</v>
      </c>
      <c r="AB74" s="53" t="inlineStr">
        <is>
          <t>TRUE</t>
        </is>
      </c>
      <c r="AC74" s="53" t="inlineStr">
        <is>
          <t>TRUE</t>
        </is>
      </c>
    </row>
    <row r="75">
      <c r="A75" s="53" t="inlineStr">
        <is>
          <t>2026-06-17</t>
        </is>
      </c>
      <c r="B75" s="53" t="inlineStr">
        <is>
          <t>2644454</t>
        </is>
      </c>
      <c r="C75" s="53" t="inlineStr">
        <is>
          <t>2026.1036 Port Laredo Trade Center</t>
        </is>
      </c>
      <c r="D75" s="53" t="inlineStr">
        <is>
          <t>TI</t>
        </is>
      </c>
      <c r="E75" s="53" t="inlineStr">
        <is>
          <t>Ben Garza</t>
        </is>
      </c>
      <c r="F75" s="53" t="inlineStr">
        <is>
          <t>ARCO Design/Build</t>
        </is>
      </c>
      <c r="G75" s="53" t="inlineStr">
        <is>
          <t>ACTIVE</t>
        </is>
      </c>
      <c r="H75" s="53" t="n">
        <v>108475</v>
      </c>
      <c r="I75" s="53" t="n">
        <v>0</v>
      </c>
      <c r="J75" s="53" t="n">
        <v>108475</v>
      </c>
      <c r="K75" s="53" t="n">
        <v>0</v>
      </c>
      <c r="L75" s="53" t="n">
        <v>63550.88</v>
      </c>
      <c r="M75" s="53" t="n">
        <v>63550.88</v>
      </c>
      <c r="N75" s="53" t="n">
        <v>1</v>
      </c>
      <c r="O75" s="53" t="n">
        <v>108475</v>
      </c>
      <c r="P75" s="53" t="n">
        <v>0</v>
      </c>
      <c r="Q75" s="53" t="n">
        <v>0</v>
      </c>
      <c r="R75" s="53" t="n">
        <v>0</v>
      </c>
      <c r="S75" s="53" t="n">
        <v>0</v>
      </c>
      <c r="T75" s="53" t="n">
        <v>44924.12</v>
      </c>
      <c r="U75" s="53" t="n">
        <v>0.4141</v>
      </c>
      <c r="V75" s="53" t="n">
        <v>41.41</v>
      </c>
      <c r="W75" s="53" t="n">
        <v>0.0004</v>
      </c>
      <c r="X75" s="53" t="n">
        <v>0.4141</v>
      </c>
      <c r="Y75" s="53" t="n">
        <v>-0.4138</v>
      </c>
      <c r="Z75" s="53" t="n">
        <v>0</v>
      </c>
      <c r="AA75" s="53" t="n">
        <v>108475</v>
      </c>
      <c r="AB75" s="53" t="inlineStr">
        <is>
          <t>TRUE</t>
        </is>
      </c>
      <c r="AC75" s="53" t="inlineStr">
        <is>
          <t>TRUE</t>
        </is>
      </c>
    </row>
    <row r="76">
      <c r="A76" s="53" t="inlineStr">
        <is>
          <t>2026-06-17</t>
        </is>
      </c>
      <c r="B76" s="53" t="inlineStr">
        <is>
          <t>2640941</t>
        </is>
      </c>
      <c r="C76" s="53" t="inlineStr">
        <is>
          <t>DS.2026.2381 Hunt Addition</t>
        </is>
      </c>
      <c r="D76" s="53" t="inlineStr">
        <is>
          <t>DW</t>
        </is>
      </c>
      <c r="E76" s="53" t="inlineStr">
        <is>
          <t>(Unassigned)</t>
        </is>
      </c>
      <c r="F76" s="53" t="inlineStr">
        <is>
          <t>Flores Drywall and Remodeling LLC</t>
        </is>
      </c>
      <c r="G76" s="53" t="inlineStr">
        <is>
          <t>ACTIVE</t>
        </is>
      </c>
      <c r="H76" s="53" t="n">
        <v>1497</v>
      </c>
      <c r="I76" s="53" t="n">
        <v>0</v>
      </c>
      <c r="J76" s="53" t="n">
        <v>1497</v>
      </c>
      <c r="K76" s="53" t="n">
        <v>1601.79</v>
      </c>
      <c r="L76" s="53" t="n">
        <v>0</v>
      </c>
      <c r="M76" s="53" t="n">
        <v>1022.88</v>
      </c>
      <c r="N76" s="53" t="n">
        <v>0</v>
      </c>
      <c r="O76" s="53" t="n">
        <v>0</v>
      </c>
      <c r="P76" s="53" t="n">
        <v>-1497</v>
      </c>
      <c r="Q76" s="53" t="n">
        <v>0</v>
      </c>
      <c r="R76" s="53" t="n">
        <v>1497</v>
      </c>
      <c r="S76" s="53" t="n">
        <v>0</v>
      </c>
      <c r="T76" s="53" t="n">
        <v>474.12</v>
      </c>
      <c r="U76" s="53" t="n">
        <v>0.3167</v>
      </c>
      <c r="V76" s="53" t="n">
        <v>100</v>
      </c>
      <c r="W76" s="53" t="n">
        <v>0.0668</v>
      </c>
      <c r="X76" s="53" t="n">
        <v>0</v>
      </c>
      <c r="Y76" s="53" t="n">
        <v>0</v>
      </c>
      <c r="Z76" s="53" t="n">
        <v>0</v>
      </c>
      <c r="AA76" s="53" t="n">
        <v>-104.79</v>
      </c>
      <c r="AB76" s="53" t="inlineStr">
        <is>
          <t>FALSE</t>
        </is>
      </c>
      <c r="AC76" s="53" t="inlineStr">
        <is>
          <t>FALSE</t>
        </is>
      </c>
    </row>
    <row r="77">
      <c r="A77" s="53" t="inlineStr">
        <is>
          <t>2026-06-17</t>
        </is>
      </c>
      <c r="B77" s="53" t="inlineStr">
        <is>
          <t>2637503</t>
        </is>
      </c>
      <c r="C77" s="53" t="inlineStr">
        <is>
          <t>DS.2026.2380 Mike Valentine 0129</t>
        </is>
      </c>
      <c r="D77" s="53" t="inlineStr">
        <is>
          <t>DW</t>
        </is>
      </c>
      <c r="E77" s="53" t="inlineStr">
        <is>
          <t>(Unassigned)</t>
        </is>
      </c>
      <c r="F77" s="53" t="inlineStr">
        <is>
          <t>Michael Valentine</t>
        </is>
      </c>
      <c r="G77" s="53" t="inlineStr">
        <is>
          <t>ACTIVE</t>
        </is>
      </c>
      <c r="H77" s="53" t="n">
        <v>11616.94</v>
      </c>
      <c r="I77" s="53" t="n">
        <v>0</v>
      </c>
      <c r="J77" s="53" t="n">
        <v>11616.94</v>
      </c>
      <c r="K77" s="53" t="n">
        <v>0</v>
      </c>
      <c r="L77" s="53" t="n">
        <v>0</v>
      </c>
      <c r="M77" s="53" t="n">
        <v>7713.06</v>
      </c>
      <c r="N77" s="53" t="n">
        <v>0</v>
      </c>
      <c r="O77" s="53" t="n">
        <v>0</v>
      </c>
      <c r="P77" s="53" t="n">
        <v>-11616.94</v>
      </c>
      <c r="Q77" s="53" t="n">
        <v>0</v>
      </c>
      <c r="R77" s="53" t="n">
        <v>11616.94</v>
      </c>
      <c r="S77" s="53" t="n">
        <v>0</v>
      </c>
      <c r="T77" s="53" t="n">
        <v>3903.88</v>
      </c>
      <c r="U77" s="53" t="n">
        <v>0.3361</v>
      </c>
      <c r="V77" s="53" t="n">
        <v>100</v>
      </c>
      <c r="W77" s="53" t="n">
        <v>0.0086</v>
      </c>
      <c r="X77" s="53" t="n">
        <v>0</v>
      </c>
      <c r="Y77" s="53" t="n">
        <v>0</v>
      </c>
      <c r="Z77" s="53" t="n">
        <v>0</v>
      </c>
      <c r="AA77" s="53" t="n">
        <v>11616.94</v>
      </c>
      <c r="AB77" s="53" t="inlineStr">
        <is>
          <t>FALSE</t>
        </is>
      </c>
      <c r="AC77" s="53" t="inlineStr">
        <is>
          <t>FALSE</t>
        </is>
      </c>
    </row>
    <row r="78">
      <c r="A78" s="53" t="inlineStr">
        <is>
          <t>2026-06-17</t>
        </is>
      </c>
      <c r="B78" s="53" t="inlineStr">
        <is>
          <t>2637443</t>
        </is>
      </c>
      <c r="C78" s="53" t="inlineStr">
        <is>
          <t>DS.2026.2379 124 S A Street</t>
        </is>
      </c>
      <c r="D78" s="53" t="inlineStr">
        <is>
          <t>DW</t>
        </is>
      </c>
      <c r="E78" s="53" t="inlineStr">
        <is>
          <t>(Unassigned)</t>
        </is>
      </c>
      <c r="F78" s="53" t="inlineStr">
        <is>
          <t>Flores Drywall and Remodeling LLC</t>
        </is>
      </c>
      <c r="G78" s="53" t="inlineStr">
        <is>
          <t>ACTIVE</t>
        </is>
      </c>
      <c r="H78" s="53" t="n">
        <v>2460.4</v>
      </c>
      <c r="I78" s="53" t="n">
        <v>0</v>
      </c>
      <c r="J78" s="53" t="n">
        <v>2460.4</v>
      </c>
      <c r="K78" s="53" t="n">
        <v>2632.63</v>
      </c>
      <c r="L78" s="53" t="n">
        <v>0</v>
      </c>
      <c r="M78" s="53" t="n">
        <v>1651.4</v>
      </c>
      <c r="N78" s="53" t="n">
        <v>0</v>
      </c>
      <c r="O78" s="53" t="n">
        <v>0</v>
      </c>
      <c r="P78" s="53" t="n">
        <v>-2460.4</v>
      </c>
      <c r="Q78" s="53" t="n">
        <v>0</v>
      </c>
      <c r="R78" s="53" t="n">
        <v>2460.4</v>
      </c>
      <c r="S78" s="53" t="n">
        <v>0</v>
      </c>
      <c r="T78" s="53" t="n">
        <v>809</v>
      </c>
      <c r="U78" s="53" t="n">
        <v>0.3288</v>
      </c>
      <c r="V78" s="53" t="n">
        <v>100</v>
      </c>
      <c r="W78" s="53" t="n">
        <v>0.0406</v>
      </c>
      <c r="X78" s="53" t="n">
        <v>0</v>
      </c>
      <c r="Y78" s="53" t="n">
        <v>0</v>
      </c>
      <c r="Z78" s="53" t="n">
        <v>0</v>
      </c>
      <c r="AA78" s="53" t="n">
        <v>-172.23</v>
      </c>
      <c r="AB78" s="53" t="inlineStr">
        <is>
          <t>FALSE</t>
        </is>
      </c>
      <c r="AC78" s="53" t="inlineStr">
        <is>
          <t>FALSE</t>
        </is>
      </c>
    </row>
    <row r="79">
      <c r="A79" s="53" t="inlineStr">
        <is>
          <t>2026-06-17</t>
        </is>
      </c>
      <c r="B79" s="53" t="inlineStr">
        <is>
          <t>2637384</t>
        </is>
      </c>
      <c r="C79" s="53" t="inlineStr">
        <is>
          <t>DS.2026.2378 Courtyards of Westfield 108</t>
        </is>
      </c>
      <c r="D79" s="53" t="inlineStr">
        <is>
          <t>DW</t>
        </is>
      </c>
      <c r="E79" s="53" t="inlineStr">
        <is>
          <t>(Unassigned)</t>
        </is>
      </c>
      <c r="F79" s="53" t="inlineStr">
        <is>
          <t>Big Dawg Drywall</t>
        </is>
      </c>
      <c r="G79" s="53" t="inlineStr">
        <is>
          <t>ACTIVE</t>
        </is>
      </c>
      <c r="H79" s="53" t="n">
        <v>7137.73</v>
      </c>
      <c r="I79" s="53" t="n">
        <v>0</v>
      </c>
      <c r="J79" s="53" t="n">
        <v>7137.73</v>
      </c>
      <c r="K79" s="53" t="n">
        <v>273.77</v>
      </c>
      <c r="L79" s="53" t="n">
        <v>0</v>
      </c>
      <c r="M79" s="53" t="n">
        <v>4325.35</v>
      </c>
      <c r="N79" s="53" t="n">
        <v>0</v>
      </c>
      <c r="O79" s="53" t="n">
        <v>0</v>
      </c>
      <c r="P79" s="53" t="n">
        <v>-7137.73</v>
      </c>
      <c r="Q79" s="53" t="n">
        <v>0</v>
      </c>
      <c r="R79" s="53" t="n">
        <v>7137.73</v>
      </c>
      <c r="S79" s="53" t="n">
        <v>0</v>
      </c>
      <c r="T79" s="53" t="n">
        <v>2812.38</v>
      </c>
      <c r="U79" s="53" t="n">
        <v>0.394</v>
      </c>
      <c r="V79" s="53" t="n">
        <v>100</v>
      </c>
      <c r="W79" s="53" t="n">
        <v>0.014</v>
      </c>
      <c r="X79" s="53" t="n">
        <v>0</v>
      </c>
      <c r="Y79" s="53" t="n">
        <v>0</v>
      </c>
      <c r="Z79" s="53" t="n">
        <v>0</v>
      </c>
      <c r="AA79" s="53" t="n">
        <v>6863.96</v>
      </c>
      <c r="AB79" s="53" t="inlineStr">
        <is>
          <t>FALSE</t>
        </is>
      </c>
      <c r="AC79" s="53" t="inlineStr">
        <is>
          <t>FALSE</t>
        </is>
      </c>
    </row>
    <row r="80">
      <c r="A80" s="53" t="inlineStr">
        <is>
          <t>2026-06-17</t>
        </is>
      </c>
      <c r="B80" s="53" t="inlineStr">
        <is>
          <t>2637358</t>
        </is>
      </c>
      <c r="C80" s="53" t="inlineStr">
        <is>
          <t>DS.2026.2377 Courtyards of Cielo Ranch 38</t>
        </is>
      </c>
      <c r="D80" s="53" t="inlineStr">
        <is>
          <t>DW</t>
        </is>
      </c>
      <c r="E80" s="53" t="inlineStr">
        <is>
          <t>(Unassigned)</t>
        </is>
      </c>
      <c r="F80" s="53" t="inlineStr">
        <is>
          <t>Big Dawg Drywall</t>
        </is>
      </c>
      <c r="G80" s="53" t="inlineStr">
        <is>
          <t>ACTIVE</t>
        </is>
      </c>
      <c r="H80" s="53" t="n">
        <v>7078.51</v>
      </c>
      <c r="I80" s="53" t="n">
        <v>0</v>
      </c>
      <c r="J80" s="53" t="n">
        <v>7078.51</v>
      </c>
      <c r="K80" s="53" t="n">
        <v>7574.01</v>
      </c>
      <c r="L80" s="53" t="n">
        <v>0</v>
      </c>
      <c r="M80" s="53" t="n">
        <v>4703.35</v>
      </c>
      <c r="N80" s="53" t="n">
        <v>0</v>
      </c>
      <c r="O80" s="53" t="n">
        <v>0</v>
      </c>
      <c r="P80" s="53" t="n">
        <v>-7078.51</v>
      </c>
      <c r="Q80" s="53" t="n">
        <v>0</v>
      </c>
      <c r="R80" s="53" t="n">
        <v>7078.51</v>
      </c>
      <c r="S80" s="53" t="n">
        <v>0</v>
      </c>
      <c r="T80" s="53" t="n">
        <v>2375.16</v>
      </c>
      <c r="U80" s="53" t="n">
        <v>0.3355</v>
      </c>
      <c r="V80" s="53" t="n">
        <v>100</v>
      </c>
      <c r="W80" s="53" t="n">
        <v>0.0141</v>
      </c>
      <c r="X80" s="53" t="n">
        <v>0</v>
      </c>
      <c r="Y80" s="53" t="n">
        <v>0</v>
      </c>
      <c r="Z80" s="53" t="n">
        <v>0</v>
      </c>
      <c r="AA80" s="53" t="n">
        <v>-495.5</v>
      </c>
      <c r="AB80" s="53" t="inlineStr">
        <is>
          <t>FALSE</t>
        </is>
      </c>
      <c r="AC80" s="53" t="inlineStr">
        <is>
          <t>FALSE</t>
        </is>
      </c>
    </row>
    <row r="81">
      <c r="A81" s="53" t="inlineStr">
        <is>
          <t>2026-06-17</t>
        </is>
      </c>
      <c r="B81" s="53" t="inlineStr">
        <is>
          <t>2637329</t>
        </is>
      </c>
      <c r="C81" s="53" t="inlineStr">
        <is>
          <t>DS.2026.2376 5724 E Southport Rd</t>
        </is>
      </c>
      <c r="D81" s="53" t="inlineStr">
        <is>
          <t>DW</t>
        </is>
      </c>
      <c r="E81" s="53" t="inlineStr">
        <is>
          <t>(Unassigned)</t>
        </is>
      </c>
      <c r="F81" s="53" t="inlineStr">
        <is>
          <t>Precision Dry Wall</t>
        </is>
      </c>
      <c r="G81" s="53" t="inlineStr">
        <is>
          <t>ACTIVE</t>
        </is>
      </c>
      <c r="H81" s="53" t="n">
        <v>16934.23</v>
      </c>
      <c r="I81" s="53" t="n">
        <v>0</v>
      </c>
      <c r="J81" s="53" t="n">
        <v>16934.23</v>
      </c>
      <c r="K81" s="53" t="n">
        <v>18119.63</v>
      </c>
      <c r="L81" s="53" t="n">
        <v>0</v>
      </c>
      <c r="M81" s="53" t="n">
        <v>12365.34</v>
      </c>
      <c r="N81" s="53" t="n">
        <v>0</v>
      </c>
      <c r="O81" s="53" t="n">
        <v>0</v>
      </c>
      <c r="P81" s="53" t="n">
        <v>-16934.23</v>
      </c>
      <c r="Q81" s="53" t="n">
        <v>0</v>
      </c>
      <c r="R81" s="53" t="n">
        <v>16934.23</v>
      </c>
      <c r="S81" s="53" t="n">
        <v>0</v>
      </c>
      <c r="T81" s="53" t="n">
        <v>4568.89</v>
      </c>
      <c r="U81" s="53" t="n">
        <v>0.2698</v>
      </c>
      <c r="V81" s="53" t="n">
        <v>100</v>
      </c>
      <c r="W81" s="53" t="n">
        <v>0.0059</v>
      </c>
      <c r="X81" s="53" t="n">
        <v>0</v>
      </c>
      <c r="Y81" s="53" t="n">
        <v>0</v>
      </c>
      <c r="Z81" s="53" t="n">
        <v>0</v>
      </c>
      <c r="AA81" s="53" t="n">
        <v>-1185.4</v>
      </c>
      <c r="AB81" s="53" t="inlineStr">
        <is>
          <t>FALSE</t>
        </is>
      </c>
      <c r="AC81" s="53" t="inlineStr">
        <is>
          <t>FALSE</t>
        </is>
      </c>
    </row>
    <row r="82">
      <c r="A82" s="53" t="inlineStr">
        <is>
          <t>2026-06-17</t>
        </is>
      </c>
      <c r="B82" s="53" t="inlineStr">
        <is>
          <t>2637311</t>
        </is>
      </c>
      <c r="C82" s="53" t="inlineStr">
        <is>
          <t>DS.2026.2375 1802 Alabama St</t>
        </is>
      </c>
      <c r="D82" s="53" t="inlineStr">
        <is>
          <t>DW</t>
        </is>
      </c>
      <c r="E82" s="53" t="inlineStr">
        <is>
          <t>(Unassigned)</t>
        </is>
      </c>
      <c r="F82" s="53" t="inlineStr">
        <is>
          <t>Pro Fix Drywaller, LLC</t>
        </is>
      </c>
      <c r="G82" s="53" t="inlineStr">
        <is>
          <t>ACTIVE</t>
        </is>
      </c>
      <c r="H82" s="53" t="n">
        <v>8479.959999999999</v>
      </c>
      <c r="I82" s="53" t="n">
        <v>0</v>
      </c>
      <c r="J82" s="53" t="n">
        <v>8479.959999999999</v>
      </c>
      <c r="K82" s="53" t="n">
        <v>0</v>
      </c>
      <c r="L82" s="53" t="n">
        <v>0</v>
      </c>
      <c r="M82" s="53" t="n">
        <v>6545.15</v>
      </c>
      <c r="N82" s="53" t="n">
        <v>0</v>
      </c>
      <c r="O82" s="53" t="n">
        <v>0</v>
      </c>
      <c r="P82" s="53" t="n">
        <v>-8479.959999999999</v>
      </c>
      <c r="Q82" s="53" t="n">
        <v>0</v>
      </c>
      <c r="R82" s="53" t="n">
        <v>8479.959999999999</v>
      </c>
      <c r="S82" s="53" t="n">
        <v>0</v>
      </c>
      <c r="T82" s="53" t="n">
        <v>1934.81</v>
      </c>
      <c r="U82" s="53" t="n">
        <v>0.2282</v>
      </c>
      <c r="V82" s="53" t="n">
        <v>100</v>
      </c>
      <c r="W82" s="53" t="n">
        <v>0.0118</v>
      </c>
      <c r="X82" s="53" t="n">
        <v>0</v>
      </c>
      <c r="Y82" s="53" t="n">
        <v>0</v>
      </c>
      <c r="Z82" s="53" t="n">
        <v>0</v>
      </c>
      <c r="AA82" s="53" t="n">
        <v>8479.959999999999</v>
      </c>
      <c r="AB82" s="53" t="inlineStr">
        <is>
          <t>FALSE</t>
        </is>
      </c>
      <c r="AC82" s="53" t="inlineStr">
        <is>
          <t>FALSE</t>
        </is>
      </c>
    </row>
    <row r="83">
      <c r="A83" s="53" t="inlineStr">
        <is>
          <t>2026-06-17</t>
        </is>
      </c>
      <c r="B83" s="53" t="inlineStr">
        <is>
          <t>2636260</t>
        </is>
      </c>
      <c r="C83" s="53" t="inlineStr">
        <is>
          <t>DS.2026.2374 Precision Pickup 0127</t>
        </is>
      </c>
      <c r="D83" s="53" t="inlineStr">
        <is>
          <t>DW</t>
        </is>
      </c>
      <c r="E83" s="53" t="inlineStr">
        <is>
          <t>(Unassigned)</t>
        </is>
      </c>
      <c r="F83" s="53" t="inlineStr">
        <is>
          <t>Precision Dry Wall</t>
        </is>
      </c>
      <c r="G83" s="53" t="inlineStr">
        <is>
          <t>ACTIVE</t>
        </is>
      </c>
      <c r="H83" s="53" t="n">
        <v>1076.05</v>
      </c>
      <c r="I83" s="53" t="n">
        <v>0</v>
      </c>
      <c r="J83" s="53" t="n">
        <v>1076.05</v>
      </c>
      <c r="K83" s="53" t="n">
        <v>1151.37</v>
      </c>
      <c r="L83" s="53" t="n">
        <v>0</v>
      </c>
      <c r="M83" s="53" t="n">
        <v>718.08</v>
      </c>
      <c r="N83" s="53" t="n">
        <v>0</v>
      </c>
      <c r="O83" s="53" t="n">
        <v>0</v>
      </c>
      <c r="P83" s="53" t="n">
        <v>-1076.05</v>
      </c>
      <c r="Q83" s="53" t="n">
        <v>0</v>
      </c>
      <c r="R83" s="53" t="n">
        <v>1076.05</v>
      </c>
      <c r="S83" s="53" t="n">
        <v>0</v>
      </c>
      <c r="T83" s="53" t="n">
        <v>357.97</v>
      </c>
      <c r="U83" s="53" t="n">
        <v>0.3327</v>
      </c>
      <c r="V83" s="53" t="n">
        <v>100</v>
      </c>
      <c r="W83" s="53" t="n">
        <v>0.0929</v>
      </c>
      <c r="X83" s="53" t="n">
        <v>0</v>
      </c>
      <c r="Y83" s="53" t="n">
        <v>0</v>
      </c>
      <c r="Z83" s="53" t="n">
        <v>0</v>
      </c>
      <c r="AA83" s="53" t="n">
        <v>-75.31999999999999</v>
      </c>
      <c r="AB83" s="53" t="inlineStr">
        <is>
          <t>FALSE</t>
        </is>
      </c>
      <c r="AC83" s="53" t="inlineStr">
        <is>
          <t>FALSE</t>
        </is>
      </c>
    </row>
    <row r="84">
      <c r="A84" s="53" t="inlineStr">
        <is>
          <t>2026-06-17</t>
        </is>
      </c>
      <c r="B84" s="53" t="inlineStr">
        <is>
          <t>2623919</t>
        </is>
      </c>
      <c r="C84" s="53" t="inlineStr">
        <is>
          <t>DS.2026.2373 Precision Pickup 0120</t>
        </is>
      </c>
      <c r="D84" s="53" t="inlineStr">
        <is>
          <t>DW</t>
        </is>
      </c>
      <c r="E84" s="53" t="inlineStr">
        <is>
          <t>(Unassigned)</t>
        </is>
      </c>
      <c r="F84" s="53" t="inlineStr">
        <is>
          <t>Precision Dry Wall</t>
        </is>
      </c>
      <c r="G84" s="53" t="inlineStr">
        <is>
          <t>ACTIVE</t>
        </is>
      </c>
      <c r="H84" s="53" t="n">
        <v>156.8</v>
      </c>
      <c r="I84" s="53" t="n">
        <v>0</v>
      </c>
      <c r="J84" s="53" t="n">
        <v>156.8</v>
      </c>
      <c r="K84" s="53" t="n">
        <v>167.78</v>
      </c>
      <c r="L84" s="53" t="n">
        <v>0</v>
      </c>
      <c r="M84" s="53" t="n">
        <v>105.84</v>
      </c>
      <c r="N84" s="53" t="n">
        <v>0</v>
      </c>
      <c r="O84" s="53" t="n">
        <v>0</v>
      </c>
      <c r="P84" s="53" t="n">
        <v>-156.8</v>
      </c>
      <c r="Q84" s="53" t="n">
        <v>0</v>
      </c>
      <c r="R84" s="53" t="n">
        <v>156.8</v>
      </c>
      <c r="S84" s="53" t="n">
        <v>0</v>
      </c>
      <c r="T84" s="53" t="n">
        <v>50.96</v>
      </c>
      <c r="U84" s="53" t="n">
        <v>0.325</v>
      </c>
      <c r="V84" s="53" t="n">
        <v>100</v>
      </c>
      <c r="W84" s="53" t="n">
        <v>0.6378</v>
      </c>
      <c r="X84" s="53" t="n">
        <v>0</v>
      </c>
      <c r="Y84" s="53" t="n">
        <v>0</v>
      </c>
      <c r="Z84" s="53" t="n">
        <v>0</v>
      </c>
      <c r="AA84" s="53" t="n">
        <v>-10.98</v>
      </c>
      <c r="AB84" s="53" t="inlineStr">
        <is>
          <t>FALSE</t>
        </is>
      </c>
      <c r="AC84" s="53" t="inlineStr">
        <is>
          <t>FALSE</t>
        </is>
      </c>
    </row>
    <row r="85">
      <c r="A85" s="53" t="inlineStr">
        <is>
          <t>2026-06-17</t>
        </is>
      </c>
      <c r="B85" s="53" t="inlineStr">
        <is>
          <t>2623903</t>
        </is>
      </c>
      <c r="C85" s="53" t="inlineStr">
        <is>
          <t>DS.2026.2372 Big Dawg Pickup 0115</t>
        </is>
      </c>
      <c r="D85" s="53" t="inlineStr">
        <is>
          <t>DW</t>
        </is>
      </c>
      <c r="E85" s="53" t="inlineStr">
        <is>
          <t>(Unassigned)</t>
        </is>
      </c>
      <c r="F85" s="53" t="inlineStr">
        <is>
          <t>Big Dawg Drywall</t>
        </is>
      </c>
      <c r="G85" s="53" t="inlineStr">
        <is>
          <t>ACTIVE</t>
        </is>
      </c>
      <c r="H85" s="53" t="n">
        <v>3652.08</v>
      </c>
      <c r="I85" s="53" t="n">
        <v>0</v>
      </c>
      <c r="J85" s="53" t="n">
        <v>3652.08</v>
      </c>
      <c r="K85" s="53" t="n">
        <v>3907.73</v>
      </c>
      <c r="L85" s="53" t="n">
        <v>0</v>
      </c>
      <c r="M85" s="53" t="n">
        <v>2032</v>
      </c>
      <c r="N85" s="53" t="n">
        <v>0</v>
      </c>
      <c r="O85" s="53" t="n">
        <v>0</v>
      </c>
      <c r="P85" s="53" t="n">
        <v>-3652.08</v>
      </c>
      <c r="Q85" s="53" t="n">
        <v>0</v>
      </c>
      <c r="R85" s="53" t="n">
        <v>3652.08</v>
      </c>
      <c r="S85" s="53" t="n">
        <v>0</v>
      </c>
      <c r="T85" s="53" t="n">
        <v>1620.08</v>
      </c>
      <c r="U85" s="53" t="n">
        <v>0.4436</v>
      </c>
      <c r="V85" s="53" t="n">
        <v>100</v>
      </c>
      <c r="W85" s="53" t="n">
        <v>0.0274</v>
      </c>
      <c r="X85" s="53" t="n">
        <v>0</v>
      </c>
      <c r="Y85" s="53" t="n">
        <v>0</v>
      </c>
      <c r="Z85" s="53" t="n">
        <v>0</v>
      </c>
      <c r="AA85" s="53" t="n">
        <v>-255.65</v>
      </c>
      <c r="AB85" s="53" t="inlineStr">
        <is>
          <t>FALSE</t>
        </is>
      </c>
      <c r="AC85" s="53" t="inlineStr">
        <is>
          <t>FALSE</t>
        </is>
      </c>
    </row>
    <row r="86">
      <c r="A86" s="53" t="inlineStr">
        <is>
          <t>2026-06-17</t>
        </is>
      </c>
      <c r="B86" s="53" t="inlineStr">
        <is>
          <t>2623826</t>
        </is>
      </c>
      <c r="C86" s="53" t="inlineStr">
        <is>
          <t>DS.2026.2371 13429 E 116th St</t>
        </is>
      </c>
      <c r="D86" s="53" t="inlineStr">
        <is>
          <t>DW</t>
        </is>
      </c>
      <c r="E86" s="53" t="inlineStr">
        <is>
          <t>(Unassigned)</t>
        </is>
      </c>
      <c r="F86" s="53" t="inlineStr">
        <is>
          <t>Precision Dry Wall</t>
        </is>
      </c>
      <c r="G86" s="53" t="inlineStr">
        <is>
          <t>ACTIVE</t>
        </is>
      </c>
      <c r="H86" s="53" t="n">
        <v>6360.82</v>
      </c>
      <c r="I86" s="53" t="n">
        <v>0</v>
      </c>
      <c r="J86" s="53" t="n">
        <v>6360.82</v>
      </c>
      <c r="K86" s="53" t="n">
        <v>6806.08</v>
      </c>
      <c r="L86" s="53" t="n">
        <v>0</v>
      </c>
      <c r="M86" s="53" t="n">
        <v>4575.9</v>
      </c>
      <c r="N86" s="53" t="n">
        <v>0</v>
      </c>
      <c r="O86" s="53" t="n">
        <v>0</v>
      </c>
      <c r="P86" s="53" t="n">
        <v>-6360.82</v>
      </c>
      <c r="Q86" s="53" t="n">
        <v>0</v>
      </c>
      <c r="R86" s="53" t="n">
        <v>6360.82</v>
      </c>
      <c r="S86" s="53" t="n">
        <v>0</v>
      </c>
      <c r="T86" s="53" t="n">
        <v>1784.92</v>
      </c>
      <c r="U86" s="53" t="n">
        <v>0.2806</v>
      </c>
      <c r="V86" s="53" t="n">
        <v>100</v>
      </c>
      <c r="W86" s="53" t="n">
        <v>0.0157</v>
      </c>
      <c r="X86" s="53" t="n">
        <v>0</v>
      </c>
      <c r="Y86" s="53" t="n">
        <v>0</v>
      </c>
      <c r="Z86" s="53" t="n">
        <v>0</v>
      </c>
      <c r="AA86" s="53" t="n">
        <v>-445.26</v>
      </c>
      <c r="AB86" s="53" t="inlineStr">
        <is>
          <t>FALSE</t>
        </is>
      </c>
      <c r="AC86" s="53" t="inlineStr">
        <is>
          <t>FALSE</t>
        </is>
      </c>
    </row>
    <row r="87">
      <c r="A87" s="53" t="inlineStr">
        <is>
          <t>2026-06-17</t>
        </is>
      </c>
      <c r="B87" s="53" t="inlineStr">
        <is>
          <t>2623802</t>
        </is>
      </c>
      <c r="C87" s="53" t="inlineStr">
        <is>
          <t>DS.2026.2370 Courtyards of Westfield 106</t>
        </is>
      </c>
      <c r="D87" s="53" t="inlineStr">
        <is>
          <t>DW</t>
        </is>
      </c>
      <c r="E87" s="53" t="inlineStr">
        <is>
          <t>(Unassigned)</t>
        </is>
      </c>
      <c r="F87" s="53" t="inlineStr">
        <is>
          <t>Big Dawg Drywall</t>
        </is>
      </c>
      <c r="G87" s="53" t="inlineStr">
        <is>
          <t>ACTIVE</t>
        </is>
      </c>
      <c r="H87" s="53" t="n">
        <v>5580.89</v>
      </c>
      <c r="I87" s="53" t="n">
        <v>0</v>
      </c>
      <c r="J87" s="53" t="n">
        <v>5580.89</v>
      </c>
      <c r="K87" s="53" t="n">
        <v>5971.55</v>
      </c>
      <c r="L87" s="53" t="n">
        <v>0</v>
      </c>
      <c r="M87" s="53" t="n">
        <v>3915.47</v>
      </c>
      <c r="N87" s="53" t="n">
        <v>0</v>
      </c>
      <c r="O87" s="53" t="n">
        <v>0</v>
      </c>
      <c r="P87" s="53" t="n">
        <v>-5580.89</v>
      </c>
      <c r="Q87" s="53" t="n">
        <v>0</v>
      </c>
      <c r="R87" s="53" t="n">
        <v>5580.89</v>
      </c>
      <c r="S87" s="53" t="n">
        <v>0</v>
      </c>
      <c r="T87" s="53" t="n">
        <v>1665.42</v>
      </c>
      <c r="U87" s="53" t="n">
        <v>0.2984</v>
      </c>
      <c r="V87" s="53" t="n">
        <v>100</v>
      </c>
      <c r="W87" s="53" t="n">
        <v>0.0179</v>
      </c>
      <c r="X87" s="53" t="n">
        <v>0</v>
      </c>
      <c r="Y87" s="53" t="n">
        <v>0</v>
      </c>
      <c r="Z87" s="53" t="n">
        <v>0</v>
      </c>
      <c r="AA87" s="53" t="n">
        <v>-390.66</v>
      </c>
      <c r="AB87" s="53" t="inlineStr">
        <is>
          <t>FALSE</t>
        </is>
      </c>
      <c r="AC87" s="53" t="inlineStr">
        <is>
          <t>FALSE</t>
        </is>
      </c>
    </row>
    <row r="88">
      <c r="A88" s="53" t="inlineStr">
        <is>
          <t>2026-06-17</t>
        </is>
      </c>
      <c r="B88" s="53" t="inlineStr">
        <is>
          <t>2623780</t>
        </is>
      </c>
      <c r="C88" s="53" t="inlineStr">
        <is>
          <t>DS.2026.2369 Courtyards of Westfield 111</t>
        </is>
      </c>
      <c r="D88" s="53" t="inlineStr">
        <is>
          <t>DW</t>
        </is>
      </c>
      <c r="E88" s="53" t="inlineStr">
        <is>
          <t>(Unassigned)</t>
        </is>
      </c>
      <c r="F88" s="53" t="inlineStr">
        <is>
          <t>Big Dawg Drywall</t>
        </is>
      </c>
      <c r="G88" s="53" t="inlineStr">
        <is>
          <t>ACTIVE</t>
        </is>
      </c>
      <c r="H88" s="53" t="n">
        <v>7078.51</v>
      </c>
      <c r="I88" s="53" t="n">
        <v>0</v>
      </c>
      <c r="J88" s="53" t="n">
        <v>7078.51</v>
      </c>
      <c r="K88" s="53" t="n">
        <v>7574.01</v>
      </c>
      <c r="L88" s="53" t="n">
        <v>0</v>
      </c>
      <c r="M88" s="53" t="n">
        <v>4978.66</v>
      </c>
      <c r="N88" s="53" t="n">
        <v>0</v>
      </c>
      <c r="O88" s="53" t="n">
        <v>0</v>
      </c>
      <c r="P88" s="53" t="n">
        <v>-7078.51</v>
      </c>
      <c r="Q88" s="53" t="n">
        <v>0</v>
      </c>
      <c r="R88" s="53" t="n">
        <v>7078.51</v>
      </c>
      <c r="S88" s="53" t="n">
        <v>0</v>
      </c>
      <c r="T88" s="53" t="n">
        <v>2099.85</v>
      </c>
      <c r="U88" s="53" t="n">
        <v>0.2967</v>
      </c>
      <c r="V88" s="53" t="n">
        <v>100</v>
      </c>
      <c r="W88" s="53" t="n">
        <v>0.0141</v>
      </c>
      <c r="X88" s="53" t="n">
        <v>0</v>
      </c>
      <c r="Y88" s="53" t="n">
        <v>0</v>
      </c>
      <c r="Z88" s="53" t="n">
        <v>0</v>
      </c>
      <c r="AA88" s="53" t="n">
        <v>-495.5</v>
      </c>
      <c r="AB88" s="53" t="inlineStr">
        <is>
          <t>FALSE</t>
        </is>
      </c>
      <c r="AC88" s="53" t="inlineStr">
        <is>
          <t>FALSE</t>
        </is>
      </c>
    </row>
    <row r="89">
      <c r="A89" s="53" t="inlineStr">
        <is>
          <t>2026-06-17</t>
        </is>
      </c>
      <c r="B89" s="53" t="inlineStr">
        <is>
          <t>2612889</t>
        </is>
      </c>
      <c r="C89" s="53" t="inlineStr">
        <is>
          <t>DS.2026.2368 Courtyards of Russell Oaks 60</t>
        </is>
      </c>
      <c r="D89" s="53" t="inlineStr">
        <is>
          <t>DW</t>
        </is>
      </c>
      <c r="E89" s="53" t="inlineStr">
        <is>
          <t>(Unassigned)</t>
        </is>
      </c>
      <c r="F89" s="53" t="inlineStr">
        <is>
          <t>Big Dawg Drywall</t>
        </is>
      </c>
      <c r="G89" s="53" t="inlineStr">
        <is>
          <t>ACTIVE</t>
        </is>
      </c>
      <c r="H89" s="53" t="n">
        <v>6769.86</v>
      </c>
      <c r="I89" s="53" t="n">
        <v>0</v>
      </c>
      <c r="J89" s="53" t="n">
        <v>6769.86</v>
      </c>
      <c r="K89" s="53" t="n">
        <v>7243.75</v>
      </c>
      <c r="L89" s="53" t="n">
        <v>0</v>
      </c>
      <c r="M89" s="53" t="n">
        <v>4990.25</v>
      </c>
      <c r="N89" s="53" t="n">
        <v>0</v>
      </c>
      <c r="O89" s="53" t="n">
        <v>0</v>
      </c>
      <c r="P89" s="53" t="n">
        <v>-6769.86</v>
      </c>
      <c r="Q89" s="53" t="n">
        <v>0</v>
      </c>
      <c r="R89" s="53" t="n">
        <v>6769.86</v>
      </c>
      <c r="S89" s="53" t="n">
        <v>0</v>
      </c>
      <c r="T89" s="53" t="n">
        <v>1779.61</v>
      </c>
      <c r="U89" s="53" t="n">
        <v>0.2629</v>
      </c>
      <c r="V89" s="53" t="n">
        <v>100</v>
      </c>
      <c r="W89" s="53" t="n">
        <v>0.0148</v>
      </c>
      <c r="X89" s="53" t="n">
        <v>0</v>
      </c>
      <c r="Y89" s="53" t="n">
        <v>0</v>
      </c>
      <c r="Z89" s="53" t="n">
        <v>0</v>
      </c>
      <c r="AA89" s="53" t="n">
        <v>-473.89</v>
      </c>
      <c r="AB89" s="53" t="inlineStr">
        <is>
          <t>FALSE</t>
        </is>
      </c>
      <c r="AC89" s="53" t="inlineStr">
        <is>
          <t>FALSE</t>
        </is>
      </c>
    </row>
    <row r="90">
      <c r="A90" s="53" t="inlineStr">
        <is>
          <t>2026-06-17</t>
        </is>
      </c>
      <c r="B90" s="53" t="inlineStr">
        <is>
          <t>2607541</t>
        </is>
      </c>
      <c r="C90" s="53" t="inlineStr">
        <is>
          <t>DS.2026.2367 Courtyards of Russell Oaks 126</t>
        </is>
      </c>
      <c r="D90" s="53" t="inlineStr">
        <is>
          <t>DW</t>
        </is>
      </c>
      <c r="E90" s="53" t="inlineStr">
        <is>
          <t>(Unassigned)</t>
        </is>
      </c>
      <c r="F90" s="53" t="inlineStr">
        <is>
          <t>Big Dawg Drywall</t>
        </is>
      </c>
      <c r="G90" s="53" t="inlineStr">
        <is>
          <t>ACTIVE</t>
        </is>
      </c>
      <c r="H90" s="53" t="n">
        <v>336.96</v>
      </c>
      <c r="I90" s="53" t="n">
        <v>0</v>
      </c>
      <c r="J90" s="53" t="n">
        <v>336.96</v>
      </c>
      <c r="K90" s="53" t="n">
        <v>360.55</v>
      </c>
      <c r="L90" s="53" t="n">
        <v>0</v>
      </c>
      <c r="M90" s="53" t="n">
        <v>233.28</v>
      </c>
      <c r="N90" s="53" t="n">
        <v>0</v>
      </c>
      <c r="O90" s="53" t="n">
        <v>0</v>
      </c>
      <c r="P90" s="53" t="n">
        <v>-336.96</v>
      </c>
      <c r="Q90" s="53" t="n">
        <v>0</v>
      </c>
      <c r="R90" s="53" t="n">
        <v>336.96</v>
      </c>
      <c r="S90" s="53" t="n">
        <v>0</v>
      </c>
      <c r="T90" s="53" t="n">
        <v>103.68</v>
      </c>
      <c r="U90" s="53" t="n">
        <v>0.3077</v>
      </c>
      <c r="V90" s="53" t="n">
        <v>100</v>
      </c>
      <c r="W90" s="53" t="n">
        <v>0.2968</v>
      </c>
      <c r="X90" s="53" t="n">
        <v>0</v>
      </c>
      <c r="Y90" s="53" t="n">
        <v>0</v>
      </c>
      <c r="Z90" s="53" t="n">
        <v>0</v>
      </c>
      <c r="AA90" s="53" t="n">
        <v>-23.59</v>
      </c>
      <c r="AB90" s="53" t="inlineStr">
        <is>
          <t>FALSE</t>
        </is>
      </c>
      <c r="AC90" s="53" t="inlineStr">
        <is>
          <t>FALSE</t>
        </is>
      </c>
    </row>
    <row r="91">
      <c r="A91" s="53" t="inlineStr">
        <is>
          <t>2026-06-17</t>
        </is>
      </c>
      <c r="B91" s="53" t="inlineStr">
        <is>
          <t>2601418</t>
        </is>
      </c>
      <c r="C91" s="53" t="inlineStr">
        <is>
          <t>DS.2026.2366 Courtyards of Cielo Ranch 15</t>
        </is>
      </c>
      <c r="D91" s="53" t="inlineStr">
        <is>
          <t>DW</t>
        </is>
      </c>
      <c r="E91" s="53" t="inlineStr">
        <is>
          <t>(Unassigned)</t>
        </is>
      </c>
      <c r="F91" s="53" t="inlineStr">
        <is>
          <t>Big Dawg Drywall</t>
        </is>
      </c>
      <c r="G91" s="53" t="inlineStr">
        <is>
          <t>ACTIVE</t>
        </is>
      </c>
      <c r="H91" s="53" t="n">
        <v>5628.92</v>
      </c>
      <c r="I91" s="53" t="n">
        <v>0</v>
      </c>
      <c r="J91" s="53" t="n">
        <v>5628.92</v>
      </c>
      <c r="K91" s="53" t="n">
        <v>6022.94</v>
      </c>
      <c r="L91" s="53" t="n">
        <v>0</v>
      </c>
      <c r="M91" s="53" t="n">
        <v>4200.66</v>
      </c>
      <c r="N91" s="53" t="n">
        <v>0</v>
      </c>
      <c r="O91" s="53" t="n">
        <v>0</v>
      </c>
      <c r="P91" s="53" t="n">
        <v>-5628.92</v>
      </c>
      <c r="Q91" s="53" t="n">
        <v>0</v>
      </c>
      <c r="R91" s="53" t="n">
        <v>5628.92</v>
      </c>
      <c r="S91" s="53" t="n">
        <v>0</v>
      </c>
      <c r="T91" s="53" t="n">
        <v>1428.26</v>
      </c>
      <c r="U91" s="53" t="n">
        <v>0.2537</v>
      </c>
      <c r="V91" s="53" t="n">
        <v>100</v>
      </c>
      <c r="W91" s="53" t="n">
        <v>0.0178</v>
      </c>
      <c r="X91" s="53" t="n">
        <v>0</v>
      </c>
      <c r="Y91" s="53" t="n">
        <v>0</v>
      </c>
      <c r="Z91" s="53" t="n">
        <v>0</v>
      </c>
      <c r="AA91" s="53" t="n">
        <v>-394.02</v>
      </c>
      <c r="AB91" s="53" t="inlineStr">
        <is>
          <t>FALSE</t>
        </is>
      </c>
      <c r="AC91" s="53" t="inlineStr">
        <is>
          <t>FALSE</t>
        </is>
      </c>
    </row>
    <row r="92">
      <c r="A92" s="53" t="inlineStr">
        <is>
          <t>2026-06-17</t>
        </is>
      </c>
      <c r="B92" s="53" t="inlineStr">
        <is>
          <t>2594757</t>
        </is>
      </c>
      <c r="C92" s="53" t="inlineStr">
        <is>
          <t>DS.2026.2365 GSI Sackstedor Bloomington</t>
        </is>
      </c>
      <c r="D92" s="53" t="inlineStr">
        <is>
          <t>DW</t>
        </is>
      </c>
      <c r="E92" s="53" t="inlineStr">
        <is>
          <t>(Unassigned)</t>
        </is>
      </c>
      <c r="F92" s="53" t="inlineStr">
        <is>
          <t>GSI - Gregory Scott Inabnit LLC</t>
        </is>
      </c>
      <c r="G92" s="53" t="inlineStr">
        <is>
          <t>ACTIVE</t>
        </is>
      </c>
      <c r="H92" s="53" t="n">
        <v>10845.01</v>
      </c>
      <c r="I92" s="53" t="n">
        <v>0</v>
      </c>
      <c r="J92" s="53" t="n">
        <v>10845.01</v>
      </c>
      <c r="K92" s="53" t="n">
        <v>0</v>
      </c>
      <c r="L92" s="53" t="n">
        <v>0</v>
      </c>
      <c r="M92" s="53" t="n">
        <v>7813.1</v>
      </c>
      <c r="N92" s="53" t="n">
        <v>0</v>
      </c>
      <c r="O92" s="53" t="n">
        <v>0</v>
      </c>
      <c r="P92" s="53" t="n">
        <v>-10845.01</v>
      </c>
      <c r="Q92" s="53" t="n">
        <v>0</v>
      </c>
      <c r="R92" s="53" t="n">
        <v>10845.01</v>
      </c>
      <c r="S92" s="53" t="n">
        <v>0</v>
      </c>
      <c r="T92" s="53" t="n">
        <v>3031.91</v>
      </c>
      <c r="U92" s="53" t="n">
        <v>0.2796</v>
      </c>
      <c r="V92" s="53" t="n">
        <v>100</v>
      </c>
      <c r="W92" s="53" t="n">
        <v>0.0092</v>
      </c>
      <c r="X92" s="53" t="n">
        <v>0</v>
      </c>
      <c r="Y92" s="53" t="n">
        <v>0</v>
      </c>
      <c r="Z92" s="53" t="n">
        <v>0</v>
      </c>
      <c r="AA92" s="53" t="n">
        <v>10845.01</v>
      </c>
      <c r="AB92" s="53" t="inlineStr">
        <is>
          <t>FALSE</t>
        </is>
      </c>
      <c r="AC92" s="53" t="inlineStr">
        <is>
          <t>FALSE</t>
        </is>
      </c>
    </row>
    <row r="93">
      <c r="A93" s="53" t="inlineStr">
        <is>
          <t>2026-06-17</t>
        </is>
      </c>
      <c r="B93" s="53" t="inlineStr">
        <is>
          <t>2594626</t>
        </is>
      </c>
      <c r="C93" s="53" t="inlineStr">
        <is>
          <t>DS.2026.2364 GSI 1-6</t>
        </is>
      </c>
      <c r="D93" s="53" t="inlineStr">
        <is>
          <t>DW</t>
        </is>
      </c>
      <c r="E93" s="53" t="inlineStr">
        <is>
          <t>(Unassigned)</t>
        </is>
      </c>
      <c r="F93" s="53" t="inlineStr">
        <is>
          <t>GSI - Gregory Scott Inabnit LLC</t>
        </is>
      </c>
      <c r="G93" s="53" t="inlineStr">
        <is>
          <t>ACTIVE</t>
        </is>
      </c>
      <c r="H93" s="53" t="n">
        <v>3516.46</v>
      </c>
      <c r="I93" s="53" t="n">
        <v>0</v>
      </c>
      <c r="J93" s="53" t="n">
        <v>3516.46</v>
      </c>
      <c r="K93" s="53" t="n">
        <v>0</v>
      </c>
      <c r="L93" s="53" t="n">
        <v>0</v>
      </c>
      <c r="M93" s="53" t="n">
        <v>2314.78</v>
      </c>
      <c r="N93" s="53" t="n">
        <v>0</v>
      </c>
      <c r="O93" s="53" t="n">
        <v>0</v>
      </c>
      <c r="P93" s="53" t="n">
        <v>-3516.46</v>
      </c>
      <c r="Q93" s="53" t="n">
        <v>0</v>
      </c>
      <c r="R93" s="53" t="n">
        <v>3516.46</v>
      </c>
      <c r="S93" s="53" t="n">
        <v>0</v>
      </c>
      <c r="T93" s="53" t="n">
        <v>1201.68</v>
      </c>
      <c r="U93" s="53" t="n">
        <v>0.3417</v>
      </c>
      <c r="V93" s="53" t="n">
        <v>100</v>
      </c>
      <c r="W93" s="53" t="n">
        <v>0.0284</v>
      </c>
      <c r="X93" s="53" t="n">
        <v>0</v>
      </c>
      <c r="Y93" s="53" t="n">
        <v>0</v>
      </c>
      <c r="Z93" s="53" t="n">
        <v>0</v>
      </c>
      <c r="AA93" s="53" t="n">
        <v>3516.46</v>
      </c>
      <c r="AB93" s="53" t="inlineStr">
        <is>
          <t>FALSE</t>
        </is>
      </c>
      <c r="AC93" s="53" t="inlineStr">
        <is>
          <t>FALSE</t>
        </is>
      </c>
    </row>
    <row r="94">
      <c r="A94" s="53" t="inlineStr">
        <is>
          <t>2026-06-17</t>
        </is>
      </c>
      <c r="B94" s="53" t="inlineStr">
        <is>
          <t>2594581</t>
        </is>
      </c>
      <c r="C94" s="53" t="inlineStr">
        <is>
          <t>DS.2026.2363 Courtyards of Westfield 96</t>
        </is>
      </c>
      <c r="D94" s="53" t="inlineStr">
        <is>
          <t>DW</t>
        </is>
      </c>
      <c r="E94" s="53" t="inlineStr">
        <is>
          <t>(Unassigned)</t>
        </is>
      </c>
      <c r="F94" s="53" t="inlineStr">
        <is>
          <t>Big Dawg Drywall</t>
        </is>
      </c>
      <c r="G94" s="53" t="inlineStr">
        <is>
          <t>ACTIVE</t>
        </is>
      </c>
      <c r="H94" s="53" t="n">
        <v>7196.75</v>
      </c>
      <c r="I94" s="53" t="n">
        <v>0</v>
      </c>
      <c r="J94" s="53" t="n">
        <v>7196.75</v>
      </c>
      <c r="K94" s="53" t="n">
        <v>7700.52</v>
      </c>
      <c r="L94" s="53" t="n">
        <v>0</v>
      </c>
      <c r="M94" s="53" t="n">
        <v>5327.43</v>
      </c>
      <c r="N94" s="53" t="n">
        <v>0</v>
      </c>
      <c r="O94" s="53" t="n">
        <v>0</v>
      </c>
      <c r="P94" s="53" t="n">
        <v>-7196.75</v>
      </c>
      <c r="Q94" s="53" t="n">
        <v>0</v>
      </c>
      <c r="R94" s="53" t="n">
        <v>7196.75</v>
      </c>
      <c r="S94" s="53" t="n">
        <v>0</v>
      </c>
      <c r="T94" s="53" t="n">
        <v>1869.32</v>
      </c>
      <c r="U94" s="53" t="n">
        <v>0.2597</v>
      </c>
      <c r="V94" s="53" t="n">
        <v>100</v>
      </c>
      <c r="W94" s="53" t="n">
        <v>0.0139</v>
      </c>
      <c r="X94" s="53" t="n">
        <v>0</v>
      </c>
      <c r="Y94" s="53" t="n">
        <v>0</v>
      </c>
      <c r="Z94" s="53" t="n">
        <v>0</v>
      </c>
      <c r="AA94" s="53" t="n">
        <v>-503.77</v>
      </c>
      <c r="AB94" s="53" t="inlineStr">
        <is>
          <t>FALSE</t>
        </is>
      </c>
      <c r="AC94" s="53" t="inlineStr">
        <is>
          <t>FALSE</t>
        </is>
      </c>
    </row>
    <row r="95">
      <c r="A95" s="53" t="inlineStr">
        <is>
          <t>2026-06-17</t>
        </is>
      </c>
      <c r="B95" s="53" t="inlineStr">
        <is>
          <t>2589539</t>
        </is>
      </c>
      <c r="C95" s="53" t="inlineStr">
        <is>
          <t>DS.2026.2362 Courtyards of Russel Oaks 127</t>
        </is>
      </c>
      <c r="D95" s="53" t="inlineStr">
        <is>
          <t>DW</t>
        </is>
      </c>
      <c r="E95" s="53" t="inlineStr">
        <is>
          <t>(Unassigned)</t>
        </is>
      </c>
      <c r="F95" s="53" t="inlineStr">
        <is>
          <t>Big Dawg Drywall</t>
        </is>
      </c>
      <c r="G95" s="53" t="inlineStr">
        <is>
          <t>ACTIVE</t>
        </is>
      </c>
      <c r="H95" s="53" t="n">
        <v>280</v>
      </c>
      <c r="I95" s="53" t="n">
        <v>0</v>
      </c>
      <c r="J95" s="53" t="n">
        <v>280</v>
      </c>
      <c r="K95" s="53" t="n">
        <v>299.6</v>
      </c>
      <c r="L95" s="53" t="n">
        <v>0</v>
      </c>
      <c r="M95" s="53" t="n">
        <v>255</v>
      </c>
      <c r="N95" s="53" t="n">
        <v>0</v>
      </c>
      <c r="O95" s="53" t="n">
        <v>0</v>
      </c>
      <c r="P95" s="53" t="n">
        <v>-280</v>
      </c>
      <c r="Q95" s="53" t="n">
        <v>0</v>
      </c>
      <c r="R95" s="53" t="n">
        <v>280</v>
      </c>
      <c r="S95" s="53" t="n">
        <v>0</v>
      </c>
      <c r="T95" s="53" t="n">
        <v>25</v>
      </c>
      <c r="U95" s="53" t="n">
        <v>0.0893</v>
      </c>
      <c r="V95" s="53" t="n">
        <v>100</v>
      </c>
      <c r="W95" s="53" t="n">
        <v>0.3571</v>
      </c>
      <c r="X95" s="53" t="n">
        <v>0</v>
      </c>
      <c r="Y95" s="53" t="n">
        <v>0</v>
      </c>
      <c r="Z95" s="53" t="n">
        <v>0</v>
      </c>
      <c r="AA95" s="53" t="n">
        <v>-19.6</v>
      </c>
      <c r="AB95" s="53" t="inlineStr">
        <is>
          <t>FALSE</t>
        </is>
      </c>
      <c r="AC95" s="53" t="inlineStr">
        <is>
          <t>FALSE</t>
        </is>
      </c>
    </row>
    <row r="96">
      <c r="A96" s="53" t="inlineStr">
        <is>
          <t>2026-06-17</t>
        </is>
      </c>
      <c r="B96" s="53" t="inlineStr">
        <is>
          <t>2586526</t>
        </is>
      </c>
      <c r="C96" s="53" t="inlineStr">
        <is>
          <t>2026.1033 Avon Demising Wall</t>
        </is>
      </c>
      <c r="D96" s="53" t="inlineStr">
        <is>
          <t>TI</t>
        </is>
      </c>
      <c r="E96" s="53" t="inlineStr">
        <is>
          <t>Ben Garza</t>
        </is>
      </c>
      <c r="F96" s="53" t="inlineStr">
        <is>
          <t>The Peterson Company, LLC</t>
        </is>
      </c>
      <c r="G96" s="53" t="inlineStr">
        <is>
          <t>ACTIVE</t>
        </is>
      </c>
      <c r="H96" s="53" t="n">
        <v>181500</v>
      </c>
      <c r="I96" s="53" t="n">
        <v>-150700</v>
      </c>
      <c r="J96" s="53" t="n">
        <v>181500</v>
      </c>
      <c r="K96" s="53" t="n">
        <v>0</v>
      </c>
      <c r="L96" s="53" t="n">
        <v>117712.76</v>
      </c>
      <c r="M96" s="53" t="n">
        <v>117712.76</v>
      </c>
      <c r="N96" s="53" t="n">
        <v>1</v>
      </c>
      <c r="O96" s="53" t="n">
        <v>181500</v>
      </c>
      <c r="P96" s="53" t="n">
        <v>0</v>
      </c>
      <c r="Q96" s="53" t="n">
        <v>0</v>
      </c>
      <c r="R96" s="53" t="n">
        <v>0</v>
      </c>
      <c r="S96" s="53" t="n">
        <v>0</v>
      </c>
      <c r="T96" s="53" t="n">
        <v>63787.24</v>
      </c>
      <c r="U96" s="53" t="n">
        <v>0.3514</v>
      </c>
      <c r="V96" s="53" t="n">
        <v>35.14</v>
      </c>
      <c r="W96" s="53" t="n">
        <v>0.0002</v>
      </c>
      <c r="X96" s="53" t="n">
        <v>0.3514</v>
      </c>
      <c r="Y96" s="53" t="n">
        <v>-0.3513</v>
      </c>
      <c r="Z96" s="53" t="n">
        <v>0</v>
      </c>
      <c r="AA96" s="53" t="n">
        <v>181500</v>
      </c>
      <c r="AB96" s="53" t="inlineStr">
        <is>
          <t>TRUE</t>
        </is>
      </c>
      <c r="AC96" s="53" t="inlineStr">
        <is>
          <t>TRUE</t>
        </is>
      </c>
    </row>
    <row r="97">
      <c r="A97" s="53" t="inlineStr">
        <is>
          <t>2026-06-17</t>
        </is>
      </c>
      <c r="B97" s="53" t="inlineStr">
        <is>
          <t>2585536</t>
        </is>
      </c>
      <c r="C97" s="53" t="inlineStr">
        <is>
          <t>DS.2025.2361 Courtyards of Westfield 104</t>
        </is>
      </c>
      <c r="D97" s="53" t="inlineStr">
        <is>
          <t>DW</t>
        </is>
      </c>
      <c r="E97" s="53" t="inlineStr">
        <is>
          <t>(Unassigned)</t>
        </is>
      </c>
      <c r="F97" s="53" t="inlineStr">
        <is>
          <t>Big Dawg Drywall</t>
        </is>
      </c>
      <c r="G97" s="53" t="inlineStr">
        <is>
          <t>ACTIVE</t>
        </is>
      </c>
      <c r="H97" s="53" t="n">
        <v>6977.16</v>
      </c>
      <c r="I97" s="53" t="n">
        <v>0</v>
      </c>
      <c r="J97" s="53" t="n">
        <v>6977.16</v>
      </c>
      <c r="K97" s="53" t="n">
        <v>7465.56</v>
      </c>
      <c r="L97" s="53" t="n">
        <v>0</v>
      </c>
      <c r="M97" s="53" t="n">
        <v>5142.81</v>
      </c>
      <c r="N97" s="53" t="n">
        <v>0</v>
      </c>
      <c r="O97" s="53" t="n">
        <v>0</v>
      </c>
      <c r="P97" s="53" t="n">
        <v>-6977.16</v>
      </c>
      <c r="Q97" s="53" t="n">
        <v>0</v>
      </c>
      <c r="R97" s="53" t="n">
        <v>6977.16</v>
      </c>
      <c r="S97" s="53" t="n">
        <v>0</v>
      </c>
      <c r="T97" s="53" t="n">
        <v>1834.35</v>
      </c>
      <c r="U97" s="53" t="n">
        <v>0.2629</v>
      </c>
      <c r="V97" s="53" t="n">
        <v>100</v>
      </c>
      <c r="W97" s="53" t="n">
        <v>0.0143</v>
      </c>
      <c r="X97" s="53" t="n">
        <v>0</v>
      </c>
      <c r="Y97" s="53" t="n">
        <v>0</v>
      </c>
      <c r="Z97" s="53" t="n">
        <v>0</v>
      </c>
      <c r="AA97" s="53" t="n">
        <v>-488.4</v>
      </c>
      <c r="AB97" s="53" t="inlineStr">
        <is>
          <t>FALSE</t>
        </is>
      </c>
      <c r="AC97" s="53" t="inlineStr">
        <is>
          <t>FALSE</t>
        </is>
      </c>
    </row>
    <row r="98">
      <c r="A98" s="53" t="inlineStr">
        <is>
          <t>2026-06-17</t>
        </is>
      </c>
      <c r="B98" s="53" t="inlineStr">
        <is>
          <t>2584758</t>
        </is>
      </c>
      <c r="C98" s="53" t="inlineStr">
        <is>
          <t>DS.2025.2360 GSI Duplex Bloomington</t>
        </is>
      </c>
      <c r="D98" s="53" t="inlineStr">
        <is>
          <t>DW</t>
        </is>
      </c>
      <c r="E98" s="53" t="inlineStr">
        <is>
          <t>(Unassigned)</t>
        </is>
      </c>
      <c r="F98" s="53" t="inlineStr">
        <is>
          <t>GSI - Gregory Scott Inabnit LLC</t>
        </is>
      </c>
      <c r="G98" s="53" t="inlineStr">
        <is>
          <t>ACTIVE</t>
        </is>
      </c>
      <c r="H98" s="53" t="n">
        <v>3176.47</v>
      </c>
      <c r="I98" s="53" t="n">
        <v>0</v>
      </c>
      <c r="J98" s="53" t="n">
        <v>3176.47</v>
      </c>
      <c r="K98" s="53" t="n">
        <v>0</v>
      </c>
      <c r="L98" s="53" t="n">
        <v>0</v>
      </c>
      <c r="M98" s="53" t="n">
        <v>2134.51</v>
      </c>
      <c r="N98" s="53" t="n">
        <v>0</v>
      </c>
      <c r="O98" s="53" t="n">
        <v>0</v>
      </c>
      <c r="P98" s="53" t="n">
        <v>-3176.47</v>
      </c>
      <c r="Q98" s="53" t="n">
        <v>0</v>
      </c>
      <c r="R98" s="53" t="n">
        <v>3176.47</v>
      </c>
      <c r="S98" s="53" t="n">
        <v>0</v>
      </c>
      <c r="T98" s="53" t="n">
        <v>1041.96</v>
      </c>
      <c r="U98" s="53" t="n">
        <v>0.328</v>
      </c>
      <c r="V98" s="53" t="n">
        <v>100</v>
      </c>
      <c r="W98" s="53" t="n">
        <v>0.0315</v>
      </c>
      <c r="X98" s="53" t="n">
        <v>0</v>
      </c>
      <c r="Y98" s="53" t="n">
        <v>0</v>
      </c>
      <c r="Z98" s="53" t="n">
        <v>0</v>
      </c>
      <c r="AA98" s="53" t="n">
        <v>3176.47</v>
      </c>
      <c r="AB98" s="53" t="inlineStr">
        <is>
          <t>FALSE</t>
        </is>
      </c>
      <c r="AC98" s="53" t="inlineStr">
        <is>
          <t>FALSE</t>
        </is>
      </c>
    </row>
    <row r="99">
      <c r="A99" s="53" t="inlineStr">
        <is>
          <t>2026-06-17</t>
        </is>
      </c>
      <c r="B99" s="53" t="inlineStr">
        <is>
          <t>2584752</t>
        </is>
      </c>
      <c r="C99" s="53" t="inlineStr">
        <is>
          <t>DS.2025.2359 Courtyards of Westfield 105</t>
        </is>
      </c>
      <c r="D99" s="53" t="inlineStr">
        <is>
          <t>DW</t>
        </is>
      </c>
      <c r="E99" s="53" t="inlineStr">
        <is>
          <t>(Unassigned)</t>
        </is>
      </c>
      <c r="F99" s="53" t="inlineStr">
        <is>
          <t>Big Dawg Drywall</t>
        </is>
      </c>
      <c r="G99" s="53" t="inlineStr">
        <is>
          <t>ACTIVE</t>
        </is>
      </c>
      <c r="H99" s="53" t="n">
        <v>6540.06</v>
      </c>
      <c r="I99" s="53" t="n">
        <v>0</v>
      </c>
      <c r="J99" s="53" t="n">
        <v>6540.06</v>
      </c>
      <c r="K99" s="53" t="n">
        <v>6997.86</v>
      </c>
      <c r="L99" s="53" t="n">
        <v>0</v>
      </c>
      <c r="M99" s="53" t="n">
        <v>4832.67</v>
      </c>
      <c r="N99" s="53" t="n">
        <v>0</v>
      </c>
      <c r="O99" s="53" t="n">
        <v>0</v>
      </c>
      <c r="P99" s="53" t="n">
        <v>-6540.06</v>
      </c>
      <c r="Q99" s="53" t="n">
        <v>0</v>
      </c>
      <c r="R99" s="53" t="n">
        <v>6540.06</v>
      </c>
      <c r="S99" s="53" t="n">
        <v>0</v>
      </c>
      <c r="T99" s="53" t="n">
        <v>1707.39</v>
      </c>
      <c r="U99" s="53" t="n">
        <v>0.2611</v>
      </c>
      <c r="V99" s="53" t="n">
        <v>100</v>
      </c>
      <c r="W99" s="53" t="n">
        <v>0.0153</v>
      </c>
      <c r="X99" s="53" t="n">
        <v>0</v>
      </c>
      <c r="Y99" s="53" t="n">
        <v>0</v>
      </c>
      <c r="Z99" s="53" t="n">
        <v>0</v>
      </c>
      <c r="AA99" s="53" t="n">
        <v>-457.8</v>
      </c>
      <c r="AB99" s="53" t="inlineStr">
        <is>
          <t>FALSE</t>
        </is>
      </c>
      <c r="AC99" s="53" t="inlineStr">
        <is>
          <t>FALSE</t>
        </is>
      </c>
    </row>
    <row r="100">
      <c r="A100" s="53" t="inlineStr">
        <is>
          <t>2026-06-17</t>
        </is>
      </c>
      <c r="B100" s="53" t="inlineStr">
        <is>
          <t>2584749</t>
        </is>
      </c>
      <c r="C100" s="53" t="inlineStr">
        <is>
          <t>DS.2025.2358 Courtyards of Cielo Ranch 7</t>
        </is>
      </c>
      <c r="D100" s="53" t="inlineStr">
        <is>
          <t>DW</t>
        </is>
      </c>
      <c r="E100" s="53" t="inlineStr">
        <is>
          <t>(Unassigned)</t>
        </is>
      </c>
      <c r="F100" s="53" t="inlineStr">
        <is>
          <t>Big Dawg Drywall</t>
        </is>
      </c>
      <c r="G100" s="53" t="inlineStr">
        <is>
          <t>ACTIVE</t>
        </is>
      </c>
      <c r="H100" s="53" t="n">
        <v>6662.19</v>
      </c>
      <c r="I100" s="53" t="n">
        <v>0</v>
      </c>
      <c r="J100" s="53" t="n">
        <v>6662.19</v>
      </c>
      <c r="K100" s="53" t="n">
        <v>7128.54</v>
      </c>
      <c r="L100" s="53" t="n">
        <v>0</v>
      </c>
      <c r="M100" s="53" t="n">
        <v>4928.52</v>
      </c>
      <c r="N100" s="53" t="n">
        <v>0</v>
      </c>
      <c r="O100" s="53" t="n">
        <v>0</v>
      </c>
      <c r="P100" s="53" t="n">
        <v>-6662.19</v>
      </c>
      <c r="Q100" s="53" t="n">
        <v>0</v>
      </c>
      <c r="R100" s="53" t="n">
        <v>6662.19</v>
      </c>
      <c r="S100" s="53" t="n">
        <v>0</v>
      </c>
      <c r="T100" s="53" t="n">
        <v>1733.67</v>
      </c>
      <c r="U100" s="53" t="n">
        <v>0.2602</v>
      </c>
      <c r="V100" s="53" t="n">
        <v>100</v>
      </c>
      <c r="W100" s="53" t="n">
        <v>0.015</v>
      </c>
      <c r="X100" s="53" t="n">
        <v>0</v>
      </c>
      <c r="Y100" s="53" t="n">
        <v>0</v>
      </c>
      <c r="Z100" s="53" t="n">
        <v>0</v>
      </c>
      <c r="AA100" s="53" t="n">
        <v>-466.35</v>
      </c>
      <c r="AB100" s="53" t="inlineStr">
        <is>
          <t>FALSE</t>
        </is>
      </c>
      <c r="AC100" s="53" t="inlineStr">
        <is>
          <t>FALSE</t>
        </is>
      </c>
    </row>
    <row r="101">
      <c r="A101" s="53" t="inlineStr">
        <is>
          <t>2026-06-17</t>
        </is>
      </c>
      <c r="B101" s="53" t="inlineStr">
        <is>
          <t>2584742</t>
        </is>
      </c>
      <c r="C101" s="53" t="inlineStr">
        <is>
          <t>DS.2025.2357 3704 South Whetstine Rd</t>
        </is>
      </c>
      <c r="D101" s="53" t="inlineStr">
        <is>
          <t>DW</t>
        </is>
      </c>
      <c r="E101" s="53" t="inlineStr">
        <is>
          <t>(Unassigned)</t>
        </is>
      </c>
      <c r="F101" s="53" t="inlineStr">
        <is>
          <t>Total Drywall Solutions Inc</t>
        </is>
      </c>
      <c r="G101" s="53" t="inlineStr">
        <is>
          <t>ACTIVE</t>
        </is>
      </c>
      <c r="H101" s="53" t="n">
        <v>9710.18</v>
      </c>
      <c r="I101" s="53" t="n">
        <v>0</v>
      </c>
      <c r="J101" s="53" t="n">
        <v>9710.18</v>
      </c>
      <c r="K101" s="53" t="n">
        <v>10389.89</v>
      </c>
      <c r="L101" s="53" t="n">
        <v>0</v>
      </c>
      <c r="M101" s="53" t="n">
        <v>7062.38</v>
      </c>
      <c r="N101" s="53" t="n">
        <v>0</v>
      </c>
      <c r="O101" s="53" t="n">
        <v>0</v>
      </c>
      <c r="P101" s="53" t="n">
        <v>-9710.18</v>
      </c>
      <c r="Q101" s="53" t="n">
        <v>0</v>
      </c>
      <c r="R101" s="53" t="n">
        <v>9710.18</v>
      </c>
      <c r="S101" s="53" t="n">
        <v>0</v>
      </c>
      <c r="T101" s="53" t="n">
        <v>2647.8</v>
      </c>
      <c r="U101" s="53" t="n">
        <v>0.2727</v>
      </c>
      <c r="V101" s="53" t="n">
        <v>100</v>
      </c>
      <c r="W101" s="53" t="n">
        <v>0.0103</v>
      </c>
      <c r="X101" s="53" t="n">
        <v>0</v>
      </c>
      <c r="Y101" s="53" t="n">
        <v>0</v>
      </c>
      <c r="Z101" s="53" t="n">
        <v>0</v>
      </c>
      <c r="AA101" s="53" t="n">
        <v>-679.71</v>
      </c>
      <c r="AB101" s="53" t="inlineStr">
        <is>
          <t>FALSE</t>
        </is>
      </c>
      <c r="AC101" s="53" t="inlineStr">
        <is>
          <t>FALSE</t>
        </is>
      </c>
    </row>
    <row r="102">
      <c r="A102" s="53" t="inlineStr">
        <is>
          <t>2026-06-17</t>
        </is>
      </c>
      <c r="B102" s="53" t="inlineStr">
        <is>
          <t>2579439</t>
        </is>
      </c>
      <c r="C102" s="53" t="inlineStr">
        <is>
          <t>Priority Way Office</t>
        </is>
      </c>
      <c r="D102" s="53" t="inlineStr">
        <is>
          <t>UN</t>
        </is>
      </c>
      <c r="E102" s="53" t="inlineStr">
        <is>
          <t>(Unassigned)</t>
        </is>
      </c>
      <c r="F102" s="53" t="inlineStr">
        <is>
          <t>MDG Real Estate LLC</t>
        </is>
      </c>
      <c r="G102" s="53" t="inlineStr">
        <is>
          <t>ACTIVE</t>
        </is>
      </c>
      <c r="H102" s="53" t="n">
        <v>413250</v>
      </c>
      <c r="I102" s="53" t="n">
        <v>0</v>
      </c>
      <c r="J102" s="53" t="n">
        <v>413250</v>
      </c>
      <c r="K102" s="53" t="n">
        <v>413250</v>
      </c>
      <c r="L102" s="53" t="n">
        <v>413250</v>
      </c>
      <c r="M102" s="53" t="n">
        <v>401821.61</v>
      </c>
      <c r="N102" s="53" t="n">
        <v>0.9723000000000001</v>
      </c>
      <c r="O102" s="53" t="n">
        <v>401802.98</v>
      </c>
      <c r="P102" s="53" t="n">
        <v>-11447.02</v>
      </c>
      <c r="Q102" s="53" t="n">
        <v>-11428.39</v>
      </c>
      <c r="R102" s="53" t="n">
        <v>11447.02</v>
      </c>
      <c r="S102" s="53" t="n">
        <v>0</v>
      </c>
      <c r="T102" s="53" t="n">
        <v>11428.39</v>
      </c>
      <c r="U102" s="53" t="n">
        <v>0.0277</v>
      </c>
      <c r="V102" s="53" t="n">
        <v>0</v>
      </c>
      <c r="W102" s="53" t="n">
        <v>0</v>
      </c>
      <c r="X102" s="53" t="n">
        <v>0</v>
      </c>
      <c r="Y102" s="53" t="n">
        <v>0</v>
      </c>
      <c r="Z102" s="53" t="n">
        <v>0</v>
      </c>
      <c r="AA102" s="53" t="n">
        <v>0</v>
      </c>
      <c r="AB102" s="53" t="inlineStr">
        <is>
          <t>TRUE</t>
        </is>
      </c>
      <c r="AC102" s="53" t="inlineStr">
        <is>
          <t>FALSE</t>
        </is>
      </c>
    </row>
    <row r="103">
      <c r="A103" s="53" t="inlineStr">
        <is>
          <t>2026-06-17</t>
        </is>
      </c>
      <c r="B103" s="53" t="inlineStr">
        <is>
          <t>2579268</t>
        </is>
      </c>
      <c r="C103" s="53" t="inlineStr">
        <is>
          <t>DS.2025.2356 Courtyards of Ceilo Ranch 127</t>
        </is>
      </c>
      <c r="D103" s="53" t="inlineStr">
        <is>
          <t>DW</t>
        </is>
      </c>
      <c r="E103" s="53" t="inlineStr">
        <is>
          <t>(Unassigned)</t>
        </is>
      </c>
      <c r="F103" s="53" t="inlineStr">
        <is>
          <t>Big Dawg Drywall</t>
        </is>
      </c>
      <c r="G103" s="53" t="inlineStr">
        <is>
          <t>ACTIVE</t>
        </is>
      </c>
      <c r="H103" s="53" t="n">
        <v>8915.92</v>
      </c>
      <c r="I103" s="53" t="n">
        <v>0</v>
      </c>
      <c r="J103" s="53" t="n">
        <v>8915.92</v>
      </c>
      <c r="K103" s="53" t="n">
        <v>9540.030000000001</v>
      </c>
      <c r="L103" s="53" t="n">
        <v>0</v>
      </c>
      <c r="M103" s="53" t="n">
        <v>6509.72</v>
      </c>
      <c r="N103" s="53" t="n">
        <v>0</v>
      </c>
      <c r="O103" s="53" t="n">
        <v>0</v>
      </c>
      <c r="P103" s="53" t="n">
        <v>-8915.92</v>
      </c>
      <c r="Q103" s="53" t="n">
        <v>0</v>
      </c>
      <c r="R103" s="53" t="n">
        <v>8915.92</v>
      </c>
      <c r="S103" s="53" t="n">
        <v>0</v>
      </c>
      <c r="T103" s="53" t="n">
        <v>2406.2</v>
      </c>
      <c r="U103" s="53" t="n">
        <v>0.2699</v>
      </c>
      <c r="V103" s="53" t="n">
        <v>100</v>
      </c>
      <c r="W103" s="53" t="n">
        <v>0.0112</v>
      </c>
      <c r="X103" s="53" t="n">
        <v>0</v>
      </c>
      <c r="Y103" s="53" t="n">
        <v>0</v>
      </c>
      <c r="Z103" s="53" t="n">
        <v>0</v>
      </c>
      <c r="AA103" s="53" t="n">
        <v>-624.11</v>
      </c>
      <c r="AB103" s="53" t="inlineStr">
        <is>
          <t>FALSE</t>
        </is>
      </c>
      <c r="AC103" s="53" t="inlineStr">
        <is>
          <t>FALSE</t>
        </is>
      </c>
    </row>
    <row r="104">
      <c r="A104" s="53" t="inlineStr">
        <is>
          <t>2026-06-17</t>
        </is>
      </c>
      <c r="B104" s="53" t="inlineStr">
        <is>
          <t>2579242</t>
        </is>
      </c>
      <c r="C104" s="53" t="inlineStr">
        <is>
          <t>DS.2025.2355 Courtyards of Ceilo Ranch 36</t>
        </is>
      </c>
      <c r="D104" s="53" t="inlineStr">
        <is>
          <t>DW</t>
        </is>
      </c>
      <c r="E104" s="53" t="inlineStr">
        <is>
          <t>(Unassigned)</t>
        </is>
      </c>
      <c r="F104" s="53" t="inlineStr">
        <is>
          <t>Big Dawg Drywall</t>
        </is>
      </c>
      <c r="G104" s="53" t="inlineStr">
        <is>
          <t>ACTIVE</t>
        </is>
      </c>
      <c r="H104" s="53" t="n">
        <v>6701.19</v>
      </c>
      <c r="I104" s="53" t="n">
        <v>0</v>
      </c>
      <c r="J104" s="53" t="n">
        <v>6701.19</v>
      </c>
      <c r="K104" s="53" t="n">
        <v>7170.27</v>
      </c>
      <c r="L104" s="53" t="n">
        <v>0</v>
      </c>
      <c r="M104" s="53" t="n">
        <v>4968.22</v>
      </c>
      <c r="N104" s="53" t="n">
        <v>0</v>
      </c>
      <c r="O104" s="53" t="n">
        <v>0</v>
      </c>
      <c r="P104" s="53" t="n">
        <v>-6701.19</v>
      </c>
      <c r="Q104" s="53" t="n">
        <v>0</v>
      </c>
      <c r="R104" s="53" t="n">
        <v>6701.19</v>
      </c>
      <c r="S104" s="53" t="n">
        <v>0</v>
      </c>
      <c r="T104" s="53" t="n">
        <v>1732.97</v>
      </c>
      <c r="U104" s="53" t="n">
        <v>0.2586</v>
      </c>
      <c r="V104" s="53" t="n">
        <v>100</v>
      </c>
      <c r="W104" s="53" t="n">
        <v>0.0149</v>
      </c>
      <c r="X104" s="53" t="n">
        <v>0</v>
      </c>
      <c r="Y104" s="53" t="n">
        <v>0</v>
      </c>
      <c r="Z104" s="53" t="n">
        <v>0</v>
      </c>
      <c r="AA104" s="53" t="n">
        <v>-469.08</v>
      </c>
      <c r="AB104" s="53" t="inlineStr">
        <is>
          <t>FALSE</t>
        </is>
      </c>
      <c r="AC104" s="53" t="inlineStr">
        <is>
          <t>FALSE</t>
        </is>
      </c>
    </row>
    <row r="105">
      <c r="A105" s="53" t="inlineStr">
        <is>
          <t>2026-06-17</t>
        </is>
      </c>
      <c r="B105" s="53" t="inlineStr">
        <is>
          <t>2575648</t>
        </is>
      </c>
      <c r="C105" s="53" t="inlineStr">
        <is>
          <t>DS.2025.2354 GSI Triplex</t>
        </is>
      </c>
      <c r="D105" s="53" t="inlineStr">
        <is>
          <t>DW</t>
        </is>
      </c>
      <c r="E105" s="53" t="inlineStr">
        <is>
          <t>(Unassigned)</t>
        </is>
      </c>
      <c r="F105" s="53" t="inlineStr">
        <is>
          <t>GSI - Gregory Scott Inabnit LLC</t>
        </is>
      </c>
      <c r="G105" s="53" t="inlineStr">
        <is>
          <t>ACTIVE</t>
        </is>
      </c>
      <c r="H105" s="53" t="n">
        <v>11279.53</v>
      </c>
      <c r="I105" s="53" t="n">
        <v>0</v>
      </c>
      <c r="J105" s="53" t="n">
        <v>11279.53</v>
      </c>
      <c r="K105" s="53" t="n">
        <v>0</v>
      </c>
      <c r="L105" s="53" t="n">
        <v>0</v>
      </c>
      <c r="M105" s="53" t="n">
        <v>7717.81</v>
      </c>
      <c r="N105" s="53" t="n">
        <v>0</v>
      </c>
      <c r="O105" s="53" t="n">
        <v>0</v>
      </c>
      <c r="P105" s="53" t="n">
        <v>-11279.53</v>
      </c>
      <c r="Q105" s="53" t="n">
        <v>0</v>
      </c>
      <c r="R105" s="53" t="n">
        <v>11279.53</v>
      </c>
      <c r="S105" s="53" t="n">
        <v>0</v>
      </c>
      <c r="T105" s="53" t="n">
        <v>3561.72</v>
      </c>
      <c r="U105" s="53" t="n">
        <v>0.3158</v>
      </c>
      <c r="V105" s="53" t="n">
        <v>100</v>
      </c>
      <c r="W105" s="53" t="n">
        <v>0.0089</v>
      </c>
      <c r="X105" s="53" t="n">
        <v>0</v>
      </c>
      <c r="Y105" s="53" t="n">
        <v>0</v>
      </c>
      <c r="Z105" s="53" t="n">
        <v>0</v>
      </c>
      <c r="AA105" s="53" t="n">
        <v>11279.53</v>
      </c>
      <c r="AB105" s="53" t="inlineStr">
        <is>
          <t>FALSE</t>
        </is>
      </c>
      <c r="AC105" s="53" t="inlineStr">
        <is>
          <t>FALSE</t>
        </is>
      </c>
    </row>
    <row r="106">
      <c r="A106" s="53" t="inlineStr">
        <is>
          <t>2026-06-17</t>
        </is>
      </c>
      <c r="B106" s="53" t="inlineStr">
        <is>
          <t>2575437</t>
        </is>
      </c>
      <c r="C106" s="53" t="inlineStr">
        <is>
          <t>DS.2025.2353 Courtyards of Westfield 95</t>
        </is>
      </c>
      <c r="D106" s="53" t="inlineStr">
        <is>
          <t>DW</t>
        </is>
      </c>
      <c r="E106" s="53" t="inlineStr">
        <is>
          <t>(Unassigned)</t>
        </is>
      </c>
      <c r="F106" s="53" t="inlineStr">
        <is>
          <t>Big Dawg Drywall</t>
        </is>
      </c>
      <c r="G106" s="53" t="inlineStr">
        <is>
          <t>ACTIVE</t>
        </is>
      </c>
      <c r="H106" s="53" t="n">
        <v>33.28</v>
      </c>
      <c r="I106" s="53" t="n">
        <v>0</v>
      </c>
      <c r="J106" s="53" t="n">
        <v>33.28</v>
      </c>
      <c r="K106" s="53" t="n">
        <v>33.28</v>
      </c>
      <c r="L106" s="53" t="n">
        <v>0</v>
      </c>
      <c r="M106" s="53" t="n">
        <v>25.6</v>
      </c>
      <c r="N106" s="53" t="n">
        <v>0</v>
      </c>
      <c r="O106" s="53" t="n">
        <v>0</v>
      </c>
      <c r="P106" s="53" t="n">
        <v>-33.28</v>
      </c>
      <c r="Q106" s="53" t="n">
        <v>0</v>
      </c>
      <c r="R106" s="53" t="n">
        <v>33.28</v>
      </c>
      <c r="S106" s="53" t="n">
        <v>0</v>
      </c>
      <c r="T106" s="53" t="n">
        <v>7.68</v>
      </c>
      <c r="U106" s="53" t="n">
        <v>0.2308</v>
      </c>
      <c r="V106" s="53" t="n">
        <v>100</v>
      </c>
      <c r="W106" s="53" t="n">
        <v>3.0048</v>
      </c>
      <c r="X106" s="53" t="n">
        <v>0</v>
      </c>
      <c r="Y106" s="53" t="n">
        <v>0</v>
      </c>
      <c r="Z106" s="53" t="n">
        <v>0</v>
      </c>
      <c r="AA106" s="53" t="n">
        <v>0</v>
      </c>
      <c r="AB106" s="53" t="inlineStr">
        <is>
          <t>FALSE</t>
        </is>
      </c>
      <c r="AC106" s="53" t="inlineStr">
        <is>
          <t>FALSE</t>
        </is>
      </c>
    </row>
    <row r="107">
      <c r="A107" s="53" t="inlineStr">
        <is>
          <t>2026-06-17</t>
        </is>
      </c>
      <c r="B107" s="53" t="inlineStr">
        <is>
          <t>2569388</t>
        </is>
      </c>
      <c r="C107" s="53" t="inlineStr">
        <is>
          <t>DS.2025.2352 Charlstown Manor Lot 86</t>
        </is>
      </c>
      <c r="D107" s="53" t="inlineStr">
        <is>
          <t>DW</t>
        </is>
      </c>
      <c r="E107" s="53" t="inlineStr">
        <is>
          <t>(Unassigned)</t>
        </is>
      </c>
      <c r="F107" s="53" t="inlineStr">
        <is>
          <t>GSI - Gregory Scott Inabnit LLC</t>
        </is>
      </c>
      <c r="G107" s="53" t="inlineStr">
        <is>
          <t>ACTIVE</t>
        </is>
      </c>
      <c r="H107" s="53" t="n">
        <v>5697.42</v>
      </c>
      <c r="I107" s="53" t="n">
        <v>0</v>
      </c>
      <c r="J107" s="53" t="n">
        <v>5697.42</v>
      </c>
      <c r="K107" s="53" t="n">
        <v>6096.24</v>
      </c>
      <c r="L107" s="53" t="n">
        <v>0</v>
      </c>
      <c r="M107" s="53" t="n">
        <v>3957.26</v>
      </c>
      <c r="N107" s="53" t="n">
        <v>0</v>
      </c>
      <c r="O107" s="53" t="n">
        <v>0</v>
      </c>
      <c r="P107" s="53" t="n">
        <v>-5697.42</v>
      </c>
      <c r="Q107" s="53" t="n">
        <v>0</v>
      </c>
      <c r="R107" s="53" t="n">
        <v>5697.42</v>
      </c>
      <c r="S107" s="53" t="n">
        <v>0</v>
      </c>
      <c r="T107" s="53" t="n">
        <v>1740.16</v>
      </c>
      <c r="U107" s="53" t="n">
        <v>0.3054</v>
      </c>
      <c r="V107" s="53" t="n">
        <v>100</v>
      </c>
      <c r="W107" s="53" t="n">
        <v>0.0176</v>
      </c>
      <c r="X107" s="53" t="n">
        <v>0</v>
      </c>
      <c r="Y107" s="53" t="n">
        <v>0</v>
      </c>
      <c r="Z107" s="53" t="n">
        <v>0</v>
      </c>
      <c r="AA107" s="53" t="n">
        <v>-398.82</v>
      </c>
      <c r="AB107" s="53" t="inlineStr">
        <is>
          <t>FALSE</t>
        </is>
      </c>
      <c r="AC107" s="53" t="inlineStr">
        <is>
          <t>FALSE</t>
        </is>
      </c>
    </row>
    <row r="108">
      <c r="A108" s="53" t="inlineStr">
        <is>
          <t>2026-06-17</t>
        </is>
      </c>
      <c r="B108" s="53" t="inlineStr">
        <is>
          <t>2569308</t>
        </is>
      </c>
      <c r="C108" s="53" t="inlineStr">
        <is>
          <t>DS.2025.2351 Courtyards of Cielo Ranch 1</t>
        </is>
      </c>
      <c r="D108" s="53" t="inlineStr">
        <is>
          <t>DW</t>
        </is>
      </c>
      <c r="E108" s="53" t="inlineStr">
        <is>
          <t>(Unassigned)</t>
        </is>
      </c>
      <c r="F108" s="53" t="inlineStr">
        <is>
          <t>Big Dawg Drywall</t>
        </is>
      </c>
      <c r="G108" s="53" t="inlineStr">
        <is>
          <t>ACTIVE</t>
        </is>
      </c>
      <c r="H108" s="53" t="n">
        <v>6786.18</v>
      </c>
      <c r="I108" s="53" t="n">
        <v>0</v>
      </c>
      <c r="J108" s="53" t="n">
        <v>6786.18</v>
      </c>
      <c r="K108" s="53" t="n">
        <v>7261.21</v>
      </c>
      <c r="L108" s="53" t="n">
        <v>0</v>
      </c>
      <c r="M108" s="53" t="n">
        <v>4998.63</v>
      </c>
      <c r="N108" s="53" t="n">
        <v>0</v>
      </c>
      <c r="O108" s="53" t="n">
        <v>0</v>
      </c>
      <c r="P108" s="53" t="n">
        <v>-6786.18</v>
      </c>
      <c r="Q108" s="53" t="n">
        <v>0</v>
      </c>
      <c r="R108" s="53" t="n">
        <v>6786.18</v>
      </c>
      <c r="S108" s="53" t="n">
        <v>0</v>
      </c>
      <c r="T108" s="53" t="n">
        <v>1787.55</v>
      </c>
      <c r="U108" s="53" t="n">
        <v>0.2634</v>
      </c>
      <c r="V108" s="53" t="n">
        <v>100</v>
      </c>
      <c r="W108" s="53" t="n">
        <v>0.0147</v>
      </c>
      <c r="X108" s="53" t="n">
        <v>0</v>
      </c>
      <c r="Y108" s="53" t="n">
        <v>0</v>
      </c>
      <c r="Z108" s="53" t="n">
        <v>0</v>
      </c>
      <c r="AA108" s="53" t="n">
        <v>-475.03</v>
      </c>
      <c r="AB108" s="53" t="inlineStr">
        <is>
          <t>FALSE</t>
        </is>
      </c>
      <c r="AC108" s="53" t="inlineStr">
        <is>
          <t>FALSE</t>
        </is>
      </c>
    </row>
    <row r="109">
      <c r="A109" s="53" t="inlineStr">
        <is>
          <t>2026-06-17</t>
        </is>
      </c>
      <c r="B109" s="53" t="inlineStr">
        <is>
          <t>2563362</t>
        </is>
      </c>
      <c r="C109" s="53" t="inlineStr">
        <is>
          <t>DS.2025.2350 Courtyards of Westfield 95</t>
        </is>
      </c>
      <c r="D109" s="53" t="inlineStr">
        <is>
          <t>DW</t>
        </is>
      </c>
      <c r="E109" s="53" t="inlineStr">
        <is>
          <t>(Unassigned)</t>
        </is>
      </c>
      <c r="F109" s="53" t="inlineStr">
        <is>
          <t>Big Dawg Drywall</t>
        </is>
      </c>
      <c r="G109" s="53" t="inlineStr">
        <is>
          <t>ACTIVE</t>
        </is>
      </c>
      <c r="H109" s="53" t="n">
        <v>7163.47</v>
      </c>
      <c r="I109" s="53" t="n">
        <v>0</v>
      </c>
      <c r="J109" s="53" t="n">
        <v>7163.47</v>
      </c>
      <c r="K109" s="53" t="n">
        <v>7664.91</v>
      </c>
      <c r="L109" s="53" t="n">
        <v>0</v>
      </c>
      <c r="M109" s="53" t="n">
        <v>5346.88</v>
      </c>
      <c r="N109" s="53" t="n">
        <v>0</v>
      </c>
      <c r="O109" s="53" t="n">
        <v>0</v>
      </c>
      <c r="P109" s="53" t="n">
        <v>-7163.47</v>
      </c>
      <c r="Q109" s="53" t="n">
        <v>0</v>
      </c>
      <c r="R109" s="53" t="n">
        <v>7163.47</v>
      </c>
      <c r="S109" s="53" t="n">
        <v>0</v>
      </c>
      <c r="T109" s="53" t="n">
        <v>1816.59</v>
      </c>
      <c r="U109" s="53" t="n">
        <v>0.2536</v>
      </c>
      <c r="V109" s="53" t="n">
        <v>100</v>
      </c>
      <c r="W109" s="53" t="n">
        <v>0.014</v>
      </c>
      <c r="X109" s="53" t="n">
        <v>0</v>
      </c>
      <c r="Y109" s="53" t="n">
        <v>0</v>
      </c>
      <c r="Z109" s="53" t="n">
        <v>0</v>
      </c>
      <c r="AA109" s="53" t="n">
        <v>-501.44</v>
      </c>
      <c r="AB109" s="53" t="inlineStr">
        <is>
          <t>FALSE</t>
        </is>
      </c>
      <c r="AC109" s="53" t="inlineStr">
        <is>
          <t>FALSE</t>
        </is>
      </c>
    </row>
    <row r="110">
      <c r="A110" s="53" t="inlineStr">
        <is>
          <t>2026-06-17</t>
        </is>
      </c>
      <c r="B110" s="53" t="inlineStr">
        <is>
          <t>2563168</t>
        </is>
      </c>
      <c r="C110" s="53" t="inlineStr">
        <is>
          <t>DS.2025.2349 208 N Washington Street</t>
        </is>
      </c>
      <c r="D110" s="53" t="inlineStr">
        <is>
          <t>DW</t>
        </is>
      </c>
      <c r="E110" s="53" t="inlineStr">
        <is>
          <t>(Unassigned)</t>
        </is>
      </c>
      <c r="F110" s="53" t="inlineStr">
        <is>
          <t>Total Drywall Solutions Inc</t>
        </is>
      </c>
      <c r="G110" s="53" t="inlineStr">
        <is>
          <t>ACTIVE</t>
        </is>
      </c>
      <c r="H110" s="53" t="n">
        <v>7722.9</v>
      </c>
      <c r="I110" s="53" t="n">
        <v>0</v>
      </c>
      <c r="J110" s="53" t="n">
        <v>7722.9</v>
      </c>
      <c r="K110" s="53" t="n">
        <v>8263.309999999999</v>
      </c>
      <c r="L110" s="53" t="n">
        <v>0</v>
      </c>
      <c r="M110" s="53" t="n">
        <v>5619.97</v>
      </c>
      <c r="N110" s="53" t="n">
        <v>0</v>
      </c>
      <c r="O110" s="53" t="n">
        <v>0</v>
      </c>
      <c r="P110" s="53" t="n">
        <v>-7722.9</v>
      </c>
      <c r="Q110" s="53" t="n">
        <v>0</v>
      </c>
      <c r="R110" s="53" t="n">
        <v>7722.9</v>
      </c>
      <c r="S110" s="53" t="n">
        <v>0</v>
      </c>
      <c r="T110" s="53" t="n">
        <v>2102.93</v>
      </c>
      <c r="U110" s="53" t="n">
        <v>0.2723</v>
      </c>
      <c r="V110" s="53" t="n">
        <v>100</v>
      </c>
      <c r="W110" s="53" t="n">
        <v>0.0129</v>
      </c>
      <c r="X110" s="53" t="n">
        <v>0</v>
      </c>
      <c r="Y110" s="53" t="n">
        <v>0</v>
      </c>
      <c r="Z110" s="53" t="n">
        <v>0</v>
      </c>
      <c r="AA110" s="53" t="n">
        <v>-540.41</v>
      </c>
      <c r="AB110" s="53" t="inlineStr">
        <is>
          <t>FALSE</t>
        </is>
      </c>
      <c r="AC110" s="53" t="inlineStr">
        <is>
          <t>FALSE</t>
        </is>
      </c>
    </row>
    <row r="111">
      <c r="A111" s="53" t="inlineStr">
        <is>
          <t>2026-06-17</t>
        </is>
      </c>
      <c r="B111" s="53" t="inlineStr">
        <is>
          <t>2560326</t>
        </is>
      </c>
      <c r="C111" s="53" t="inlineStr">
        <is>
          <t>DS.2025.2348 133 First Ave NE</t>
        </is>
      </c>
      <c r="D111" s="53" t="inlineStr">
        <is>
          <t>DW</t>
        </is>
      </c>
      <c r="E111" s="53" t="inlineStr">
        <is>
          <t>(Unassigned)</t>
        </is>
      </c>
      <c r="F111" s="53" t="inlineStr">
        <is>
          <t>Precision Dry Wall</t>
        </is>
      </c>
      <c r="G111" s="53" t="inlineStr">
        <is>
          <t>ACTIVE</t>
        </is>
      </c>
      <c r="H111" s="53" t="n">
        <v>6893.5</v>
      </c>
      <c r="I111" s="53" t="n">
        <v>0</v>
      </c>
      <c r="J111" s="53" t="n">
        <v>6893.5</v>
      </c>
      <c r="K111" s="53" t="n">
        <v>7376.05</v>
      </c>
      <c r="L111" s="53" t="n">
        <v>0</v>
      </c>
      <c r="M111" s="53" t="n">
        <v>4819.38</v>
      </c>
      <c r="N111" s="53" t="n">
        <v>0</v>
      </c>
      <c r="O111" s="53" t="n">
        <v>0</v>
      </c>
      <c r="P111" s="53" t="n">
        <v>-6893.5</v>
      </c>
      <c r="Q111" s="53" t="n">
        <v>0</v>
      </c>
      <c r="R111" s="53" t="n">
        <v>6893.5</v>
      </c>
      <c r="S111" s="53" t="n">
        <v>0</v>
      </c>
      <c r="T111" s="53" t="n">
        <v>2074.12</v>
      </c>
      <c r="U111" s="53" t="n">
        <v>0.3009</v>
      </c>
      <c r="V111" s="53" t="n">
        <v>100</v>
      </c>
      <c r="W111" s="53" t="n">
        <v>0.0145</v>
      </c>
      <c r="X111" s="53" t="n">
        <v>0</v>
      </c>
      <c r="Y111" s="53" t="n">
        <v>0</v>
      </c>
      <c r="Z111" s="53" t="n">
        <v>0</v>
      </c>
      <c r="AA111" s="53" t="n">
        <v>-482.55</v>
      </c>
      <c r="AB111" s="53" t="inlineStr">
        <is>
          <t>FALSE</t>
        </is>
      </c>
      <c r="AC111" s="53" t="inlineStr">
        <is>
          <t>FALSE</t>
        </is>
      </c>
    </row>
    <row r="112">
      <c r="A112" s="53" t="inlineStr">
        <is>
          <t>2026-06-17</t>
        </is>
      </c>
      <c r="B112" s="53" t="inlineStr">
        <is>
          <t>2560223</t>
        </is>
      </c>
      <c r="C112" s="53" t="inlineStr">
        <is>
          <t>DS.2025.2347 807 Spruce St</t>
        </is>
      </c>
      <c r="D112" s="53" t="inlineStr">
        <is>
          <t>DW</t>
        </is>
      </c>
      <c r="E112" s="53" t="inlineStr">
        <is>
          <t>(Unassigned)</t>
        </is>
      </c>
      <c r="F112" s="53" t="inlineStr">
        <is>
          <t>Pro Fix Drywaller, LLC</t>
        </is>
      </c>
      <c r="G112" s="53" t="inlineStr">
        <is>
          <t>ACTIVE</t>
        </is>
      </c>
      <c r="H112" s="53" t="n">
        <v>8379.790000000001</v>
      </c>
      <c r="I112" s="53" t="n">
        <v>355.2</v>
      </c>
      <c r="J112" s="53" t="n">
        <v>8379.790000000001</v>
      </c>
      <c r="K112" s="53" t="n">
        <v>0</v>
      </c>
      <c r="L112" s="53" t="n">
        <v>0</v>
      </c>
      <c r="M112" s="53" t="n">
        <v>6308.25</v>
      </c>
      <c r="N112" s="53" t="n">
        <v>0</v>
      </c>
      <c r="O112" s="53" t="n">
        <v>0</v>
      </c>
      <c r="P112" s="53" t="n">
        <v>-8379.790000000001</v>
      </c>
      <c r="Q112" s="53" t="n">
        <v>0</v>
      </c>
      <c r="R112" s="53" t="n">
        <v>8379.790000000001</v>
      </c>
      <c r="S112" s="53" t="n">
        <v>0</v>
      </c>
      <c r="T112" s="53" t="n">
        <v>2071.54</v>
      </c>
      <c r="U112" s="53" t="n">
        <v>0.2472</v>
      </c>
      <c r="V112" s="53" t="n">
        <v>100</v>
      </c>
      <c r="W112" s="53" t="n">
        <v>0.0119</v>
      </c>
      <c r="X112" s="53" t="n">
        <v>0</v>
      </c>
      <c r="Y112" s="53" t="n">
        <v>0</v>
      </c>
      <c r="Z112" s="53" t="n">
        <v>0</v>
      </c>
      <c r="AA112" s="53" t="n">
        <v>8379.790000000001</v>
      </c>
      <c r="AB112" s="53" t="inlineStr">
        <is>
          <t>FALSE</t>
        </is>
      </c>
      <c r="AC112" s="53" t="inlineStr">
        <is>
          <t>FALSE</t>
        </is>
      </c>
    </row>
    <row r="113">
      <c r="A113" s="53" t="inlineStr">
        <is>
          <t>2026-06-17</t>
        </is>
      </c>
      <c r="B113" s="53" t="inlineStr">
        <is>
          <t>2552755</t>
        </is>
      </c>
      <c r="C113" s="53" t="inlineStr">
        <is>
          <t>DS.2025.2346 Jeff West House</t>
        </is>
      </c>
      <c r="D113" s="53" t="inlineStr">
        <is>
          <t>DW</t>
        </is>
      </c>
      <c r="E113" s="53" t="inlineStr">
        <is>
          <t>(Unassigned)</t>
        </is>
      </c>
      <c r="F113" s="53" t="inlineStr">
        <is>
          <t>Jeff West Homes</t>
        </is>
      </c>
      <c r="G113" s="53" t="inlineStr">
        <is>
          <t>ACTIVE</t>
        </is>
      </c>
      <c r="H113" s="53" t="n">
        <v>8045.14</v>
      </c>
      <c r="I113" s="53" t="n">
        <v>0</v>
      </c>
      <c r="J113" s="53" t="n">
        <v>8045.14</v>
      </c>
      <c r="K113" s="53" t="n">
        <v>8608.299999999999</v>
      </c>
      <c r="L113" s="53" t="n">
        <v>0</v>
      </c>
      <c r="M113" s="53" t="n">
        <v>6453.13</v>
      </c>
      <c r="N113" s="53" t="n">
        <v>0</v>
      </c>
      <c r="O113" s="53" t="n">
        <v>0</v>
      </c>
      <c r="P113" s="53" t="n">
        <v>-8045.14</v>
      </c>
      <c r="Q113" s="53" t="n">
        <v>0</v>
      </c>
      <c r="R113" s="53" t="n">
        <v>8045.14</v>
      </c>
      <c r="S113" s="53" t="n">
        <v>0</v>
      </c>
      <c r="T113" s="53" t="n">
        <v>1592.01</v>
      </c>
      <c r="U113" s="53" t="n">
        <v>0.1979</v>
      </c>
      <c r="V113" s="53" t="n">
        <v>100</v>
      </c>
      <c r="W113" s="53" t="n">
        <v>0.0124</v>
      </c>
      <c r="X113" s="53" t="n">
        <v>0</v>
      </c>
      <c r="Y113" s="53" t="n">
        <v>0</v>
      </c>
      <c r="Z113" s="53" t="n">
        <v>0</v>
      </c>
      <c r="AA113" s="53" t="n">
        <v>-563.16</v>
      </c>
      <c r="AB113" s="53" t="inlineStr">
        <is>
          <t>FALSE</t>
        </is>
      </c>
      <c r="AC113" s="53" t="inlineStr">
        <is>
          <t>FALSE</t>
        </is>
      </c>
    </row>
    <row r="114">
      <c r="A114" s="53" t="inlineStr">
        <is>
          <t>2026-06-17</t>
        </is>
      </c>
      <c r="B114" s="53" t="inlineStr">
        <is>
          <t>2552722</t>
        </is>
      </c>
      <c r="C114" s="53" t="inlineStr">
        <is>
          <t>DS.2025.2345 S &amp; W Homes</t>
        </is>
      </c>
      <c r="D114" s="53" t="inlineStr">
        <is>
          <t>DW</t>
        </is>
      </c>
      <c r="E114" s="53" t="inlineStr">
        <is>
          <t>(Unassigned)</t>
        </is>
      </c>
      <c r="F114" s="53" t="inlineStr">
        <is>
          <t>GSI - Gregory Scott Inabnit LLC</t>
        </is>
      </c>
      <c r="G114" s="53" t="inlineStr">
        <is>
          <t>ACTIVE</t>
        </is>
      </c>
      <c r="H114" s="53" t="n">
        <v>4988.51</v>
      </c>
      <c r="I114" s="53" t="n">
        <v>0</v>
      </c>
      <c r="J114" s="53" t="n">
        <v>4988.51</v>
      </c>
      <c r="K114" s="53" t="n">
        <v>0</v>
      </c>
      <c r="L114" s="53" t="n">
        <v>0</v>
      </c>
      <c r="M114" s="53" t="n">
        <v>3399.75</v>
      </c>
      <c r="N114" s="53" t="n">
        <v>0</v>
      </c>
      <c r="O114" s="53" t="n">
        <v>0</v>
      </c>
      <c r="P114" s="53" t="n">
        <v>-4988.51</v>
      </c>
      <c r="Q114" s="53" t="n">
        <v>0</v>
      </c>
      <c r="R114" s="53" t="n">
        <v>4988.51</v>
      </c>
      <c r="S114" s="53" t="n">
        <v>0</v>
      </c>
      <c r="T114" s="53" t="n">
        <v>1588.76</v>
      </c>
      <c r="U114" s="53" t="n">
        <v>0.3185</v>
      </c>
      <c r="V114" s="53" t="n">
        <v>100</v>
      </c>
      <c r="W114" s="53" t="n">
        <v>0.02</v>
      </c>
      <c r="X114" s="53" t="n">
        <v>0</v>
      </c>
      <c r="Y114" s="53" t="n">
        <v>0</v>
      </c>
      <c r="Z114" s="53" t="n">
        <v>0</v>
      </c>
      <c r="AA114" s="53" t="n">
        <v>4988.51</v>
      </c>
      <c r="AB114" s="53" t="inlineStr">
        <is>
          <t>FALSE</t>
        </is>
      </c>
      <c r="AC114" s="53" t="inlineStr">
        <is>
          <t>FALSE</t>
        </is>
      </c>
    </row>
    <row r="115">
      <c r="A115" s="53" t="inlineStr">
        <is>
          <t>2026-06-17</t>
        </is>
      </c>
      <c r="B115" s="53" t="inlineStr">
        <is>
          <t>2552670</t>
        </is>
      </c>
      <c r="C115" s="53" t="inlineStr">
        <is>
          <t>DS.2025.2344 Courtyards of Russel Okas 119</t>
        </is>
      </c>
      <c r="D115" s="53" t="inlineStr">
        <is>
          <t>DW</t>
        </is>
      </c>
      <c r="E115" s="53" t="inlineStr">
        <is>
          <t>(Unassigned)</t>
        </is>
      </c>
      <c r="F115" s="53" t="inlineStr">
        <is>
          <t>Big Dawg Drywall</t>
        </is>
      </c>
      <c r="G115" s="53" t="inlineStr">
        <is>
          <t>ACTIVE</t>
        </is>
      </c>
      <c r="H115" s="53" t="n">
        <v>5555.63</v>
      </c>
      <c r="I115" s="53" t="n">
        <v>0</v>
      </c>
      <c r="J115" s="53" t="n">
        <v>5555.63</v>
      </c>
      <c r="K115" s="53" t="n">
        <v>5944.52</v>
      </c>
      <c r="L115" s="53" t="n">
        <v>0</v>
      </c>
      <c r="M115" s="53" t="n">
        <v>4147.85</v>
      </c>
      <c r="N115" s="53" t="n">
        <v>0</v>
      </c>
      <c r="O115" s="53" t="n">
        <v>0</v>
      </c>
      <c r="P115" s="53" t="n">
        <v>-5555.63</v>
      </c>
      <c r="Q115" s="53" t="n">
        <v>0</v>
      </c>
      <c r="R115" s="53" t="n">
        <v>5555.63</v>
      </c>
      <c r="S115" s="53" t="n">
        <v>0</v>
      </c>
      <c r="T115" s="53" t="n">
        <v>1407.78</v>
      </c>
      <c r="U115" s="53" t="n">
        <v>0.2534</v>
      </c>
      <c r="V115" s="53" t="n">
        <v>100</v>
      </c>
      <c r="W115" s="53" t="n">
        <v>0.018</v>
      </c>
      <c r="X115" s="53" t="n">
        <v>0</v>
      </c>
      <c r="Y115" s="53" t="n">
        <v>0</v>
      </c>
      <c r="Z115" s="53" t="n">
        <v>0</v>
      </c>
      <c r="AA115" s="53" t="n">
        <v>-388.89</v>
      </c>
      <c r="AB115" s="53" t="inlineStr">
        <is>
          <t>FALSE</t>
        </is>
      </c>
      <c r="AC115" s="53" t="inlineStr">
        <is>
          <t>FALSE</t>
        </is>
      </c>
    </row>
    <row r="116">
      <c r="A116" s="53" t="inlineStr">
        <is>
          <t>2026-06-17</t>
        </is>
      </c>
      <c r="B116" s="53" t="inlineStr">
        <is>
          <t>2552143</t>
        </is>
      </c>
      <c r="C116" s="53" t="inlineStr">
        <is>
          <t>DS.2025.2343 Big Dawg Pickup 12-4</t>
        </is>
      </c>
      <c r="D116" s="53" t="inlineStr">
        <is>
          <t>DW</t>
        </is>
      </c>
      <c r="E116" s="53" t="inlineStr">
        <is>
          <t>(Unassigned)</t>
        </is>
      </c>
      <c r="F116" s="53" t="inlineStr">
        <is>
          <t>Big Dawg Drywall</t>
        </is>
      </c>
      <c r="G116" s="53" t="inlineStr">
        <is>
          <t>ACTIVE</t>
        </is>
      </c>
      <c r="H116" s="53" t="n">
        <v>4292.44</v>
      </c>
      <c r="I116" s="53" t="n">
        <v>0</v>
      </c>
      <c r="J116" s="53" t="n">
        <v>4292.44</v>
      </c>
      <c r="K116" s="53" t="n">
        <v>4592.91</v>
      </c>
      <c r="L116" s="53" t="n">
        <v>0</v>
      </c>
      <c r="M116" s="53" t="n">
        <v>2804.45</v>
      </c>
      <c r="N116" s="53" t="n">
        <v>0</v>
      </c>
      <c r="O116" s="53" t="n">
        <v>0</v>
      </c>
      <c r="P116" s="53" t="n">
        <v>-4292.44</v>
      </c>
      <c r="Q116" s="53" t="n">
        <v>0</v>
      </c>
      <c r="R116" s="53" t="n">
        <v>4292.44</v>
      </c>
      <c r="S116" s="53" t="n">
        <v>0</v>
      </c>
      <c r="T116" s="53" t="n">
        <v>1487.99</v>
      </c>
      <c r="U116" s="53" t="n">
        <v>0.3467</v>
      </c>
      <c r="V116" s="53" t="n">
        <v>100</v>
      </c>
      <c r="W116" s="53" t="n">
        <v>0.0233</v>
      </c>
      <c r="X116" s="53" t="n">
        <v>0</v>
      </c>
      <c r="Y116" s="53" t="n">
        <v>0</v>
      </c>
      <c r="Z116" s="53" t="n">
        <v>0</v>
      </c>
      <c r="AA116" s="53" t="n">
        <v>-300.47</v>
      </c>
      <c r="AB116" s="53" t="inlineStr">
        <is>
          <t>FALSE</t>
        </is>
      </c>
      <c r="AC116" s="53" t="inlineStr">
        <is>
          <t>FALSE</t>
        </is>
      </c>
    </row>
    <row r="117">
      <c r="A117" s="53" t="inlineStr">
        <is>
          <t>2026-06-17</t>
        </is>
      </c>
      <c r="B117" s="53" t="inlineStr">
        <is>
          <t>2548777</t>
        </is>
      </c>
      <c r="C117" s="53" t="inlineStr">
        <is>
          <t>DS.2025.2342 Courtyards of Westfield 116</t>
        </is>
      </c>
      <c r="D117" s="53" t="inlineStr">
        <is>
          <t>DW</t>
        </is>
      </c>
      <c r="E117" s="53" t="inlineStr">
        <is>
          <t>(Unassigned)</t>
        </is>
      </c>
      <c r="F117" s="53" t="inlineStr">
        <is>
          <t>Big Dawg Drywall</t>
        </is>
      </c>
      <c r="G117" s="53" t="inlineStr">
        <is>
          <t>ACTIVE</t>
        </is>
      </c>
      <c r="H117" s="53" t="n">
        <v>6540.47</v>
      </c>
      <c r="I117" s="53" t="n">
        <v>1132.8</v>
      </c>
      <c r="J117" s="53" t="n">
        <v>6540.47</v>
      </c>
      <c r="K117" s="53" t="n">
        <v>6919.01</v>
      </c>
      <c r="L117" s="53" t="n">
        <v>0</v>
      </c>
      <c r="M117" s="53" t="n">
        <v>5106.67</v>
      </c>
      <c r="N117" s="53" t="n">
        <v>0</v>
      </c>
      <c r="O117" s="53" t="n">
        <v>0</v>
      </c>
      <c r="P117" s="53" t="n">
        <v>-6540.47</v>
      </c>
      <c r="Q117" s="53" t="n">
        <v>0</v>
      </c>
      <c r="R117" s="53" t="n">
        <v>6540.47</v>
      </c>
      <c r="S117" s="53" t="n">
        <v>0</v>
      </c>
      <c r="T117" s="53" t="n">
        <v>1433.8</v>
      </c>
      <c r="U117" s="53" t="n">
        <v>0.2192</v>
      </c>
      <c r="V117" s="53" t="n">
        <v>100</v>
      </c>
      <c r="W117" s="53" t="n">
        <v>0.0153</v>
      </c>
      <c r="X117" s="53" t="n">
        <v>0</v>
      </c>
      <c r="Y117" s="53" t="n">
        <v>0</v>
      </c>
      <c r="Z117" s="53" t="n">
        <v>0</v>
      </c>
      <c r="AA117" s="53" t="n">
        <v>-378.54</v>
      </c>
      <c r="AB117" s="53" t="inlineStr">
        <is>
          <t>FALSE</t>
        </is>
      </c>
      <c r="AC117" s="53" t="inlineStr">
        <is>
          <t>FALSE</t>
        </is>
      </c>
    </row>
    <row r="118">
      <c r="A118" s="53" t="inlineStr">
        <is>
          <t>2026-06-17</t>
        </is>
      </c>
      <c r="B118" s="53" t="inlineStr">
        <is>
          <t>2548714</t>
        </is>
      </c>
      <c r="C118" s="53" t="inlineStr">
        <is>
          <t>DS.2025.2341 8677 Bash St</t>
        </is>
      </c>
      <c r="D118" s="53" t="inlineStr">
        <is>
          <t>DW</t>
        </is>
      </c>
      <c r="E118" s="53" t="inlineStr">
        <is>
          <t>(Unassigned)</t>
        </is>
      </c>
      <c r="F118" s="53" t="inlineStr">
        <is>
          <t>Flores Drywall and Remodeling LLC</t>
        </is>
      </c>
      <c r="G118" s="53" t="inlineStr">
        <is>
          <t>ACTIVE</t>
        </is>
      </c>
      <c r="H118" s="53" t="n">
        <v>12082.18</v>
      </c>
      <c r="I118" s="53" t="n">
        <v>0</v>
      </c>
      <c r="J118" s="53" t="n">
        <v>12082.18</v>
      </c>
      <c r="K118" s="53" t="n">
        <v>12927.93</v>
      </c>
      <c r="L118" s="53" t="n">
        <v>0</v>
      </c>
      <c r="M118" s="53" t="n">
        <v>8742.58</v>
      </c>
      <c r="N118" s="53" t="n">
        <v>0</v>
      </c>
      <c r="O118" s="53" t="n">
        <v>0</v>
      </c>
      <c r="P118" s="53" t="n">
        <v>-12082.18</v>
      </c>
      <c r="Q118" s="53" t="n">
        <v>0</v>
      </c>
      <c r="R118" s="53" t="n">
        <v>12082.18</v>
      </c>
      <c r="S118" s="53" t="n">
        <v>0</v>
      </c>
      <c r="T118" s="53" t="n">
        <v>3339.6</v>
      </c>
      <c r="U118" s="53" t="n">
        <v>0.2764</v>
      </c>
      <c r="V118" s="53" t="n">
        <v>100</v>
      </c>
      <c r="W118" s="53" t="n">
        <v>0.0083</v>
      </c>
      <c r="X118" s="53" t="n">
        <v>0</v>
      </c>
      <c r="Y118" s="53" t="n">
        <v>0</v>
      </c>
      <c r="Z118" s="53" t="n">
        <v>0</v>
      </c>
      <c r="AA118" s="53" t="n">
        <v>-845.75</v>
      </c>
      <c r="AB118" s="53" t="inlineStr">
        <is>
          <t>FALSE</t>
        </is>
      </c>
      <c r="AC118" s="53" t="inlineStr">
        <is>
          <t>FALSE</t>
        </is>
      </c>
    </row>
    <row r="119">
      <c r="A119" s="53" t="inlineStr">
        <is>
          <t>2026-06-17</t>
        </is>
      </c>
      <c r="B119" s="53" t="inlineStr">
        <is>
          <t>2545375</t>
        </is>
      </c>
      <c r="C119" s="53" t="inlineStr">
        <is>
          <t>DS.2025.2340 1573 Chatham Drive</t>
        </is>
      </c>
      <c r="D119" s="53" t="inlineStr">
        <is>
          <t>DW</t>
        </is>
      </c>
      <c r="E119" s="53" t="inlineStr">
        <is>
          <t>(Unassigned)</t>
        </is>
      </c>
      <c r="F119" s="53" t="inlineStr">
        <is>
          <t>Iracheta Drywall</t>
        </is>
      </c>
      <c r="G119" s="53" t="inlineStr">
        <is>
          <t>ACTIVE</t>
        </is>
      </c>
      <c r="H119" s="53" t="n">
        <v>16402.7</v>
      </c>
      <c r="I119" s="53" t="n">
        <v>0</v>
      </c>
      <c r="J119" s="53" t="n">
        <v>16402.7</v>
      </c>
      <c r="K119" s="53" t="n">
        <v>17550.89</v>
      </c>
      <c r="L119" s="53" t="n">
        <v>0</v>
      </c>
      <c r="M119" s="53" t="n">
        <v>11895.1</v>
      </c>
      <c r="N119" s="53" t="n">
        <v>0</v>
      </c>
      <c r="O119" s="53" t="n">
        <v>0</v>
      </c>
      <c r="P119" s="53" t="n">
        <v>-16402.7</v>
      </c>
      <c r="Q119" s="53" t="n">
        <v>0</v>
      </c>
      <c r="R119" s="53" t="n">
        <v>16402.7</v>
      </c>
      <c r="S119" s="53" t="n">
        <v>0</v>
      </c>
      <c r="T119" s="53" t="n">
        <v>4507.6</v>
      </c>
      <c r="U119" s="53" t="n">
        <v>0.2748</v>
      </c>
      <c r="V119" s="53" t="n">
        <v>100</v>
      </c>
      <c r="W119" s="53" t="n">
        <v>0.0061</v>
      </c>
      <c r="X119" s="53" t="n">
        <v>0</v>
      </c>
      <c r="Y119" s="53" t="n">
        <v>0</v>
      </c>
      <c r="Z119" s="53" t="n">
        <v>0</v>
      </c>
      <c r="AA119" s="53" t="n">
        <v>-1148.19</v>
      </c>
      <c r="AB119" s="53" t="inlineStr">
        <is>
          <t>FALSE</t>
        </is>
      </c>
      <c r="AC119" s="53" t="inlineStr">
        <is>
          <t>FALSE</t>
        </is>
      </c>
    </row>
    <row r="120">
      <c r="A120" s="53" t="inlineStr">
        <is>
          <t>2026-06-17</t>
        </is>
      </c>
      <c r="B120" s="53" t="inlineStr">
        <is>
          <t>2545100</t>
        </is>
      </c>
      <c r="C120" s="53" t="inlineStr">
        <is>
          <t>2025.1028 Northpoint</t>
        </is>
      </c>
      <c r="D120" s="53" t="inlineStr">
        <is>
          <t>TI</t>
        </is>
      </c>
      <c r="E120" s="53" t="inlineStr">
        <is>
          <t>Trevor Anderson</t>
        </is>
      </c>
      <c r="F120" s="53" t="inlineStr">
        <is>
          <t>Patch Development</t>
        </is>
      </c>
      <c r="G120" s="53" t="inlineStr">
        <is>
          <t>ACTIVE</t>
        </is>
      </c>
      <c r="H120" s="53" t="n">
        <v>243696</v>
      </c>
      <c r="I120" s="53" t="n">
        <v>130220</v>
      </c>
      <c r="J120" s="53" t="n">
        <v>17415</v>
      </c>
      <c r="K120" s="53" t="n">
        <v>17415</v>
      </c>
      <c r="L120" s="53" t="n">
        <v>141629.82</v>
      </c>
      <c r="M120" s="53" t="n">
        <v>69626.83</v>
      </c>
      <c r="N120" s="53" t="n">
        <v>0.4916</v>
      </c>
      <c r="O120" s="53" t="n">
        <v>119800.95</v>
      </c>
      <c r="P120" s="53" t="n">
        <v>102385.95</v>
      </c>
      <c r="Q120" s="53" t="n">
        <v>100453.72</v>
      </c>
      <c r="R120" s="53" t="n">
        <v>0</v>
      </c>
      <c r="S120" s="53" t="n">
        <v>102385.95</v>
      </c>
      <c r="T120" s="53" t="n">
        <v>-50276.83</v>
      </c>
      <c r="U120" s="53" t="n">
        <v>-1</v>
      </c>
      <c r="V120" s="53" t="n">
        <v>41.88</v>
      </c>
      <c r="W120" s="53" t="n">
        <v>0.0002</v>
      </c>
      <c r="X120" s="53" t="n">
        <v>0.4188</v>
      </c>
      <c r="Y120" s="53" t="n">
        <v>-0.4187</v>
      </c>
      <c r="Z120" s="53" t="n">
        <v>1935</v>
      </c>
      <c r="AA120" s="53" t="n">
        <v>0</v>
      </c>
      <c r="AB120" s="53" t="inlineStr">
        <is>
          <t>TRUE</t>
        </is>
      </c>
      <c r="AC120" s="53" t="inlineStr">
        <is>
          <t>TRUE</t>
        </is>
      </c>
    </row>
    <row r="121">
      <c r="A121" s="53" t="inlineStr">
        <is>
          <t>2026-06-17</t>
        </is>
      </c>
      <c r="B121" s="53" t="inlineStr">
        <is>
          <t>2541102</t>
        </is>
      </c>
      <c r="C121" s="53" t="inlineStr">
        <is>
          <t>MF.2026.1044 Everstead Apartments</t>
        </is>
      </c>
      <c r="D121" s="53" t="inlineStr">
        <is>
          <t>MF</t>
        </is>
      </c>
      <c r="E121" s="53" t="inlineStr">
        <is>
          <t>Ben Garza</t>
        </is>
      </c>
      <c r="F121" s="53" t="inlineStr">
        <is>
          <t>Grand Contracting</t>
        </is>
      </c>
      <c r="G121" s="53" t="inlineStr">
        <is>
          <t>ACTIVE</t>
        </is>
      </c>
      <c r="H121" s="53" t="n">
        <v>4391740</v>
      </c>
      <c r="I121" s="53" t="n">
        <v>0</v>
      </c>
      <c r="J121" s="53" t="n">
        <v>0</v>
      </c>
      <c r="K121" s="53" t="n">
        <v>0</v>
      </c>
      <c r="L121" s="53" t="n">
        <v>3051250</v>
      </c>
      <c r="M121" s="53" t="n">
        <v>0</v>
      </c>
      <c r="N121" s="53" t="n">
        <v>0</v>
      </c>
      <c r="O121" s="53" t="n">
        <v>0</v>
      </c>
      <c r="P121" s="53" t="n">
        <v>0</v>
      </c>
      <c r="Q121" s="53" t="n">
        <v>0</v>
      </c>
      <c r="R121" s="53" t="n">
        <v>0</v>
      </c>
      <c r="S121" s="53" t="n">
        <v>0</v>
      </c>
      <c r="T121" s="53" t="n">
        <v>0</v>
      </c>
      <c r="U121" s="53" t="n">
        <v>0</v>
      </c>
      <c r="V121" s="53" t="n">
        <v>30.52</v>
      </c>
      <c r="W121" s="53" t="n">
        <v>0</v>
      </c>
      <c r="X121" s="53" t="n">
        <v>0.3052</v>
      </c>
      <c r="Y121" s="53" t="n">
        <v>-0.3052</v>
      </c>
      <c r="Z121" s="53" t="n">
        <v>0</v>
      </c>
      <c r="AA121" s="53" t="n">
        <v>0</v>
      </c>
      <c r="AB121" s="53" t="inlineStr">
        <is>
          <t>TRUE</t>
        </is>
      </c>
      <c r="AC121" s="53" t="inlineStr">
        <is>
          <t>TRUE</t>
        </is>
      </c>
    </row>
    <row r="122">
      <c r="A122" s="53" t="inlineStr">
        <is>
          <t>2026-06-17</t>
        </is>
      </c>
      <c r="B122" s="53" t="inlineStr">
        <is>
          <t>2541097</t>
        </is>
      </c>
      <c r="C122" s="53" t="inlineStr">
        <is>
          <t>2025.1026 HNTB Buildout (Salesforce Tower)</t>
        </is>
      </c>
      <c r="D122" s="53" t="inlineStr">
        <is>
          <t>TI</t>
        </is>
      </c>
      <c r="E122" s="53" t="inlineStr">
        <is>
          <t>Ben Garza</t>
        </is>
      </c>
      <c r="F122" s="53" t="inlineStr">
        <is>
          <t>Skender Construction of Indiana LLC</t>
        </is>
      </c>
      <c r="G122" s="53" t="inlineStr">
        <is>
          <t>ACTIVE</t>
        </is>
      </c>
      <c r="H122" s="53" t="n">
        <v>476552.38</v>
      </c>
      <c r="I122" s="53" t="n">
        <v>39052.38</v>
      </c>
      <c r="J122" s="53" t="n">
        <v>449069.6</v>
      </c>
      <c r="K122" s="53" t="n">
        <v>123103.62</v>
      </c>
      <c r="L122" s="53" t="n">
        <v>411573.38</v>
      </c>
      <c r="M122" s="53" t="n">
        <v>411177.02</v>
      </c>
      <c r="N122" s="53" t="n">
        <v>0.999</v>
      </c>
      <c r="O122" s="53" t="n">
        <v>476075.83</v>
      </c>
      <c r="P122" s="53" t="n">
        <v>27006.23</v>
      </c>
      <c r="Q122" s="53" t="n">
        <v>27023.84</v>
      </c>
      <c r="R122" s="53" t="n">
        <v>0</v>
      </c>
      <c r="S122" s="53" t="n">
        <v>27006.23</v>
      </c>
      <c r="T122" s="53" t="n">
        <v>37892.58</v>
      </c>
      <c r="U122" s="53" t="n">
        <v>0.0844</v>
      </c>
      <c r="V122" s="53" t="n">
        <v>13.64</v>
      </c>
      <c r="W122" s="53" t="n">
        <v>0</v>
      </c>
      <c r="X122" s="53" t="n">
        <v>0.1364</v>
      </c>
      <c r="Y122" s="53" t="n">
        <v>-0.1363</v>
      </c>
      <c r="Z122" s="53" t="n">
        <v>0</v>
      </c>
      <c r="AA122" s="53" t="n">
        <v>325965.98</v>
      </c>
      <c r="AB122" s="53" t="inlineStr">
        <is>
          <t>TRUE</t>
        </is>
      </c>
      <c r="AC122" s="53" t="inlineStr">
        <is>
          <t>TRUE</t>
        </is>
      </c>
    </row>
    <row r="123">
      <c r="A123" s="53" t="inlineStr">
        <is>
          <t>2026-06-17</t>
        </is>
      </c>
      <c r="B123" s="53" t="inlineStr">
        <is>
          <t>2541065</t>
        </is>
      </c>
      <c r="C123" s="53" t="inlineStr">
        <is>
          <t>2026.1034 Stella's Ice Cream Shop</t>
        </is>
      </c>
      <c r="D123" s="53" t="inlineStr">
        <is>
          <t>TI</t>
        </is>
      </c>
      <c r="E123" s="53" t="inlineStr">
        <is>
          <t>Shawn Welcher</t>
        </is>
      </c>
      <c r="F123" s="53" t="inlineStr">
        <is>
          <t>The ACTS Collaborative, LLC</t>
        </is>
      </c>
      <c r="G123" s="53" t="inlineStr">
        <is>
          <t>ACTIVE</t>
        </is>
      </c>
      <c r="H123" s="53" t="n">
        <v>69155</v>
      </c>
      <c r="I123" s="53" t="n">
        <v>3655</v>
      </c>
      <c r="J123" s="53" t="n">
        <v>62239.5</v>
      </c>
      <c r="K123" s="53" t="n">
        <v>34110</v>
      </c>
      <c r="L123" s="53" t="n">
        <v>36976.57</v>
      </c>
      <c r="M123" s="53" t="n">
        <v>27001.17</v>
      </c>
      <c r="N123" s="53" t="n">
        <v>0.7302</v>
      </c>
      <c r="O123" s="53" t="n">
        <v>50496.98</v>
      </c>
      <c r="P123" s="53" t="n">
        <v>-11742.52</v>
      </c>
      <c r="Q123" s="53" t="n">
        <v>-18656.38</v>
      </c>
      <c r="R123" s="53" t="n">
        <v>11742.52</v>
      </c>
      <c r="S123" s="53" t="n">
        <v>0</v>
      </c>
      <c r="T123" s="53" t="n">
        <v>42153.83</v>
      </c>
      <c r="U123" s="53" t="n">
        <v>0.6096</v>
      </c>
      <c r="V123" s="53" t="n">
        <v>46.53</v>
      </c>
      <c r="W123" s="53" t="n">
        <v>0.0007</v>
      </c>
      <c r="X123" s="53" t="n">
        <v>0.4653</v>
      </c>
      <c r="Y123" s="53" t="n">
        <v>-0.4646</v>
      </c>
      <c r="Z123" s="53" t="n">
        <v>6915.5</v>
      </c>
      <c r="AA123" s="53" t="n">
        <v>28129.5</v>
      </c>
      <c r="AB123" s="53" t="inlineStr">
        <is>
          <t>TRUE</t>
        </is>
      </c>
      <c r="AC123" s="53" t="inlineStr">
        <is>
          <t>TRUE</t>
        </is>
      </c>
    </row>
    <row r="124">
      <c r="A124" s="53" t="inlineStr">
        <is>
          <t>2026-06-17</t>
        </is>
      </c>
      <c r="B124" s="53" t="inlineStr">
        <is>
          <t>2540055</t>
        </is>
      </c>
      <c r="C124" s="53" t="inlineStr">
        <is>
          <t>DS.2025.2339 1952 N Central Ave</t>
        </is>
      </c>
      <c r="D124" s="53" t="inlineStr">
        <is>
          <t>DW</t>
        </is>
      </c>
      <c r="E124" s="53" t="inlineStr">
        <is>
          <t>(Unassigned)</t>
        </is>
      </c>
      <c r="F124" s="53" t="inlineStr">
        <is>
          <t>Pro Fix Drywaller, LLC</t>
        </is>
      </c>
      <c r="G124" s="53" t="inlineStr">
        <is>
          <t>ACTIVE</t>
        </is>
      </c>
      <c r="H124" s="53" t="n">
        <v>4609.73</v>
      </c>
      <c r="I124" s="53" t="n">
        <v>630</v>
      </c>
      <c r="J124" s="53" t="n">
        <v>4609.73</v>
      </c>
      <c r="K124" s="53" t="n">
        <v>0</v>
      </c>
      <c r="L124" s="53" t="n">
        <v>0</v>
      </c>
      <c r="M124" s="53" t="n">
        <v>3564.44</v>
      </c>
      <c r="N124" s="53" t="n">
        <v>0</v>
      </c>
      <c r="O124" s="53" t="n">
        <v>0</v>
      </c>
      <c r="P124" s="53" t="n">
        <v>-4609.73</v>
      </c>
      <c r="Q124" s="53" t="n">
        <v>0</v>
      </c>
      <c r="R124" s="53" t="n">
        <v>4609.73</v>
      </c>
      <c r="S124" s="53" t="n">
        <v>0</v>
      </c>
      <c r="T124" s="53" t="n">
        <v>1045.29</v>
      </c>
      <c r="U124" s="53" t="n">
        <v>0.2268</v>
      </c>
      <c r="V124" s="53" t="n">
        <v>100</v>
      </c>
      <c r="W124" s="53" t="n">
        <v>0.0217</v>
      </c>
      <c r="X124" s="53" t="n">
        <v>0</v>
      </c>
      <c r="Y124" s="53" t="n">
        <v>0</v>
      </c>
      <c r="Z124" s="53" t="n">
        <v>0</v>
      </c>
      <c r="AA124" s="53" t="n">
        <v>4609.73</v>
      </c>
      <c r="AB124" s="53" t="inlineStr">
        <is>
          <t>FALSE</t>
        </is>
      </c>
      <c r="AC124" s="53" t="inlineStr">
        <is>
          <t>FALSE</t>
        </is>
      </c>
    </row>
    <row r="125">
      <c r="A125" s="53" t="inlineStr">
        <is>
          <t>2026-06-17</t>
        </is>
      </c>
      <c r="B125" s="53" t="inlineStr">
        <is>
          <t>2538950</t>
        </is>
      </c>
      <c r="C125" s="53" t="inlineStr">
        <is>
          <t>DS.2025.2338 7655 W Julia Drive</t>
        </is>
      </c>
      <c r="D125" s="53" t="inlineStr">
        <is>
          <t>DW</t>
        </is>
      </c>
      <c r="E125" s="53" t="inlineStr">
        <is>
          <t>(Unassigned)</t>
        </is>
      </c>
      <c r="F125" s="53" t="inlineStr">
        <is>
          <t>GSI - Gregory Scott Inabnit LLC</t>
        </is>
      </c>
      <c r="G125" s="53" t="inlineStr">
        <is>
          <t>ACTIVE</t>
        </is>
      </c>
      <c r="H125" s="53" t="n">
        <v>4904.49</v>
      </c>
      <c r="I125" s="53" t="n">
        <v>0</v>
      </c>
      <c r="J125" s="53" t="n">
        <v>4904.49</v>
      </c>
      <c r="K125" s="53" t="n">
        <v>0</v>
      </c>
      <c r="L125" s="53" t="n">
        <v>0</v>
      </c>
      <c r="M125" s="53" t="n">
        <v>3377.83</v>
      </c>
      <c r="N125" s="53" t="n">
        <v>0</v>
      </c>
      <c r="O125" s="53" t="n">
        <v>0</v>
      </c>
      <c r="P125" s="53" t="n">
        <v>-4904.49</v>
      </c>
      <c r="Q125" s="53" t="n">
        <v>0</v>
      </c>
      <c r="R125" s="53" t="n">
        <v>4904.49</v>
      </c>
      <c r="S125" s="53" t="n">
        <v>0</v>
      </c>
      <c r="T125" s="53" t="n">
        <v>1526.66</v>
      </c>
      <c r="U125" s="53" t="n">
        <v>0.3113</v>
      </c>
      <c r="V125" s="53" t="n">
        <v>100</v>
      </c>
      <c r="W125" s="53" t="n">
        <v>0.0204</v>
      </c>
      <c r="X125" s="53" t="n">
        <v>0</v>
      </c>
      <c r="Y125" s="53" t="n">
        <v>0</v>
      </c>
      <c r="Z125" s="53" t="n">
        <v>0</v>
      </c>
      <c r="AA125" s="53" t="n">
        <v>4904.49</v>
      </c>
      <c r="AB125" s="53" t="inlineStr">
        <is>
          <t>FALSE</t>
        </is>
      </c>
      <c r="AC125" s="53" t="inlineStr">
        <is>
          <t>FALSE</t>
        </is>
      </c>
    </row>
    <row r="126">
      <c r="A126" s="53" t="inlineStr">
        <is>
          <t>2026-06-17</t>
        </is>
      </c>
      <c r="B126" s="53" t="inlineStr">
        <is>
          <t>2538818</t>
        </is>
      </c>
      <c r="C126" s="53" t="inlineStr">
        <is>
          <t>DS.2025.2337 Courtyards of Cielo Ranch 7</t>
        </is>
      </c>
      <c r="D126" s="53" t="inlineStr">
        <is>
          <t>DW</t>
        </is>
      </c>
      <c r="E126" s="53" t="inlineStr">
        <is>
          <t>(Unassigned)</t>
        </is>
      </c>
      <c r="F126" s="53" t="inlineStr">
        <is>
          <t>Big Dawg Drywall</t>
        </is>
      </c>
      <c r="G126" s="53" t="inlineStr">
        <is>
          <t>ACTIVE</t>
        </is>
      </c>
      <c r="H126" s="53" t="n">
        <v>336.96</v>
      </c>
      <c r="I126" s="53" t="n">
        <v>0</v>
      </c>
      <c r="J126" s="53" t="n">
        <v>336.96</v>
      </c>
      <c r="K126" s="53" t="n">
        <v>360.55</v>
      </c>
      <c r="L126" s="53" t="n">
        <v>0</v>
      </c>
      <c r="M126" s="53" t="n">
        <v>233.28</v>
      </c>
      <c r="N126" s="53" t="n">
        <v>0</v>
      </c>
      <c r="O126" s="53" t="n">
        <v>0</v>
      </c>
      <c r="P126" s="53" t="n">
        <v>-336.96</v>
      </c>
      <c r="Q126" s="53" t="n">
        <v>0</v>
      </c>
      <c r="R126" s="53" t="n">
        <v>336.96</v>
      </c>
      <c r="S126" s="53" t="n">
        <v>0</v>
      </c>
      <c r="T126" s="53" t="n">
        <v>103.68</v>
      </c>
      <c r="U126" s="53" t="n">
        <v>0.3077</v>
      </c>
      <c r="V126" s="53" t="n">
        <v>100</v>
      </c>
      <c r="W126" s="53" t="n">
        <v>0.2968</v>
      </c>
      <c r="X126" s="53" t="n">
        <v>0</v>
      </c>
      <c r="Y126" s="53" t="n">
        <v>0</v>
      </c>
      <c r="Z126" s="53" t="n">
        <v>0</v>
      </c>
      <c r="AA126" s="53" t="n">
        <v>-23.59</v>
      </c>
      <c r="AB126" s="53" t="inlineStr">
        <is>
          <t>FALSE</t>
        </is>
      </c>
      <c r="AC126" s="53" t="inlineStr">
        <is>
          <t>FALSE</t>
        </is>
      </c>
    </row>
    <row r="127">
      <c r="A127" s="53" t="inlineStr">
        <is>
          <t>2026-06-17</t>
        </is>
      </c>
      <c r="B127" s="53" t="inlineStr">
        <is>
          <t>2538718</t>
        </is>
      </c>
      <c r="C127" s="53" t="inlineStr">
        <is>
          <t>DS.2025.2336 Courtyards of Cielo Ranch 24</t>
        </is>
      </c>
      <c r="D127" s="53" t="inlineStr">
        <is>
          <t>DW</t>
        </is>
      </c>
      <c r="E127" s="53" t="inlineStr">
        <is>
          <t>(Unassigned)</t>
        </is>
      </c>
      <c r="F127" s="53" t="inlineStr">
        <is>
          <t>Big Dawg Drywall</t>
        </is>
      </c>
      <c r="G127" s="53" t="inlineStr">
        <is>
          <t>ACTIVE</t>
        </is>
      </c>
      <c r="H127" s="53" t="n">
        <v>5961.9</v>
      </c>
      <c r="I127" s="53" t="n">
        <v>0</v>
      </c>
      <c r="J127" s="53" t="n">
        <v>5961.9</v>
      </c>
      <c r="K127" s="53" t="n">
        <v>6379.23</v>
      </c>
      <c r="L127" s="53" t="n">
        <v>0</v>
      </c>
      <c r="M127" s="53" t="n">
        <v>4451.18</v>
      </c>
      <c r="N127" s="53" t="n">
        <v>0</v>
      </c>
      <c r="O127" s="53" t="n">
        <v>0</v>
      </c>
      <c r="P127" s="53" t="n">
        <v>-5961.9</v>
      </c>
      <c r="Q127" s="53" t="n">
        <v>0</v>
      </c>
      <c r="R127" s="53" t="n">
        <v>5961.9</v>
      </c>
      <c r="S127" s="53" t="n">
        <v>0</v>
      </c>
      <c r="T127" s="53" t="n">
        <v>1510.72</v>
      </c>
      <c r="U127" s="53" t="n">
        <v>0.2534</v>
      </c>
      <c r="V127" s="53" t="n">
        <v>100</v>
      </c>
      <c r="W127" s="53" t="n">
        <v>0.0168</v>
      </c>
      <c r="X127" s="53" t="n">
        <v>0</v>
      </c>
      <c r="Y127" s="53" t="n">
        <v>0</v>
      </c>
      <c r="Z127" s="53" t="n">
        <v>0</v>
      </c>
      <c r="AA127" s="53" t="n">
        <v>-417.33</v>
      </c>
      <c r="AB127" s="53" t="inlineStr">
        <is>
          <t>FALSE</t>
        </is>
      </c>
      <c r="AC127" s="53" t="inlineStr">
        <is>
          <t>FALSE</t>
        </is>
      </c>
    </row>
    <row r="128">
      <c r="A128" s="53" t="inlineStr">
        <is>
          <t>2026-06-17</t>
        </is>
      </c>
      <c r="B128" s="53" t="inlineStr">
        <is>
          <t>2538410</t>
        </is>
      </c>
      <c r="C128" s="53" t="inlineStr">
        <is>
          <t>DS.2025.2335 Courtyards of Cielo Ranch 23</t>
        </is>
      </c>
      <c r="D128" s="53" t="inlineStr">
        <is>
          <t>DW</t>
        </is>
      </c>
      <c r="E128" s="53" t="inlineStr">
        <is>
          <t>(Unassigned)</t>
        </is>
      </c>
      <c r="F128" s="53" t="inlineStr">
        <is>
          <t>Big Dawg Drywall</t>
        </is>
      </c>
      <c r="G128" s="53" t="inlineStr">
        <is>
          <t>ACTIVE</t>
        </is>
      </c>
      <c r="H128" s="53" t="n">
        <v>4716.44</v>
      </c>
      <c r="I128" s="53" t="n">
        <v>0</v>
      </c>
      <c r="J128" s="53" t="n">
        <v>4716.44</v>
      </c>
      <c r="K128" s="53" t="n">
        <v>5046.59</v>
      </c>
      <c r="L128" s="53" t="n">
        <v>0</v>
      </c>
      <c r="M128" s="53" t="n">
        <v>3538.96</v>
      </c>
      <c r="N128" s="53" t="n">
        <v>0</v>
      </c>
      <c r="O128" s="53" t="n">
        <v>0</v>
      </c>
      <c r="P128" s="53" t="n">
        <v>-4716.44</v>
      </c>
      <c r="Q128" s="53" t="n">
        <v>0</v>
      </c>
      <c r="R128" s="53" t="n">
        <v>4716.44</v>
      </c>
      <c r="S128" s="53" t="n">
        <v>0</v>
      </c>
      <c r="T128" s="53" t="n">
        <v>1177.48</v>
      </c>
      <c r="U128" s="53" t="n">
        <v>0.2497</v>
      </c>
      <c r="V128" s="53" t="n">
        <v>100</v>
      </c>
      <c r="W128" s="53" t="n">
        <v>0.0212</v>
      </c>
      <c r="X128" s="53" t="n">
        <v>0</v>
      </c>
      <c r="Y128" s="53" t="n">
        <v>0</v>
      </c>
      <c r="Z128" s="53" t="n">
        <v>0</v>
      </c>
      <c r="AA128" s="53" t="n">
        <v>-330.15</v>
      </c>
      <c r="AB128" s="53" t="inlineStr">
        <is>
          <t>FALSE</t>
        </is>
      </c>
      <c r="AC128" s="53" t="inlineStr">
        <is>
          <t>FALSE</t>
        </is>
      </c>
    </row>
    <row r="129">
      <c r="A129" s="53" t="inlineStr">
        <is>
          <t>2026-06-17</t>
        </is>
      </c>
      <c r="B129" s="53" t="inlineStr">
        <is>
          <t>2536742</t>
        </is>
      </c>
      <c r="C129" s="53" t="inlineStr">
        <is>
          <t>DS.2025.2334 Courtyards of Russell Oaks 61</t>
        </is>
      </c>
      <c r="D129" s="53" t="inlineStr">
        <is>
          <t>DW</t>
        </is>
      </c>
      <c r="E129" s="53" t="inlineStr">
        <is>
          <t>(Unassigned)</t>
        </is>
      </c>
      <c r="F129" s="53" t="inlineStr">
        <is>
          <t>Big Dawg Drywall</t>
        </is>
      </c>
      <c r="G129" s="53" t="inlineStr">
        <is>
          <t>ACTIVE</t>
        </is>
      </c>
      <c r="H129" s="53" t="n">
        <v>6990.74</v>
      </c>
      <c r="I129" s="53" t="n">
        <v>224</v>
      </c>
      <c r="J129" s="53" t="n">
        <v>6990.74</v>
      </c>
      <c r="K129" s="53" t="n">
        <v>7464.41</v>
      </c>
      <c r="L129" s="53" t="n">
        <v>0</v>
      </c>
      <c r="M129" s="53" t="n">
        <v>5192.09</v>
      </c>
      <c r="N129" s="53" t="n">
        <v>0</v>
      </c>
      <c r="O129" s="53" t="n">
        <v>0</v>
      </c>
      <c r="P129" s="53" t="n">
        <v>-6990.74</v>
      </c>
      <c r="Q129" s="53" t="n">
        <v>0</v>
      </c>
      <c r="R129" s="53" t="n">
        <v>6990.74</v>
      </c>
      <c r="S129" s="53" t="n">
        <v>0</v>
      </c>
      <c r="T129" s="53" t="n">
        <v>1798.65</v>
      </c>
      <c r="U129" s="53" t="n">
        <v>0.2573</v>
      </c>
      <c r="V129" s="53" t="n">
        <v>100</v>
      </c>
      <c r="W129" s="53" t="n">
        <v>0.0143</v>
      </c>
      <c r="X129" s="53" t="n">
        <v>0</v>
      </c>
      <c r="Y129" s="53" t="n">
        <v>0</v>
      </c>
      <c r="Z129" s="53" t="n">
        <v>0</v>
      </c>
      <c r="AA129" s="53" t="n">
        <v>-473.67</v>
      </c>
      <c r="AB129" s="53" t="inlineStr">
        <is>
          <t>FALSE</t>
        </is>
      </c>
      <c r="AC129" s="53" t="inlineStr">
        <is>
          <t>FALSE</t>
        </is>
      </c>
    </row>
    <row r="130">
      <c r="A130" s="53" t="inlineStr">
        <is>
          <t>2026-06-17</t>
        </is>
      </c>
      <c r="B130" s="53" t="inlineStr">
        <is>
          <t>2532793</t>
        </is>
      </c>
      <c r="C130" s="53" t="inlineStr">
        <is>
          <t>DS.2025.2333 7814 E Old US 50</t>
        </is>
      </c>
      <c r="D130" s="53" t="inlineStr">
        <is>
          <t>DW</t>
        </is>
      </c>
      <c r="E130" s="53" t="inlineStr">
        <is>
          <t>(Unassigned)</t>
        </is>
      </c>
      <c r="F130" s="53" t="inlineStr">
        <is>
          <t>Total Drywall Solutions Inc</t>
        </is>
      </c>
      <c r="G130" s="53" t="inlineStr">
        <is>
          <t>ACTIVE</t>
        </is>
      </c>
      <c r="H130" s="53" t="n">
        <v>4391.29</v>
      </c>
      <c r="I130" s="53" t="n">
        <v>0</v>
      </c>
      <c r="J130" s="53" t="n">
        <v>4391.29</v>
      </c>
      <c r="K130" s="53" t="n">
        <v>4698.68</v>
      </c>
      <c r="L130" s="53" t="n">
        <v>0</v>
      </c>
      <c r="M130" s="53" t="n">
        <v>3227.84</v>
      </c>
      <c r="N130" s="53" t="n">
        <v>0</v>
      </c>
      <c r="O130" s="53" t="n">
        <v>0</v>
      </c>
      <c r="P130" s="53" t="n">
        <v>-4391.29</v>
      </c>
      <c r="Q130" s="53" t="n">
        <v>0</v>
      </c>
      <c r="R130" s="53" t="n">
        <v>4391.29</v>
      </c>
      <c r="S130" s="53" t="n">
        <v>0</v>
      </c>
      <c r="T130" s="53" t="n">
        <v>1163.45</v>
      </c>
      <c r="U130" s="53" t="n">
        <v>0.2649</v>
      </c>
      <c r="V130" s="53" t="n">
        <v>100</v>
      </c>
      <c r="W130" s="53" t="n">
        <v>0.0228</v>
      </c>
      <c r="X130" s="53" t="n">
        <v>0</v>
      </c>
      <c r="Y130" s="53" t="n">
        <v>0</v>
      </c>
      <c r="Z130" s="53" t="n">
        <v>0</v>
      </c>
      <c r="AA130" s="53" t="n">
        <v>-307.39</v>
      </c>
      <c r="AB130" s="53" t="inlineStr">
        <is>
          <t>FALSE</t>
        </is>
      </c>
      <c r="AC130" s="53" t="inlineStr">
        <is>
          <t>FALSE</t>
        </is>
      </c>
    </row>
    <row r="131">
      <c r="A131" s="53" t="inlineStr">
        <is>
          <t>2026-06-17</t>
        </is>
      </c>
      <c r="B131" s="53" t="inlineStr">
        <is>
          <t>2532772</t>
        </is>
      </c>
      <c r="C131" s="53" t="inlineStr">
        <is>
          <t>DS.2025.2332 Courtyards of Westfield 109</t>
        </is>
      </c>
      <c r="D131" s="53" t="inlineStr">
        <is>
          <t>DW</t>
        </is>
      </c>
      <c r="E131" s="53" t="inlineStr">
        <is>
          <t>(Unassigned)</t>
        </is>
      </c>
      <c r="F131" s="53" t="inlineStr">
        <is>
          <t>Big Dawg Drywall</t>
        </is>
      </c>
      <c r="G131" s="53" t="inlineStr">
        <is>
          <t>ACTIVE</t>
        </is>
      </c>
      <c r="H131" s="53" t="n">
        <v>5407.67</v>
      </c>
      <c r="I131" s="53" t="n">
        <v>0</v>
      </c>
      <c r="J131" s="53" t="n">
        <v>5407.67</v>
      </c>
      <c r="K131" s="53" t="n">
        <v>5786.21</v>
      </c>
      <c r="L131" s="53" t="n">
        <v>0</v>
      </c>
      <c r="M131" s="53" t="n">
        <v>4321.39</v>
      </c>
      <c r="N131" s="53" t="n">
        <v>0</v>
      </c>
      <c r="O131" s="53" t="n">
        <v>0</v>
      </c>
      <c r="P131" s="53" t="n">
        <v>-5407.67</v>
      </c>
      <c r="Q131" s="53" t="n">
        <v>0</v>
      </c>
      <c r="R131" s="53" t="n">
        <v>5407.67</v>
      </c>
      <c r="S131" s="53" t="n">
        <v>0</v>
      </c>
      <c r="T131" s="53" t="n">
        <v>1086.28</v>
      </c>
      <c r="U131" s="53" t="n">
        <v>0.2009</v>
      </c>
      <c r="V131" s="53" t="n">
        <v>100</v>
      </c>
      <c r="W131" s="53" t="n">
        <v>0.0185</v>
      </c>
      <c r="X131" s="53" t="n">
        <v>0</v>
      </c>
      <c r="Y131" s="53" t="n">
        <v>0</v>
      </c>
      <c r="Z131" s="53" t="n">
        <v>0</v>
      </c>
      <c r="AA131" s="53" t="n">
        <v>-378.54</v>
      </c>
      <c r="AB131" s="53" t="inlineStr">
        <is>
          <t>FALSE</t>
        </is>
      </c>
      <c r="AC131" s="53" t="inlineStr">
        <is>
          <t>FALSE</t>
        </is>
      </c>
    </row>
    <row r="132">
      <c r="A132" s="53" t="inlineStr">
        <is>
          <t>2026-06-17</t>
        </is>
      </c>
      <c r="B132" s="53" t="inlineStr">
        <is>
          <t>2532740</t>
        </is>
      </c>
      <c r="C132" s="53" t="inlineStr">
        <is>
          <t>DS.2025.2331 Courtyards of Russell Oaks 65</t>
        </is>
      </c>
      <c r="D132" s="53" t="inlineStr">
        <is>
          <t>DW</t>
        </is>
      </c>
      <c r="E132" s="53" t="inlineStr">
        <is>
          <t>(Unassigned)</t>
        </is>
      </c>
      <c r="F132" s="53" t="inlineStr">
        <is>
          <t>Big Dawg Drywall</t>
        </is>
      </c>
      <c r="G132" s="53" t="inlineStr">
        <is>
          <t>ACTIVE</t>
        </is>
      </c>
      <c r="H132" s="53" t="n">
        <v>6766.74</v>
      </c>
      <c r="I132" s="53" t="n">
        <v>0</v>
      </c>
      <c r="J132" s="53" t="n">
        <v>6766.74</v>
      </c>
      <c r="K132" s="53" t="n">
        <v>7240.41</v>
      </c>
      <c r="L132" s="53" t="n">
        <v>0</v>
      </c>
      <c r="M132" s="53" t="n">
        <v>4988.09</v>
      </c>
      <c r="N132" s="53" t="n">
        <v>0</v>
      </c>
      <c r="O132" s="53" t="n">
        <v>0</v>
      </c>
      <c r="P132" s="53" t="n">
        <v>-6766.74</v>
      </c>
      <c r="Q132" s="53" t="n">
        <v>0</v>
      </c>
      <c r="R132" s="53" t="n">
        <v>6766.74</v>
      </c>
      <c r="S132" s="53" t="n">
        <v>0</v>
      </c>
      <c r="T132" s="53" t="n">
        <v>1778.65</v>
      </c>
      <c r="U132" s="53" t="n">
        <v>0.2629</v>
      </c>
      <c r="V132" s="53" t="n">
        <v>100</v>
      </c>
      <c r="W132" s="53" t="n">
        <v>0.0148</v>
      </c>
      <c r="X132" s="53" t="n">
        <v>0</v>
      </c>
      <c r="Y132" s="53" t="n">
        <v>0</v>
      </c>
      <c r="Z132" s="53" t="n">
        <v>0</v>
      </c>
      <c r="AA132" s="53" t="n">
        <v>-473.67</v>
      </c>
      <c r="AB132" s="53" t="inlineStr">
        <is>
          <t>FALSE</t>
        </is>
      </c>
      <c r="AC132" s="53" t="inlineStr">
        <is>
          <t>FALSE</t>
        </is>
      </c>
    </row>
    <row r="133">
      <c r="A133" s="53" t="inlineStr">
        <is>
          <t>2026-06-17</t>
        </is>
      </c>
      <c r="B133" s="53" t="inlineStr">
        <is>
          <t>2532662</t>
        </is>
      </c>
      <c r="C133" s="53" t="inlineStr">
        <is>
          <t>DS.2025.2330 GSI Stonecrest 11-18</t>
        </is>
      </c>
      <c r="D133" s="53" t="inlineStr">
        <is>
          <t>DW</t>
        </is>
      </c>
      <c r="E133" s="53" t="inlineStr">
        <is>
          <t>(Unassigned)</t>
        </is>
      </c>
      <c r="F133" s="53" t="inlineStr">
        <is>
          <t>GSI - Gregory Scott Inabnit LLC</t>
        </is>
      </c>
      <c r="G133" s="53" t="inlineStr">
        <is>
          <t>ACTIVE</t>
        </is>
      </c>
      <c r="H133" s="53" t="n">
        <v>4588.23</v>
      </c>
      <c r="I133" s="53" t="n">
        <v>0</v>
      </c>
      <c r="J133" s="53" t="n">
        <v>4588.23</v>
      </c>
      <c r="K133" s="53" t="n">
        <v>4909.41</v>
      </c>
      <c r="L133" s="53" t="n">
        <v>0</v>
      </c>
      <c r="M133" s="53" t="n">
        <v>3224.08</v>
      </c>
      <c r="N133" s="53" t="n">
        <v>0</v>
      </c>
      <c r="O133" s="53" t="n">
        <v>0</v>
      </c>
      <c r="P133" s="53" t="n">
        <v>-4588.23</v>
      </c>
      <c r="Q133" s="53" t="n">
        <v>0</v>
      </c>
      <c r="R133" s="53" t="n">
        <v>4588.23</v>
      </c>
      <c r="S133" s="53" t="n">
        <v>0</v>
      </c>
      <c r="T133" s="53" t="n">
        <v>1364.15</v>
      </c>
      <c r="U133" s="53" t="n">
        <v>0.2973</v>
      </c>
      <c r="V133" s="53" t="n">
        <v>100</v>
      </c>
      <c r="W133" s="53" t="n">
        <v>0.0218</v>
      </c>
      <c r="X133" s="53" t="n">
        <v>0</v>
      </c>
      <c r="Y133" s="53" t="n">
        <v>0</v>
      </c>
      <c r="Z133" s="53" t="n">
        <v>0</v>
      </c>
      <c r="AA133" s="53" t="n">
        <v>-321.18</v>
      </c>
      <c r="AB133" s="53" t="inlineStr">
        <is>
          <t>FALSE</t>
        </is>
      </c>
      <c r="AC133" s="53" t="inlineStr">
        <is>
          <t>FALSE</t>
        </is>
      </c>
    </row>
    <row r="134">
      <c r="A134" s="53" t="inlineStr">
        <is>
          <t>2026-06-17</t>
        </is>
      </c>
      <c r="B134" s="53" t="inlineStr">
        <is>
          <t>2528354</t>
        </is>
      </c>
      <c r="C134" s="53" t="inlineStr">
        <is>
          <t>DS.2025.2329 Courtyards of Westfield Lot 90</t>
        </is>
      </c>
      <c r="D134" s="53" t="inlineStr">
        <is>
          <t>DW</t>
        </is>
      </c>
      <c r="E134" s="53" t="inlineStr">
        <is>
          <t>(Unassigned)</t>
        </is>
      </c>
      <c r="F134" s="53" t="inlineStr">
        <is>
          <t>Big Dawg Drywall</t>
        </is>
      </c>
      <c r="G134" s="53" t="inlineStr">
        <is>
          <t>ACTIVE</t>
        </is>
      </c>
      <c r="H134" s="53" t="n">
        <v>5372.94</v>
      </c>
      <c r="I134" s="53" t="n">
        <v>0</v>
      </c>
      <c r="J134" s="53" t="n">
        <v>5372.94</v>
      </c>
      <c r="K134" s="53" t="n">
        <v>5749.05</v>
      </c>
      <c r="L134" s="53" t="n">
        <v>0</v>
      </c>
      <c r="M134" s="53" t="n">
        <v>4023.41</v>
      </c>
      <c r="N134" s="53" t="n">
        <v>0</v>
      </c>
      <c r="O134" s="53" t="n">
        <v>0</v>
      </c>
      <c r="P134" s="53" t="n">
        <v>-5372.94</v>
      </c>
      <c r="Q134" s="53" t="n">
        <v>0</v>
      </c>
      <c r="R134" s="53" t="n">
        <v>5372.94</v>
      </c>
      <c r="S134" s="53" t="n">
        <v>0</v>
      </c>
      <c r="T134" s="53" t="n">
        <v>1349.53</v>
      </c>
      <c r="U134" s="53" t="n">
        <v>0.2512</v>
      </c>
      <c r="V134" s="53" t="n">
        <v>100</v>
      </c>
      <c r="W134" s="53" t="n">
        <v>0.0186</v>
      </c>
      <c r="X134" s="53" t="n">
        <v>0</v>
      </c>
      <c r="Y134" s="53" t="n">
        <v>0</v>
      </c>
      <c r="Z134" s="53" t="n">
        <v>0</v>
      </c>
      <c r="AA134" s="53" t="n">
        <v>-376.11</v>
      </c>
      <c r="AB134" s="53" t="inlineStr">
        <is>
          <t>FALSE</t>
        </is>
      </c>
      <c r="AC134" s="53" t="inlineStr">
        <is>
          <t>FALSE</t>
        </is>
      </c>
    </row>
    <row r="135">
      <c r="A135" s="53" t="inlineStr">
        <is>
          <t>2026-06-17</t>
        </is>
      </c>
      <c r="B135" s="53" t="inlineStr">
        <is>
          <t>2526957</t>
        </is>
      </c>
      <c r="C135" s="53" t="inlineStr">
        <is>
          <t>2026.1042 SND2 at ILP Bldg IV Whitestown</t>
        </is>
      </c>
      <c r="D135" s="53" t="inlineStr">
        <is>
          <t>TI</t>
        </is>
      </c>
      <c r="E135" s="53" t="inlineStr">
        <is>
          <t>Trevor Anderson</t>
        </is>
      </c>
      <c r="F135" s="53" t="inlineStr">
        <is>
          <t>Compass Commercial Construction Group</t>
        </is>
      </c>
      <c r="G135" s="53" t="inlineStr">
        <is>
          <t>ACTIVE</t>
        </is>
      </c>
      <c r="H135" s="53" t="n">
        <v>443007.26</v>
      </c>
      <c r="I135" s="53" t="n">
        <v>-11303.74</v>
      </c>
      <c r="J135" s="53" t="n">
        <v>356727.34</v>
      </c>
      <c r="K135" s="53" t="n">
        <v>164669.04</v>
      </c>
      <c r="L135" s="53" t="n">
        <v>267180.2</v>
      </c>
      <c r="M135" s="53" t="n">
        <v>144645.31</v>
      </c>
      <c r="N135" s="53" t="n">
        <v>0.5414</v>
      </c>
      <c r="O135" s="53" t="n">
        <v>239844.13</v>
      </c>
      <c r="P135" s="53" t="n">
        <v>-116883.21</v>
      </c>
      <c r="Q135" s="53" t="n">
        <v>-156529.61</v>
      </c>
      <c r="R135" s="53" t="n">
        <v>116883.21</v>
      </c>
      <c r="S135" s="53" t="n">
        <v>0</v>
      </c>
      <c r="T135" s="53" t="n">
        <v>251718.4</v>
      </c>
      <c r="U135" s="53" t="n">
        <v>0.6351</v>
      </c>
      <c r="V135" s="53" t="n">
        <v>39.69</v>
      </c>
      <c r="W135" s="53" t="n">
        <v>0.0001</v>
      </c>
      <c r="X135" s="53" t="n">
        <v>0.3969</v>
      </c>
      <c r="Y135" s="53" t="n">
        <v>-0.3968</v>
      </c>
      <c r="Z135" s="53" t="n">
        <v>39636.37</v>
      </c>
      <c r="AA135" s="53" t="n">
        <v>192058.3</v>
      </c>
      <c r="AB135" s="53" t="inlineStr">
        <is>
          <t>TRUE</t>
        </is>
      </c>
      <c r="AC135" s="53" t="inlineStr">
        <is>
          <t>TRUE</t>
        </is>
      </c>
    </row>
    <row r="136">
      <c r="A136" s="53" t="inlineStr">
        <is>
          <t>2026-06-17</t>
        </is>
      </c>
      <c r="B136" s="53" t="inlineStr">
        <is>
          <t>2523333</t>
        </is>
      </c>
      <c r="C136" s="53" t="inlineStr">
        <is>
          <t>DS.2025.2328 Walnut Townhouses</t>
        </is>
      </c>
      <c r="D136" s="53" t="inlineStr">
        <is>
          <t>DW</t>
        </is>
      </c>
      <c r="E136" s="53" t="inlineStr">
        <is>
          <t>(Unassigned)</t>
        </is>
      </c>
      <c r="F136" s="53" t="inlineStr">
        <is>
          <t>Flores Drywall and Remodeling LLC</t>
        </is>
      </c>
      <c r="G136" s="53" t="inlineStr">
        <is>
          <t>ACTIVE</t>
        </is>
      </c>
      <c r="H136" s="53" t="n">
        <v>27480.05</v>
      </c>
      <c r="I136" s="53" t="n">
        <v>0</v>
      </c>
      <c r="J136" s="53" t="n">
        <v>27480.05</v>
      </c>
      <c r="K136" s="53" t="n">
        <v>29403.65</v>
      </c>
      <c r="L136" s="53" t="n">
        <v>0</v>
      </c>
      <c r="M136" s="53" t="n">
        <v>20232.69</v>
      </c>
      <c r="N136" s="53" t="n">
        <v>0</v>
      </c>
      <c r="O136" s="53" t="n">
        <v>0</v>
      </c>
      <c r="P136" s="53" t="n">
        <v>-27480.05</v>
      </c>
      <c r="Q136" s="53" t="n">
        <v>0</v>
      </c>
      <c r="R136" s="53" t="n">
        <v>27480.05</v>
      </c>
      <c r="S136" s="53" t="n">
        <v>0</v>
      </c>
      <c r="T136" s="53" t="n">
        <v>7247.36</v>
      </c>
      <c r="U136" s="53" t="n">
        <v>0.2637</v>
      </c>
      <c r="V136" s="53" t="n">
        <v>100</v>
      </c>
      <c r="W136" s="53" t="n">
        <v>0.0036</v>
      </c>
      <c r="X136" s="53" t="n">
        <v>0</v>
      </c>
      <c r="Y136" s="53" t="n">
        <v>0</v>
      </c>
      <c r="Z136" s="53" t="n">
        <v>0</v>
      </c>
      <c r="AA136" s="53" t="n">
        <v>-1923.6</v>
      </c>
      <c r="AB136" s="53" t="inlineStr">
        <is>
          <t>FALSE</t>
        </is>
      </c>
      <c r="AC136" s="53" t="inlineStr">
        <is>
          <t>FALSE</t>
        </is>
      </c>
    </row>
    <row r="137">
      <c r="A137" s="53" t="inlineStr">
        <is>
          <t>2026-06-17</t>
        </is>
      </c>
      <c r="B137" s="53" t="inlineStr">
        <is>
          <t>2522921</t>
        </is>
      </c>
      <c r="C137" s="53" t="inlineStr">
        <is>
          <t>DS.2025.2327 Courtyards of Cielo Ranch 12</t>
        </is>
      </c>
      <c r="D137" s="53" t="inlineStr">
        <is>
          <t>DW</t>
        </is>
      </c>
      <c r="E137" s="53" t="inlineStr">
        <is>
          <t>(Unassigned)</t>
        </is>
      </c>
      <c r="F137" s="53" t="inlineStr">
        <is>
          <t>Big Dawg Drywall</t>
        </is>
      </c>
      <c r="G137" s="53" t="inlineStr">
        <is>
          <t>ACTIVE</t>
        </is>
      </c>
      <c r="H137" s="53" t="n">
        <v>5339.63</v>
      </c>
      <c r="I137" s="53" t="n">
        <v>0</v>
      </c>
      <c r="J137" s="53" t="n">
        <v>5339.63</v>
      </c>
      <c r="K137" s="53" t="n">
        <v>5713.4</v>
      </c>
      <c r="L137" s="53" t="n">
        <v>0</v>
      </c>
      <c r="M137" s="53" t="n">
        <v>3961.95</v>
      </c>
      <c r="N137" s="53" t="n">
        <v>0</v>
      </c>
      <c r="O137" s="53" t="n">
        <v>0</v>
      </c>
      <c r="P137" s="53" t="n">
        <v>-5339.63</v>
      </c>
      <c r="Q137" s="53" t="n">
        <v>0</v>
      </c>
      <c r="R137" s="53" t="n">
        <v>5339.63</v>
      </c>
      <c r="S137" s="53" t="n">
        <v>0</v>
      </c>
      <c r="T137" s="53" t="n">
        <v>1377.68</v>
      </c>
      <c r="U137" s="53" t="n">
        <v>0.258</v>
      </c>
      <c r="V137" s="53" t="n">
        <v>100</v>
      </c>
      <c r="W137" s="53" t="n">
        <v>0.0187</v>
      </c>
      <c r="X137" s="53" t="n">
        <v>0</v>
      </c>
      <c r="Y137" s="53" t="n">
        <v>0</v>
      </c>
      <c r="Z137" s="53" t="n">
        <v>0</v>
      </c>
      <c r="AA137" s="53" t="n">
        <v>-373.77</v>
      </c>
      <c r="AB137" s="53" t="inlineStr">
        <is>
          <t>FALSE</t>
        </is>
      </c>
      <c r="AC137" s="53" t="inlineStr">
        <is>
          <t>FALSE</t>
        </is>
      </c>
    </row>
    <row r="138">
      <c r="A138" s="53" t="inlineStr">
        <is>
          <t>2026-06-17</t>
        </is>
      </c>
      <c r="B138" s="53" t="inlineStr">
        <is>
          <t>2521531</t>
        </is>
      </c>
      <c r="C138" s="53" t="inlineStr">
        <is>
          <t>DS.2025.2326 Courtyards of Russell Oaks 64</t>
        </is>
      </c>
      <c r="D138" s="53" t="inlineStr">
        <is>
          <t>DW</t>
        </is>
      </c>
      <c r="E138" s="53" t="inlineStr">
        <is>
          <t>(Unassigned)</t>
        </is>
      </c>
      <c r="F138" s="53" t="inlineStr">
        <is>
          <t>Big Dawg Drywall</t>
        </is>
      </c>
      <c r="G138" s="53" t="inlineStr">
        <is>
          <t>ACTIVE</t>
        </is>
      </c>
      <c r="H138" s="53" t="n">
        <v>6766.74</v>
      </c>
      <c r="I138" s="53" t="n">
        <v>0</v>
      </c>
      <c r="J138" s="53" t="n">
        <v>6766.74</v>
      </c>
      <c r="K138" s="53" t="n">
        <v>7240.41</v>
      </c>
      <c r="L138" s="53" t="n">
        <v>0</v>
      </c>
      <c r="M138" s="53" t="n">
        <v>4988.09</v>
      </c>
      <c r="N138" s="53" t="n">
        <v>0</v>
      </c>
      <c r="O138" s="53" t="n">
        <v>0</v>
      </c>
      <c r="P138" s="53" t="n">
        <v>-6766.74</v>
      </c>
      <c r="Q138" s="53" t="n">
        <v>0</v>
      </c>
      <c r="R138" s="53" t="n">
        <v>6766.74</v>
      </c>
      <c r="S138" s="53" t="n">
        <v>0</v>
      </c>
      <c r="T138" s="53" t="n">
        <v>1778.65</v>
      </c>
      <c r="U138" s="53" t="n">
        <v>0.2629</v>
      </c>
      <c r="V138" s="53" t="n">
        <v>100</v>
      </c>
      <c r="W138" s="53" t="n">
        <v>0.0148</v>
      </c>
      <c r="X138" s="53" t="n">
        <v>0</v>
      </c>
      <c r="Y138" s="53" t="n">
        <v>0</v>
      </c>
      <c r="Z138" s="53" t="n">
        <v>0</v>
      </c>
      <c r="AA138" s="53" t="n">
        <v>-473.67</v>
      </c>
      <c r="AB138" s="53" t="inlineStr">
        <is>
          <t>FALSE</t>
        </is>
      </c>
      <c r="AC138" s="53" t="inlineStr">
        <is>
          <t>FALSE</t>
        </is>
      </c>
    </row>
    <row r="139">
      <c r="A139" s="53" t="inlineStr">
        <is>
          <t>2026-06-17</t>
        </is>
      </c>
      <c r="B139" s="53" t="inlineStr">
        <is>
          <t>2520350</t>
        </is>
      </c>
      <c r="C139" s="53" t="inlineStr">
        <is>
          <t>2025.1024 Metro Lion</t>
        </is>
      </c>
      <c r="D139" s="53" t="inlineStr">
        <is>
          <t>TI</t>
        </is>
      </c>
      <c r="E139" s="53" t="inlineStr">
        <is>
          <t>Ben Garza</t>
        </is>
      </c>
      <c r="F139" s="53" t="inlineStr">
        <is>
          <t>DEEM, LLC</t>
        </is>
      </c>
      <c r="G139" s="53" t="inlineStr">
        <is>
          <t>ACTIVE</t>
        </is>
      </c>
      <c r="H139" s="53" t="n">
        <v>786710</v>
      </c>
      <c r="I139" s="53" t="n">
        <v>111490</v>
      </c>
      <c r="J139" s="53" t="n">
        <v>786710</v>
      </c>
      <c r="K139" s="53" t="n">
        <v>785410</v>
      </c>
      <c r="L139" s="53" t="n">
        <v>575332.91</v>
      </c>
      <c r="M139" s="53" t="n">
        <v>575332.91</v>
      </c>
      <c r="N139" s="53" t="n">
        <v>1</v>
      </c>
      <c r="O139" s="53" t="n">
        <v>786710</v>
      </c>
      <c r="P139" s="53" t="n">
        <v>0</v>
      </c>
      <c r="Q139" s="53" t="n">
        <v>-0</v>
      </c>
      <c r="R139" s="53" t="n">
        <v>0</v>
      </c>
      <c r="S139" s="53" t="n">
        <v>0</v>
      </c>
      <c r="T139" s="53" t="n">
        <v>211377.09</v>
      </c>
      <c r="U139" s="53" t="n">
        <v>0.2687</v>
      </c>
      <c r="V139" s="53" t="n">
        <v>26.87</v>
      </c>
      <c r="W139" s="53" t="n">
        <v>0</v>
      </c>
      <c r="X139" s="53" t="n">
        <v>0.2687</v>
      </c>
      <c r="Y139" s="53" t="n">
        <v>-0.2687</v>
      </c>
      <c r="Z139" s="53" t="n">
        <v>0</v>
      </c>
      <c r="AA139" s="53" t="n">
        <v>1300</v>
      </c>
      <c r="AB139" s="53" t="inlineStr">
        <is>
          <t>TRUE</t>
        </is>
      </c>
      <c r="AC139" s="53" t="inlineStr">
        <is>
          <t>TRUE</t>
        </is>
      </c>
    </row>
    <row r="140">
      <c r="A140" s="53" t="inlineStr">
        <is>
          <t>2026-06-17</t>
        </is>
      </c>
      <c r="B140" s="53" t="inlineStr">
        <is>
          <t>2519527</t>
        </is>
      </c>
      <c r="C140" s="53" t="inlineStr">
        <is>
          <t>DS.2025.2325 6693 E 500 N</t>
        </is>
      </c>
      <c r="D140" s="53" t="inlineStr">
        <is>
          <t>DW</t>
        </is>
      </c>
      <c r="E140" s="53" t="inlineStr">
        <is>
          <t>(Unassigned)</t>
        </is>
      </c>
      <c r="F140" s="53" t="inlineStr">
        <is>
          <t>Total Drywall Solutions Inc</t>
        </is>
      </c>
      <c r="G140" s="53" t="inlineStr">
        <is>
          <t>ACTIVE</t>
        </is>
      </c>
      <c r="H140" s="53" t="n">
        <v>3424.59</v>
      </c>
      <c r="I140" s="53" t="n">
        <v>0</v>
      </c>
      <c r="J140" s="53" t="n">
        <v>3424.59</v>
      </c>
      <c r="K140" s="53" t="n">
        <v>3664.31</v>
      </c>
      <c r="L140" s="53" t="n">
        <v>0</v>
      </c>
      <c r="M140" s="53" t="n">
        <v>2352.39</v>
      </c>
      <c r="N140" s="53" t="n">
        <v>0</v>
      </c>
      <c r="O140" s="53" t="n">
        <v>0</v>
      </c>
      <c r="P140" s="53" t="n">
        <v>-3424.59</v>
      </c>
      <c r="Q140" s="53" t="n">
        <v>0</v>
      </c>
      <c r="R140" s="53" t="n">
        <v>3424.59</v>
      </c>
      <c r="S140" s="53" t="n">
        <v>0</v>
      </c>
      <c r="T140" s="53" t="n">
        <v>1072.2</v>
      </c>
      <c r="U140" s="53" t="n">
        <v>0.3131</v>
      </c>
      <c r="V140" s="53" t="n">
        <v>100</v>
      </c>
      <c r="W140" s="53" t="n">
        <v>0.0292</v>
      </c>
      <c r="X140" s="53" t="n">
        <v>0</v>
      </c>
      <c r="Y140" s="53" t="n">
        <v>0</v>
      </c>
      <c r="Z140" s="53" t="n">
        <v>0</v>
      </c>
      <c r="AA140" s="53" t="n">
        <v>-239.72</v>
      </c>
      <c r="AB140" s="53" t="inlineStr">
        <is>
          <t>FALSE</t>
        </is>
      </c>
      <c r="AC140" s="53" t="inlineStr">
        <is>
          <t>FALSE</t>
        </is>
      </c>
    </row>
    <row r="141">
      <c r="A141" s="53" t="inlineStr">
        <is>
          <t>2026-06-17</t>
        </is>
      </c>
      <c r="B141" s="53" t="inlineStr">
        <is>
          <t>2519463</t>
        </is>
      </c>
      <c r="C141" s="53" t="inlineStr">
        <is>
          <t>DS.2025.2324 6504 N 1200 E</t>
        </is>
      </c>
      <c r="D141" s="53" t="inlineStr">
        <is>
          <t>DW</t>
        </is>
      </c>
      <c r="E141" s="53" t="inlineStr">
        <is>
          <t>(Unassigned)</t>
        </is>
      </c>
      <c r="F141" s="53" t="inlineStr">
        <is>
          <t>Total Drywall Solutions Inc</t>
        </is>
      </c>
      <c r="G141" s="53" t="inlineStr">
        <is>
          <t>ACTIVE</t>
        </is>
      </c>
      <c r="H141" s="53" t="n">
        <v>2200.1</v>
      </c>
      <c r="I141" s="53" t="n">
        <v>0</v>
      </c>
      <c r="J141" s="53" t="n">
        <v>2200.1</v>
      </c>
      <c r="K141" s="53" t="n">
        <v>2354.11</v>
      </c>
      <c r="L141" s="53" t="n">
        <v>0</v>
      </c>
      <c r="M141" s="53" t="n">
        <v>1496.64</v>
      </c>
      <c r="N141" s="53" t="n">
        <v>0</v>
      </c>
      <c r="O141" s="53" t="n">
        <v>0</v>
      </c>
      <c r="P141" s="53" t="n">
        <v>-2200.1</v>
      </c>
      <c r="Q141" s="53" t="n">
        <v>0</v>
      </c>
      <c r="R141" s="53" t="n">
        <v>2200.1</v>
      </c>
      <c r="S141" s="53" t="n">
        <v>0</v>
      </c>
      <c r="T141" s="53" t="n">
        <v>703.46</v>
      </c>
      <c r="U141" s="53" t="n">
        <v>0.3197</v>
      </c>
      <c r="V141" s="53" t="n">
        <v>100</v>
      </c>
      <c r="W141" s="53" t="n">
        <v>0.0455</v>
      </c>
      <c r="X141" s="53" t="n">
        <v>0</v>
      </c>
      <c r="Y141" s="53" t="n">
        <v>0</v>
      </c>
      <c r="Z141" s="53" t="n">
        <v>0</v>
      </c>
      <c r="AA141" s="53" t="n">
        <v>-154.01</v>
      </c>
      <c r="AB141" s="53" t="inlineStr">
        <is>
          <t>FALSE</t>
        </is>
      </c>
      <c r="AC141" s="53" t="inlineStr">
        <is>
          <t>FALSE</t>
        </is>
      </c>
    </row>
    <row r="142">
      <c r="A142" s="53" t="inlineStr">
        <is>
          <t>2026-06-17</t>
        </is>
      </c>
      <c r="B142" s="53" t="inlineStr">
        <is>
          <t>2519426</t>
        </is>
      </c>
      <c r="C142" s="53" t="inlineStr">
        <is>
          <t>DS.2025.2323 11890 E 800 N</t>
        </is>
      </c>
      <c r="D142" s="53" t="inlineStr">
        <is>
          <t>DW</t>
        </is>
      </c>
      <c r="E142" s="53" t="inlineStr">
        <is>
          <t>(Unassigned)</t>
        </is>
      </c>
      <c r="F142" s="53" t="inlineStr">
        <is>
          <t>Total Drywall Solutions Inc</t>
        </is>
      </c>
      <c r="G142" s="53" t="inlineStr">
        <is>
          <t>ACTIVE</t>
        </is>
      </c>
      <c r="H142" s="53" t="n">
        <v>1561.15</v>
      </c>
      <c r="I142" s="53" t="n">
        <v>0</v>
      </c>
      <c r="J142" s="53" t="n">
        <v>1561.15</v>
      </c>
      <c r="K142" s="53" t="n">
        <v>998.21</v>
      </c>
      <c r="L142" s="53" t="n">
        <v>0</v>
      </c>
      <c r="M142" s="53" t="n">
        <v>1010.41</v>
      </c>
      <c r="N142" s="53" t="n">
        <v>0</v>
      </c>
      <c r="O142" s="53" t="n">
        <v>0</v>
      </c>
      <c r="P142" s="53" t="n">
        <v>-1561.15</v>
      </c>
      <c r="Q142" s="53" t="n">
        <v>0</v>
      </c>
      <c r="R142" s="53" t="n">
        <v>1561.15</v>
      </c>
      <c r="S142" s="53" t="n">
        <v>0</v>
      </c>
      <c r="T142" s="53" t="n">
        <v>550.74</v>
      </c>
      <c r="U142" s="53" t="n">
        <v>0.3528</v>
      </c>
      <c r="V142" s="53" t="n">
        <v>100</v>
      </c>
      <c r="W142" s="53" t="n">
        <v>0.0641</v>
      </c>
      <c r="X142" s="53" t="n">
        <v>0</v>
      </c>
      <c r="Y142" s="53" t="n">
        <v>0</v>
      </c>
      <c r="Z142" s="53" t="n">
        <v>0</v>
      </c>
      <c r="AA142" s="53" t="n">
        <v>562.9400000000001</v>
      </c>
      <c r="AB142" s="53" t="inlineStr">
        <is>
          <t>FALSE</t>
        </is>
      </c>
      <c r="AC142" s="53" t="inlineStr">
        <is>
          <t>FALSE</t>
        </is>
      </c>
    </row>
    <row r="143">
      <c r="A143" s="53" t="inlineStr">
        <is>
          <t>2026-06-17</t>
        </is>
      </c>
      <c r="B143" s="53" t="inlineStr">
        <is>
          <t>2517615</t>
        </is>
      </c>
      <c r="C143" s="53" t="inlineStr">
        <is>
          <t>DS.2025.2322 Courtyards of Russell Oaks 124</t>
        </is>
      </c>
      <c r="D143" s="53" t="inlineStr">
        <is>
          <t>DW</t>
        </is>
      </c>
      <c r="E143" s="53" t="inlineStr">
        <is>
          <t>(Unassigned)</t>
        </is>
      </c>
      <c r="F143" s="53" t="inlineStr">
        <is>
          <t>Big Dawg Drywall</t>
        </is>
      </c>
      <c r="G143" s="53" t="inlineStr">
        <is>
          <t>ACTIVE</t>
        </is>
      </c>
      <c r="H143" s="53" t="n">
        <v>5546.04</v>
      </c>
      <c r="I143" s="53" t="n">
        <v>0</v>
      </c>
      <c r="J143" s="53" t="n">
        <v>5546.04</v>
      </c>
      <c r="K143" s="53" t="n">
        <v>5934.26</v>
      </c>
      <c r="L143" s="53" t="n">
        <v>0</v>
      </c>
      <c r="M143" s="53" t="n">
        <v>3962.25</v>
      </c>
      <c r="N143" s="53" t="n">
        <v>0</v>
      </c>
      <c r="O143" s="53" t="n">
        <v>0</v>
      </c>
      <c r="P143" s="53" t="n">
        <v>-5546.04</v>
      </c>
      <c r="Q143" s="53" t="n">
        <v>0</v>
      </c>
      <c r="R143" s="53" t="n">
        <v>5546.04</v>
      </c>
      <c r="S143" s="53" t="n">
        <v>0</v>
      </c>
      <c r="T143" s="53" t="n">
        <v>1583.79</v>
      </c>
      <c r="U143" s="53" t="n">
        <v>0.2856</v>
      </c>
      <c r="V143" s="53" t="n">
        <v>100</v>
      </c>
      <c r="W143" s="53" t="n">
        <v>0.018</v>
      </c>
      <c r="X143" s="53" t="n">
        <v>0</v>
      </c>
      <c r="Y143" s="53" t="n">
        <v>0</v>
      </c>
      <c r="Z143" s="53" t="n">
        <v>0</v>
      </c>
      <c r="AA143" s="53" t="n">
        <v>-388.22</v>
      </c>
      <c r="AB143" s="53" t="inlineStr">
        <is>
          <t>FALSE</t>
        </is>
      </c>
      <c r="AC143" s="53" t="inlineStr">
        <is>
          <t>FALSE</t>
        </is>
      </c>
    </row>
    <row r="144">
      <c r="A144" s="53" t="inlineStr">
        <is>
          <t>2026-06-17</t>
        </is>
      </c>
      <c r="B144" s="53" t="inlineStr">
        <is>
          <t>2517594</t>
        </is>
      </c>
      <c r="C144" s="53" t="inlineStr">
        <is>
          <t>DS.2025.2321 Courtyards of Cielo Ranch 33</t>
        </is>
      </c>
      <c r="D144" s="53" t="inlineStr">
        <is>
          <t>DW</t>
        </is>
      </c>
      <c r="E144" s="53" t="inlineStr">
        <is>
          <t>(Unassigned)</t>
        </is>
      </c>
      <c r="F144" s="53" t="inlineStr">
        <is>
          <t>Big Dawg Drywall</t>
        </is>
      </c>
      <c r="G144" s="53" t="inlineStr">
        <is>
          <t>ACTIVE</t>
        </is>
      </c>
      <c r="H144" s="53" t="n">
        <v>6549.45</v>
      </c>
      <c r="I144" s="53" t="n">
        <v>0</v>
      </c>
      <c r="J144" s="53" t="n">
        <v>6549.45</v>
      </c>
      <c r="K144" s="53" t="n">
        <v>7007.91</v>
      </c>
      <c r="L144" s="53" t="n">
        <v>0</v>
      </c>
      <c r="M144" s="53" t="n">
        <v>4836.92</v>
      </c>
      <c r="N144" s="53" t="n">
        <v>0</v>
      </c>
      <c r="O144" s="53" t="n">
        <v>0</v>
      </c>
      <c r="P144" s="53" t="n">
        <v>-6549.45</v>
      </c>
      <c r="Q144" s="53" t="n">
        <v>0</v>
      </c>
      <c r="R144" s="53" t="n">
        <v>6549.45</v>
      </c>
      <c r="S144" s="53" t="n">
        <v>0</v>
      </c>
      <c r="T144" s="53" t="n">
        <v>1712.53</v>
      </c>
      <c r="U144" s="53" t="n">
        <v>0.2615</v>
      </c>
      <c r="V144" s="53" t="n">
        <v>100</v>
      </c>
      <c r="W144" s="53" t="n">
        <v>0.0153</v>
      </c>
      <c r="X144" s="53" t="n">
        <v>0</v>
      </c>
      <c r="Y144" s="53" t="n">
        <v>0</v>
      </c>
      <c r="Z144" s="53" t="n">
        <v>0</v>
      </c>
      <c r="AA144" s="53" t="n">
        <v>-458.46</v>
      </c>
      <c r="AB144" s="53" t="inlineStr">
        <is>
          <t>FALSE</t>
        </is>
      </c>
      <c r="AC144" s="53" t="inlineStr">
        <is>
          <t>FALSE</t>
        </is>
      </c>
    </row>
    <row r="145">
      <c r="A145" s="53" t="inlineStr">
        <is>
          <t>2026-06-17</t>
        </is>
      </c>
      <c r="B145" s="53" t="inlineStr">
        <is>
          <t>2517552</t>
        </is>
      </c>
      <c r="C145" s="53" t="inlineStr">
        <is>
          <t>DS.2025.2320 Courtyards of Cielo Ranch 27</t>
        </is>
      </c>
      <c r="D145" s="53" t="inlineStr">
        <is>
          <t>DW</t>
        </is>
      </c>
      <c r="E145" s="53" t="inlineStr">
        <is>
          <t>(Unassigned)</t>
        </is>
      </c>
      <c r="F145" s="53" t="inlineStr">
        <is>
          <t>Big Dawg Drywall</t>
        </is>
      </c>
      <c r="G145" s="53" t="inlineStr">
        <is>
          <t>ACTIVE</t>
        </is>
      </c>
      <c r="H145" s="53" t="n">
        <v>6589.59</v>
      </c>
      <c r="I145" s="53" t="n">
        <v>252</v>
      </c>
      <c r="J145" s="53" t="n">
        <v>6589.59</v>
      </c>
      <c r="K145" s="53" t="n">
        <v>7050.86</v>
      </c>
      <c r="L145" s="53" t="n">
        <v>0</v>
      </c>
      <c r="M145" s="53" t="n">
        <v>4915.76</v>
      </c>
      <c r="N145" s="53" t="n">
        <v>0</v>
      </c>
      <c r="O145" s="53" t="n">
        <v>0</v>
      </c>
      <c r="P145" s="53" t="n">
        <v>-6589.59</v>
      </c>
      <c r="Q145" s="53" t="n">
        <v>0</v>
      </c>
      <c r="R145" s="53" t="n">
        <v>6589.59</v>
      </c>
      <c r="S145" s="53" t="n">
        <v>0</v>
      </c>
      <c r="T145" s="53" t="n">
        <v>1673.83</v>
      </c>
      <c r="U145" s="53" t="n">
        <v>0.254</v>
      </c>
      <c r="V145" s="53" t="n">
        <v>100</v>
      </c>
      <c r="W145" s="53" t="n">
        <v>0.0152</v>
      </c>
      <c r="X145" s="53" t="n">
        <v>0</v>
      </c>
      <c r="Y145" s="53" t="n">
        <v>0</v>
      </c>
      <c r="Z145" s="53" t="n">
        <v>0</v>
      </c>
      <c r="AA145" s="53" t="n">
        <v>-461.27</v>
      </c>
      <c r="AB145" s="53" t="inlineStr">
        <is>
          <t>FALSE</t>
        </is>
      </c>
      <c r="AC145" s="53" t="inlineStr">
        <is>
          <t>FALSE</t>
        </is>
      </c>
    </row>
    <row r="146">
      <c r="A146" s="53" t="inlineStr">
        <is>
          <t>2026-06-17</t>
        </is>
      </c>
      <c r="B146" s="53" t="inlineStr">
        <is>
          <t>2510293</t>
        </is>
      </c>
      <c r="C146" s="53" t="inlineStr">
        <is>
          <t>DS.2025.2319 5288 Oak Grove Rd</t>
        </is>
      </c>
      <c r="D146" s="53" t="inlineStr">
        <is>
          <t>DW</t>
        </is>
      </c>
      <c r="E146" s="53" t="inlineStr">
        <is>
          <t>(Unassigned)</t>
        </is>
      </c>
      <c r="F146" s="53" t="inlineStr">
        <is>
          <t>Total Drywall Solutions Inc</t>
        </is>
      </c>
      <c r="G146" s="53" t="inlineStr">
        <is>
          <t>ACTIVE</t>
        </is>
      </c>
      <c r="H146" s="53" t="n">
        <v>8606.940000000001</v>
      </c>
      <c r="I146" s="53" t="n">
        <v>0</v>
      </c>
      <c r="J146" s="53" t="n">
        <v>8606.940000000001</v>
      </c>
      <c r="K146" s="53" t="n">
        <v>9209.43</v>
      </c>
      <c r="L146" s="53" t="n">
        <v>0</v>
      </c>
      <c r="M146" s="53" t="n">
        <v>6023.23</v>
      </c>
      <c r="N146" s="53" t="n">
        <v>0</v>
      </c>
      <c r="O146" s="53" t="n">
        <v>0</v>
      </c>
      <c r="P146" s="53" t="n">
        <v>-8606.940000000001</v>
      </c>
      <c r="Q146" s="53" t="n">
        <v>0</v>
      </c>
      <c r="R146" s="53" t="n">
        <v>8606.940000000001</v>
      </c>
      <c r="S146" s="53" t="n">
        <v>0</v>
      </c>
      <c r="T146" s="53" t="n">
        <v>2583.71</v>
      </c>
      <c r="U146" s="53" t="n">
        <v>0.3002</v>
      </c>
      <c r="V146" s="53" t="n">
        <v>100</v>
      </c>
      <c r="W146" s="53" t="n">
        <v>0.0116</v>
      </c>
      <c r="X146" s="53" t="n">
        <v>0</v>
      </c>
      <c r="Y146" s="53" t="n">
        <v>0</v>
      </c>
      <c r="Z146" s="53" t="n">
        <v>0</v>
      </c>
      <c r="AA146" s="53" t="n">
        <v>-602.49</v>
      </c>
      <c r="AB146" s="53" t="inlineStr">
        <is>
          <t>FALSE</t>
        </is>
      </c>
      <c r="AC146" s="53" t="inlineStr">
        <is>
          <t>FALSE</t>
        </is>
      </c>
    </row>
    <row r="147">
      <c r="A147" s="53" t="inlineStr">
        <is>
          <t>2026-06-17</t>
        </is>
      </c>
      <c r="B147" s="53" t="inlineStr">
        <is>
          <t>2508315</t>
        </is>
      </c>
      <c r="C147" s="53" t="inlineStr">
        <is>
          <t>DS.2025.2318 GSI Stonecrest 11-4</t>
        </is>
      </c>
      <c r="D147" s="53" t="inlineStr">
        <is>
          <t>DW</t>
        </is>
      </c>
      <c r="E147" s="53" t="inlineStr">
        <is>
          <t>(Unassigned)</t>
        </is>
      </c>
      <c r="F147" s="53" t="inlineStr">
        <is>
          <t>GSI - Gregory Scott Inabnit LLC</t>
        </is>
      </c>
      <c r="G147" s="53" t="inlineStr">
        <is>
          <t>ACTIVE</t>
        </is>
      </c>
      <c r="H147" s="53" t="n">
        <v>4381.98</v>
      </c>
      <c r="I147" s="53" t="n">
        <v>0</v>
      </c>
      <c r="J147" s="53" t="n">
        <v>4381.98</v>
      </c>
      <c r="K147" s="53" t="n">
        <v>4688.72</v>
      </c>
      <c r="L147" s="53" t="n">
        <v>0</v>
      </c>
      <c r="M147" s="53" t="n">
        <v>3055.63</v>
      </c>
      <c r="N147" s="53" t="n">
        <v>0</v>
      </c>
      <c r="O147" s="53" t="n">
        <v>0</v>
      </c>
      <c r="P147" s="53" t="n">
        <v>-4381.98</v>
      </c>
      <c r="Q147" s="53" t="n">
        <v>0</v>
      </c>
      <c r="R147" s="53" t="n">
        <v>4381.98</v>
      </c>
      <c r="S147" s="53" t="n">
        <v>0</v>
      </c>
      <c r="T147" s="53" t="n">
        <v>1326.35</v>
      </c>
      <c r="U147" s="53" t="n">
        <v>0.3027</v>
      </c>
      <c r="V147" s="53" t="n">
        <v>100</v>
      </c>
      <c r="W147" s="53" t="n">
        <v>0.0228</v>
      </c>
      <c r="X147" s="53" t="n">
        <v>0</v>
      </c>
      <c r="Y147" s="53" t="n">
        <v>0</v>
      </c>
      <c r="Z147" s="53" t="n">
        <v>0</v>
      </c>
      <c r="AA147" s="53" t="n">
        <v>-306.74</v>
      </c>
      <c r="AB147" s="53" t="inlineStr">
        <is>
          <t>FALSE</t>
        </is>
      </c>
      <c r="AC147" s="53" t="inlineStr">
        <is>
          <t>FALSE</t>
        </is>
      </c>
    </row>
    <row r="148">
      <c r="A148" s="53" t="inlineStr">
        <is>
          <t>2026-06-17</t>
        </is>
      </c>
      <c r="B148" s="53" t="inlineStr">
        <is>
          <t>2508262</t>
        </is>
      </c>
      <c r="C148" s="53" t="inlineStr">
        <is>
          <t>DS.2025.2317 Courtyards of Ceilo Ranch 23</t>
        </is>
      </c>
      <c r="D148" s="53" t="inlineStr">
        <is>
          <t>DW</t>
        </is>
      </c>
      <c r="E148" s="53" t="inlineStr">
        <is>
          <t>(Unassigned)</t>
        </is>
      </c>
      <c r="F148" s="53" t="inlineStr">
        <is>
          <t>Big Dawg Drywall</t>
        </is>
      </c>
      <c r="G148" s="53" t="inlineStr">
        <is>
          <t>ACTIVE</t>
        </is>
      </c>
      <c r="H148" s="53" t="n">
        <v>336.96</v>
      </c>
      <c r="I148" s="53" t="n">
        <v>0</v>
      </c>
      <c r="J148" s="53" t="n">
        <v>336.96</v>
      </c>
      <c r="K148" s="53" t="n">
        <v>360.55</v>
      </c>
      <c r="L148" s="53" t="n">
        <v>0</v>
      </c>
      <c r="M148" s="53" t="n">
        <v>233.28</v>
      </c>
      <c r="N148" s="53" t="n">
        <v>0</v>
      </c>
      <c r="O148" s="53" t="n">
        <v>0</v>
      </c>
      <c r="P148" s="53" t="n">
        <v>-336.96</v>
      </c>
      <c r="Q148" s="53" t="n">
        <v>0</v>
      </c>
      <c r="R148" s="53" t="n">
        <v>336.96</v>
      </c>
      <c r="S148" s="53" t="n">
        <v>0</v>
      </c>
      <c r="T148" s="53" t="n">
        <v>103.68</v>
      </c>
      <c r="U148" s="53" t="n">
        <v>0.3077</v>
      </c>
      <c r="V148" s="53" t="n">
        <v>100</v>
      </c>
      <c r="W148" s="53" t="n">
        <v>0.2968</v>
      </c>
      <c r="X148" s="53" t="n">
        <v>0</v>
      </c>
      <c r="Y148" s="53" t="n">
        <v>0</v>
      </c>
      <c r="Z148" s="53" t="n">
        <v>0</v>
      </c>
      <c r="AA148" s="53" t="n">
        <v>-23.59</v>
      </c>
      <c r="AB148" s="53" t="inlineStr">
        <is>
          <t>FALSE</t>
        </is>
      </c>
      <c r="AC148" s="53" t="inlineStr">
        <is>
          <t>FALSE</t>
        </is>
      </c>
    </row>
    <row r="149">
      <c r="A149" s="53" t="inlineStr">
        <is>
          <t>2026-06-17</t>
        </is>
      </c>
      <c r="B149" s="53" t="inlineStr">
        <is>
          <t>2505636</t>
        </is>
      </c>
      <c r="C149" s="53" t="inlineStr">
        <is>
          <t>2025.1023 Vikan Products BTS</t>
        </is>
      </c>
      <c r="D149" s="53" t="inlineStr">
        <is>
          <t>TI</t>
        </is>
      </c>
      <c r="E149" s="53" t="inlineStr">
        <is>
          <t>Cole Garriott</t>
        </is>
      </c>
      <c r="F149" s="53" t="inlineStr">
        <is>
          <t>The Peterson Company, LLC</t>
        </is>
      </c>
      <c r="G149" s="53" t="inlineStr">
        <is>
          <t>ACTIVE</t>
        </is>
      </c>
      <c r="H149" s="53" t="n">
        <v>734790</v>
      </c>
      <c r="I149" s="53" t="n">
        <v>39976</v>
      </c>
      <c r="J149" s="53" t="n">
        <v>661310.99</v>
      </c>
      <c r="K149" s="53" t="n">
        <v>368042.84</v>
      </c>
      <c r="L149" s="53" t="n">
        <v>412832.53</v>
      </c>
      <c r="M149" s="53" t="n">
        <v>347251.25</v>
      </c>
      <c r="N149" s="53" t="n">
        <v>0.8411</v>
      </c>
      <c r="O149" s="53" t="n">
        <v>618031.87</v>
      </c>
      <c r="P149" s="53" t="n">
        <v>-43279.12</v>
      </c>
      <c r="Q149" s="53" t="n">
        <v>-116726.43</v>
      </c>
      <c r="R149" s="53" t="n">
        <v>43279.12</v>
      </c>
      <c r="S149" s="53" t="n">
        <v>0</v>
      </c>
      <c r="T149" s="53" t="n">
        <v>387538.75</v>
      </c>
      <c r="U149" s="53" t="n">
        <v>0.5274</v>
      </c>
      <c r="V149" s="53" t="n">
        <v>43.82</v>
      </c>
      <c r="W149" s="53" t="n">
        <v>0.0001</v>
      </c>
      <c r="X149" s="53" t="n">
        <v>0.4382</v>
      </c>
      <c r="Y149" s="53" t="n">
        <v>-0.4381</v>
      </c>
      <c r="Z149" s="53" t="n">
        <v>73479.00999999999</v>
      </c>
      <c r="AA149" s="53" t="n">
        <v>293268.15</v>
      </c>
      <c r="AB149" s="53" t="inlineStr">
        <is>
          <t>TRUE</t>
        </is>
      </c>
      <c r="AC149" s="53" t="inlineStr">
        <is>
          <t>TRUE</t>
        </is>
      </c>
    </row>
    <row r="150">
      <c r="A150" s="53" t="inlineStr">
        <is>
          <t>2026-06-17</t>
        </is>
      </c>
      <c r="B150" s="53" t="inlineStr">
        <is>
          <t>2500441</t>
        </is>
      </c>
      <c r="C150" s="53" t="inlineStr">
        <is>
          <t>DS.2025.2316 Courtyards of Cielo Ranch 8</t>
        </is>
      </c>
      <c r="D150" s="53" t="inlineStr">
        <is>
          <t>DW</t>
        </is>
      </c>
      <c r="E150" s="53" t="inlineStr">
        <is>
          <t>(Unassigned)</t>
        </is>
      </c>
      <c r="F150" s="53" t="inlineStr">
        <is>
          <t>Big Dawg Drywall</t>
        </is>
      </c>
      <c r="G150" s="53" t="inlineStr">
        <is>
          <t>ACTIVE</t>
        </is>
      </c>
      <c r="H150" s="53" t="n">
        <v>7137.76</v>
      </c>
      <c r="I150" s="53" t="n">
        <v>0</v>
      </c>
      <c r="J150" s="53" t="n">
        <v>7137.76</v>
      </c>
      <c r="K150" s="53" t="n">
        <v>7637.4</v>
      </c>
      <c r="L150" s="53" t="n">
        <v>0</v>
      </c>
      <c r="M150" s="53" t="n">
        <v>5341.14</v>
      </c>
      <c r="N150" s="53" t="n">
        <v>0</v>
      </c>
      <c r="O150" s="53" t="n">
        <v>0</v>
      </c>
      <c r="P150" s="53" t="n">
        <v>-7137.76</v>
      </c>
      <c r="Q150" s="53" t="n">
        <v>0</v>
      </c>
      <c r="R150" s="53" t="n">
        <v>7137.76</v>
      </c>
      <c r="S150" s="53" t="n">
        <v>0</v>
      </c>
      <c r="T150" s="53" t="n">
        <v>1796.62</v>
      </c>
      <c r="U150" s="53" t="n">
        <v>0.2517</v>
      </c>
      <c r="V150" s="53" t="n">
        <v>100</v>
      </c>
      <c r="W150" s="53" t="n">
        <v>0.014</v>
      </c>
      <c r="X150" s="53" t="n">
        <v>0</v>
      </c>
      <c r="Y150" s="53" t="n">
        <v>0</v>
      </c>
      <c r="Z150" s="53" t="n">
        <v>0</v>
      </c>
      <c r="AA150" s="53" t="n">
        <v>-499.64</v>
      </c>
      <c r="AB150" s="53" t="inlineStr">
        <is>
          <t>FALSE</t>
        </is>
      </c>
      <c r="AC150" s="53" t="inlineStr">
        <is>
          <t>FALSE</t>
        </is>
      </c>
    </row>
    <row r="151">
      <c r="A151" s="53" t="inlineStr">
        <is>
          <t>2026-06-17</t>
        </is>
      </c>
      <c r="B151" s="53" t="inlineStr">
        <is>
          <t>2499386</t>
        </is>
      </c>
      <c r="C151" s="53" t="inlineStr">
        <is>
          <t>DS.2025.2315 GSI Brookville</t>
        </is>
      </c>
      <c r="D151" s="53" t="inlineStr">
        <is>
          <t>DW</t>
        </is>
      </c>
      <c r="E151" s="53" t="inlineStr">
        <is>
          <t>(Unassigned)</t>
        </is>
      </c>
      <c r="F151" s="53" t="inlineStr">
        <is>
          <t>GSI - Gregory Scott Inabnit LLC</t>
        </is>
      </c>
      <c r="G151" s="53" t="inlineStr">
        <is>
          <t>ACTIVE</t>
        </is>
      </c>
      <c r="H151" s="53" t="n">
        <v>10698.76</v>
      </c>
      <c r="I151" s="53" t="n">
        <v>0</v>
      </c>
      <c r="J151" s="53" t="n">
        <v>10698.76</v>
      </c>
      <c r="K151" s="53" t="n">
        <v>0</v>
      </c>
      <c r="L151" s="53" t="n">
        <v>0</v>
      </c>
      <c r="M151" s="53" t="n">
        <v>7430.01</v>
      </c>
      <c r="N151" s="53" t="n">
        <v>0</v>
      </c>
      <c r="O151" s="53" t="n">
        <v>0</v>
      </c>
      <c r="P151" s="53" t="n">
        <v>-10698.76</v>
      </c>
      <c r="Q151" s="53" t="n">
        <v>0</v>
      </c>
      <c r="R151" s="53" t="n">
        <v>10698.76</v>
      </c>
      <c r="S151" s="53" t="n">
        <v>0</v>
      </c>
      <c r="T151" s="53" t="n">
        <v>3268.75</v>
      </c>
      <c r="U151" s="53" t="n">
        <v>0.3055</v>
      </c>
      <c r="V151" s="53" t="n">
        <v>100</v>
      </c>
      <c r="W151" s="53" t="n">
        <v>0.009299999999999999</v>
      </c>
      <c r="X151" s="53" t="n">
        <v>0</v>
      </c>
      <c r="Y151" s="53" t="n">
        <v>0</v>
      </c>
      <c r="Z151" s="53" t="n">
        <v>0</v>
      </c>
      <c r="AA151" s="53" t="n">
        <v>10698.76</v>
      </c>
      <c r="AB151" s="53" t="inlineStr">
        <is>
          <t>FALSE</t>
        </is>
      </c>
      <c r="AC151" s="53" t="inlineStr">
        <is>
          <t>FALSE</t>
        </is>
      </c>
    </row>
    <row r="152">
      <c r="A152" s="53" t="inlineStr">
        <is>
          <t>2026-06-17</t>
        </is>
      </c>
      <c r="B152" s="53" t="inlineStr">
        <is>
          <t>2498252</t>
        </is>
      </c>
      <c r="C152" s="53" t="inlineStr">
        <is>
          <t>DS.2025.2314 R18 Holiday Farms</t>
        </is>
      </c>
      <c r="D152" s="53" t="inlineStr">
        <is>
          <t>DW</t>
        </is>
      </c>
      <c r="E152" s="53" t="inlineStr">
        <is>
          <t>(Unassigned)</t>
        </is>
      </c>
      <c r="F152" s="53" t="inlineStr">
        <is>
          <t>Flores Drywall and Remodeling LLC</t>
        </is>
      </c>
      <c r="G152" s="53" t="inlineStr">
        <is>
          <t>ACTIVE</t>
        </is>
      </c>
      <c r="H152" s="53" t="n">
        <v>16234.41</v>
      </c>
      <c r="I152" s="53" t="n">
        <v>0</v>
      </c>
      <c r="J152" s="53" t="n">
        <v>16234.41</v>
      </c>
      <c r="K152" s="53" t="n">
        <v>17370.82</v>
      </c>
      <c r="L152" s="53" t="n">
        <v>0</v>
      </c>
      <c r="M152" s="53" t="n">
        <v>11943.43</v>
      </c>
      <c r="N152" s="53" t="n">
        <v>0</v>
      </c>
      <c r="O152" s="53" t="n">
        <v>0</v>
      </c>
      <c r="P152" s="53" t="n">
        <v>-16234.41</v>
      </c>
      <c r="Q152" s="53" t="n">
        <v>0</v>
      </c>
      <c r="R152" s="53" t="n">
        <v>16234.41</v>
      </c>
      <c r="S152" s="53" t="n">
        <v>0</v>
      </c>
      <c r="T152" s="53" t="n">
        <v>4290.98</v>
      </c>
      <c r="U152" s="53" t="n">
        <v>0.2643</v>
      </c>
      <c r="V152" s="53" t="n">
        <v>100</v>
      </c>
      <c r="W152" s="53" t="n">
        <v>0.0062</v>
      </c>
      <c r="X152" s="53" t="n">
        <v>0</v>
      </c>
      <c r="Y152" s="53" t="n">
        <v>0</v>
      </c>
      <c r="Z152" s="53" t="n">
        <v>0</v>
      </c>
      <c r="AA152" s="53" t="n">
        <v>-1136.41</v>
      </c>
      <c r="AB152" s="53" t="inlineStr">
        <is>
          <t>FALSE</t>
        </is>
      </c>
      <c r="AC152" s="53" t="inlineStr">
        <is>
          <t>FALSE</t>
        </is>
      </c>
    </row>
    <row r="153">
      <c r="A153" s="53" t="inlineStr">
        <is>
          <t>2026-06-17</t>
        </is>
      </c>
      <c r="B153" s="53" t="inlineStr">
        <is>
          <t>2498183</t>
        </is>
      </c>
      <c r="C153" s="53" t="inlineStr">
        <is>
          <t>DS.2025.2313 McDowell Residence</t>
        </is>
      </c>
      <c r="D153" s="53" t="inlineStr">
        <is>
          <t>DW</t>
        </is>
      </c>
      <c r="E153" s="53" t="inlineStr">
        <is>
          <t>(Unassigned)</t>
        </is>
      </c>
      <c r="F153" s="53" t="inlineStr">
        <is>
          <t>Flores Drywall and Remodeling LLC</t>
        </is>
      </c>
      <c r="G153" s="53" t="inlineStr">
        <is>
          <t>ACTIVE</t>
        </is>
      </c>
      <c r="H153" s="53" t="n">
        <v>5783.87</v>
      </c>
      <c r="I153" s="53" t="n">
        <v>0</v>
      </c>
      <c r="J153" s="53" t="n">
        <v>5783.87</v>
      </c>
      <c r="K153" s="53" t="n">
        <v>6188.74</v>
      </c>
      <c r="L153" s="53" t="n">
        <v>0</v>
      </c>
      <c r="M153" s="53" t="n">
        <v>4868.36</v>
      </c>
      <c r="N153" s="53" t="n">
        <v>0</v>
      </c>
      <c r="O153" s="53" t="n">
        <v>0</v>
      </c>
      <c r="P153" s="53" t="n">
        <v>-5783.87</v>
      </c>
      <c r="Q153" s="53" t="n">
        <v>0</v>
      </c>
      <c r="R153" s="53" t="n">
        <v>5783.87</v>
      </c>
      <c r="S153" s="53" t="n">
        <v>0</v>
      </c>
      <c r="T153" s="53" t="n">
        <v>915.51</v>
      </c>
      <c r="U153" s="53" t="n">
        <v>0.1583</v>
      </c>
      <c r="V153" s="53" t="n">
        <v>100</v>
      </c>
      <c r="W153" s="53" t="n">
        <v>0.0173</v>
      </c>
      <c r="X153" s="53" t="n">
        <v>0</v>
      </c>
      <c r="Y153" s="53" t="n">
        <v>0</v>
      </c>
      <c r="Z153" s="53" t="n">
        <v>0</v>
      </c>
      <c r="AA153" s="53" t="n">
        <v>-404.87</v>
      </c>
      <c r="AB153" s="53" t="inlineStr">
        <is>
          <t>FALSE</t>
        </is>
      </c>
      <c r="AC153" s="53" t="inlineStr">
        <is>
          <t>FALSE</t>
        </is>
      </c>
    </row>
    <row r="154">
      <c r="A154" s="53" t="inlineStr">
        <is>
          <t>2026-06-17</t>
        </is>
      </c>
      <c r="B154" s="53" t="inlineStr">
        <is>
          <t>2498101</t>
        </is>
      </c>
      <c r="C154" s="53" t="inlineStr">
        <is>
          <t>DS.2025.2312 Plantation Drive Flores</t>
        </is>
      </c>
      <c r="D154" s="53" t="inlineStr">
        <is>
          <t>DW</t>
        </is>
      </c>
      <c r="E154" s="53" t="inlineStr">
        <is>
          <t>(Unassigned)</t>
        </is>
      </c>
      <c r="F154" s="53" t="inlineStr">
        <is>
          <t>Flores Drywall and Remodeling LLC</t>
        </is>
      </c>
      <c r="G154" s="53" t="inlineStr">
        <is>
          <t>ACTIVE</t>
        </is>
      </c>
      <c r="H154" s="53" t="n">
        <v>5430.42</v>
      </c>
      <c r="I154" s="53" t="n">
        <v>0</v>
      </c>
      <c r="J154" s="53" t="n">
        <v>5430.42</v>
      </c>
      <c r="K154" s="53" t="n">
        <v>5810.55</v>
      </c>
      <c r="L154" s="53" t="n">
        <v>0</v>
      </c>
      <c r="M154" s="53" t="n">
        <v>4117.07</v>
      </c>
      <c r="N154" s="53" t="n">
        <v>0</v>
      </c>
      <c r="O154" s="53" t="n">
        <v>0</v>
      </c>
      <c r="P154" s="53" t="n">
        <v>-5430.42</v>
      </c>
      <c r="Q154" s="53" t="n">
        <v>0</v>
      </c>
      <c r="R154" s="53" t="n">
        <v>5430.42</v>
      </c>
      <c r="S154" s="53" t="n">
        <v>0</v>
      </c>
      <c r="T154" s="53" t="n">
        <v>1313.35</v>
      </c>
      <c r="U154" s="53" t="n">
        <v>0.2419</v>
      </c>
      <c r="V154" s="53" t="n">
        <v>100</v>
      </c>
      <c r="W154" s="53" t="n">
        <v>0.0184</v>
      </c>
      <c r="X154" s="53" t="n">
        <v>0</v>
      </c>
      <c r="Y154" s="53" t="n">
        <v>0</v>
      </c>
      <c r="Z154" s="53" t="n">
        <v>0</v>
      </c>
      <c r="AA154" s="53" t="n">
        <v>-380.13</v>
      </c>
      <c r="AB154" s="53" t="inlineStr">
        <is>
          <t>FALSE</t>
        </is>
      </c>
      <c r="AC154" s="53" t="inlineStr">
        <is>
          <t>FALSE</t>
        </is>
      </c>
    </row>
    <row r="155">
      <c r="A155" s="53" t="inlineStr">
        <is>
          <t>2026-06-17</t>
        </is>
      </c>
      <c r="B155" s="53" t="inlineStr">
        <is>
          <t>2498026</t>
        </is>
      </c>
      <c r="C155" s="53" t="inlineStr">
        <is>
          <t>DS.2025.2311 15111 Mooring Cir W</t>
        </is>
      </c>
      <c r="D155" s="53" t="inlineStr">
        <is>
          <t>DW</t>
        </is>
      </c>
      <c r="E155" s="53" t="inlineStr">
        <is>
          <t>(Unassigned)</t>
        </is>
      </c>
      <c r="F155" s="53" t="inlineStr">
        <is>
          <t>Mendoza</t>
        </is>
      </c>
      <c r="G155" s="53" t="inlineStr">
        <is>
          <t>ACTIVE</t>
        </is>
      </c>
      <c r="H155" s="53" t="n">
        <v>398.4</v>
      </c>
      <c r="I155" s="53" t="n">
        <v>0</v>
      </c>
      <c r="J155" s="53" t="n">
        <v>398.4</v>
      </c>
      <c r="K155" s="53" t="n">
        <v>426.29</v>
      </c>
      <c r="L155" s="53" t="n">
        <v>0</v>
      </c>
      <c r="M155" s="53" t="n">
        <v>281.2</v>
      </c>
      <c r="N155" s="53" t="n">
        <v>0</v>
      </c>
      <c r="O155" s="53" t="n">
        <v>0</v>
      </c>
      <c r="P155" s="53" t="n">
        <v>-398.4</v>
      </c>
      <c r="Q155" s="53" t="n">
        <v>0</v>
      </c>
      <c r="R155" s="53" t="n">
        <v>398.4</v>
      </c>
      <c r="S155" s="53" t="n">
        <v>0</v>
      </c>
      <c r="T155" s="53" t="n">
        <v>117.2</v>
      </c>
      <c r="U155" s="53" t="n">
        <v>0.2942</v>
      </c>
      <c r="V155" s="53" t="n">
        <v>100</v>
      </c>
      <c r="W155" s="53" t="n">
        <v>0.251</v>
      </c>
      <c r="X155" s="53" t="n">
        <v>0</v>
      </c>
      <c r="Y155" s="53" t="n">
        <v>0</v>
      </c>
      <c r="Z155" s="53" t="n">
        <v>0</v>
      </c>
      <c r="AA155" s="53" t="n">
        <v>-27.89</v>
      </c>
      <c r="AB155" s="53" t="inlineStr">
        <is>
          <t>FALSE</t>
        </is>
      </c>
      <c r="AC155" s="53" t="inlineStr">
        <is>
          <t>FALSE</t>
        </is>
      </c>
    </row>
    <row r="156">
      <c r="A156" s="53" t="inlineStr">
        <is>
          <t>2026-06-17</t>
        </is>
      </c>
      <c r="B156" s="53" t="inlineStr">
        <is>
          <t>2497952</t>
        </is>
      </c>
      <c r="C156" s="53" t="inlineStr">
        <is>
          <t>DS.2025.2310 Courtyards of Cielo Ranch 12</t>
        </is>
      </c>
      <c r="D156" s="53" t="inlineStr">
        <is>
          <t>DW</t>
        </is>
      </c>
      <c r="E156" s="53" t="inlineStr">
        <is>
          <t>(Unassigned)</t>
        </is>
      </c>
      <c r="F156" s="53" t="inlineStr">
        <is>
          <t>Big Dawg Drywall</t>
        </is>
      </c>
      <c r="G156" s="53" t="inlineStr">
        <is>
          <t>ACTIVE</t>
        </is>
      </c>
      <c r="H156" s="53" t="n">
        <v>388.8</v>
      </c>
      <c r="I156" s="53" t="n">
        <v>0</v>
      </c>
      <c r="J156" s="53" t="n">
        <v>388.8</v>
      </c>
      <c r="K156" s="53" t="n">
        <v>416.02</v>
      </c>
      <c r="L156" s="53" t="n">
        <v>0</v>
      </c>
      <c r="M156" s="53" t="n">
        <v>267.84</v>
      </c>
      <c r="N156" s="53" t="n">
        <v>0</v>
      </c>
      <c r="O156" s="53" t="n">
        <v>0</v>
      </c>
      <c r="P156" s="53" t="n">
        <v>-388.8</v>
      </c>
      <c r="Q156" s="53" t="n">
        <v>0</v>
      </c>
      <c r="R156" s="53" t="n">
        <v>388.8</v>
      </c>
      <c r="S156" s="53" t="n">
        <v>0</v>
      </c>
      <c r="T156" s="53" t="n">
        <v>120.96</v>
      </c>
      <c r="U156" s="53" t="n">
        <v>0.3111</v>
      </c>
      <c r="V156" s="53" t="n">
        <v>100</v>
      </c>
      <c r="W156" s="53" t="n">
        <v>0.2572</v>
      </c>
      <c r="X156" s="53" t="n">
        <v>0</v>
      </c>
      <c r="Y156" s="53" t="n">
        <v>0</v>
      </c>
      <c r="Z156" s="53" t="n">
        <v>0</v>
      </c>
      <c r="AA156" s="53" t="n">
        <v>-27.22</v>
      </c>
      <c r="AB156" s="53" t="inlineStr">
        <is>
          <t>FALSE</t>
        </is>
      </c>
      <c r="AC156" s="53" t="inlineStr">
        <is>
          <t>FALSE</t>
        </is>
      </c>
    </row>
    <row r="157">
      <c r="A157" s="53" t="inlineStr">
        <is>
          <t>2026-06-17</t>
        </is>
      </c>
      <c r="B157" s="53" t="inlineStr">
        <is>
          <t>2491974</t>
        </is>
      </c>
      <c r="C157" s="53" t="inlineStr">
        <is>
          <t>DS.2025.2309 6936 Sun River Drive</t>
        </is>
      </c>
      <c r="D157" s="53" t="inlineStr">
        <is>
          <t>DW</t>
        </is>
      </c>
      <c r="E157" s="53" t="inlineStr">
        <is>
          <t>(Unassigned)</t>
        </is>
      </c>
      <c r="F157" s="53" t="inlineStr">
        <is>
          <t>Precision Dry Wall</t>
        </is>
      </c>
      <c r="G157" s="53" t="inlineStr">
        <is>
          <t>ACTIVE</t>
        </is>
      </c>
      <c r="H157" s="53" t="n">
        <v>8722.82</v>
      </c>
      <c r="I157" s="53" t="n">
        <v>0</v>
      </c>
      <c r="J157" s="53" t="n">
        <v>8722.82</v>
      </c>
      <c r="K157" s="53" t="n">
        <v>9333.42</v>
      </c>
      <c r="L157" s="53" t="n">
        <v>0</v>
      </c>
      <c r="M157" s="53" t="n">
        <v>6505.71</v>
      </c>
      <c r="N157" s="53" t="n">
        <v>0</v>
      </c>
      <c r="O157" s="53" t="n">
        <v>0</v>
      </c>
      <c r="P157" s="53" t="n">
        <v>-8722.82</v>
      </c>
      <c r="Q157" s="53" t="n">
        <v>0</v>
      </c>
      <c r="R157" s="53" t="n">
        <v>8722.82</v>
      </c>
      <c r="S157" s="53" t="n">
        <v>0</v>
      </c>
      <c r="T157" s="53" t="n">
        <v>2217.11</v>
      </c>
      <c r="U157" s="53" t="n">
        <v>0.2542</v>
      </c>
      <c r="V157" s="53" t="n">
        <v>100</v>
      </c>
      <c r="W157" s="53" t="n">
        <v>0.0115</v>
      </c>
      <c r="X157" s="53" t="n">
        <v>0</v>
      </c>
      <c r="Y157" s="53" t="n">
        <v>0</v>
      </c>
      <c r="Z157" s="53" t="n">
        <v>0</v>
      </c>
      <c r="AA157" s="53" t="n">
        <v>-610.6</v>
      </c>
      <c r="AB157" s="53" t="inlineStr">
        <is>
          <t>FALSE</t>
        </is>
      </c>
      <c r="AC157" s="53" t="inlineStr">
        <is>
          <t>FALSE</t>
        </is>
      </c>
    </row>
    <row r="158">
      <c r="A158" s="53" t="inlineStr">
        <is>
          <t>2026-06-17</t>
        </is>
      </c>
      <c r="B158" s="53" t="inlineStr">
        <is>
          <t>2491878</t>
        </is>
      </c>
      <c r="C158" s="53" t="inlineStr">
        <is>
          <t>DS.2025.2308 Courtyards of Westfield 112</t>
        </is>
      </c>
      <c r="D158" s="53" t="inlineStr">
        <is>
          <t>DW</t>
        </is>
      </c>
      <c r="E158" s="53" t="inlineStr">
        <is>
          <t>(Unassigned)</t>
        </is>
      </c>
      <c r="F158" s="53" t="inlineStr">
        <is>
          <t>Big Dawg Drywall</t>
        </is>
      </c>
      <c r="G158" s="53" t="inlineStr">
        <is>
          <t>ACTIVE</t>
        </is>
      </c>
      <c r="H158" s="53" t="n">
        <v>7135.51</v>
      </c>
      <c r="I158" s="53" t="n">
        <v>0</v>
      </c>
      <c r="J158" s="53" t="n">
        <v>7135.51</v>
      </c>
      <c r="K158" s="53" t="n">
        <v>7635</v>
      </c>
      <c r="L158" s="53" t="n">
        <v>0</v>
      </c>
      <c r="M158" s="53" t="n">
        <v>5703.2</v>
      </c>
      <c r="N158" s="53" t="n">
        <v>0</v>
      </c>
      <c r="O158" s="53" t="n">
        <v>0</v>
      </c>
      <c r="P158" s="53" t="n">
        <v>-7135.51</v>
      </c>
      <c r="Q158" s="53" t="n">
        <v>0</v>
      </c>
      <c r="R158" s="53" t="n">
        <v>7135.51</v>
      </c>
      <c r="S158" s="53" t="n">
        <v>0</v>
      </c>
      <c r="T158" s="53" t="n">
        <v>1432.31</v>
      </c>
      <c r="U158" s="53" t="n">
        <v>0.2007</v>
      </c>
      <c r="V158" s="53" t="n">
        <v>100</v>
      </c>
      <c r="W158" s="53" t="n">
        <v>0.014</v>
      </c>
      <c r="X158" s="53" t="n">
        <v>0</v>
      </c>
      <c r="Y158" s="53" t="n">
        <v>0</v>
      </c>
      <c r="Z158" s="53" t="n">
        <v>0</v>
      </c>
      <c r="AA158" s="53" t="n">
        <v>-499.49</v>
      </c>
      <c r="AB158" s="53" t="inlineStr">
        <is>
          <t>FALSE</t>
        </is>
      </c>
      <c r="AC158" s="53" t="inlineStr">
        <is>
          <t>FALSE</t>
        </is>
      </c>
    </row>
    <row r="159">
      <c r="A159" s="53" t="inlineStr">
        <is>
          <t>2026-06-17</t>
        </is>
      </c>
      <c r="B159" s="53" t="inlineStr">
        <is>
          <t>2491611</t>
        </is>
      </c>
      <c r="C159" s="53" t="inlineStr">
        <is>
          <t>DS.2025.2307 Mendoza Drywall company-15535 Stony Creek Way</t>
        </is>
      </c>
      <c r="D159" s="53" t="inlineStr">
        <is>
          <t>DW</t>
        </is>
      </c>
      <c r="E159" s="53" t="inlineStr">
        <is>
          <t>(Unassigned)</t>
        </is>
      </c>
      <c r="F159" s="53" t="inlineStr">
        <is>
          <t>Mendoza</t>
        </is>
      </c>
      <c r="G159" s="53" t="inlineStr">
        <is>
          <t>ACTIVE</t>
        </is>
      </c>
      <c r="H159" s="53" t="n">
        <v>806.4</v>
      </c>
      <c r="I159" s="53" t="n">
        <v>0</v>
      </c>
      <c r="J159" s="53" t="n">
        <v>806.4</v>
      </c>
      <c r="K159" s="53" t="n">
        <v>862.85</v>
      </c>
      <c r="L159" s="53" t="n">
        <v>0</v>
      </c>
      <c r="M159" s="53" t="n">
        <v>595.2</v>
      </c>
      <c r="N159" s="53" t="n">
        <v>0</v>
      </c>
      <c r="O159" s="53" t="n">
        <v>0</v>
      </c>
      <c r="P159" s="53" t="n">
        <v>-806.4</v>
      </c>
      <c r="Q159" s="53" t="n">
        <v>0</v>
      </c>
      <c r="R159" s="53" t="n">
        <v>806.4</v>
      </c>
      <c r="S159" s="53" t="n">
        <v>0</v>
      </c>
      <c r="T159" s="53" t="n">
        <v>211.2</v>
      </c>
      <c r="U159" s="53" t="n">
        <v>0.2619</v>
      </c>
      <c r="V159" s="53" t="n">
        <v>100</v>
      </c>
      <c r="W159" s="53" t="n">
        <v>0.124</v>
      </c>
      <c r="X159" s="53" t="n">
        <v>0</v>
      </c>
      <c r="Y159" s="53" t="n">
        <v>0</v>
      </c>
      <c r="Z159" s="53" t="n">
        <v>0</v>
      </c>
      <c r="AA159" s="53" t="n">
        <v>-56.45</v>
      </c>
      <c r="AB159" s="53" t="inlineStr">
        <is>
          <t>FALSE</t>
        </is>
      </c>
      <c r="AC159" s="53" t="inlineStr">
        <is>
          <t>FALSE</t>
        </is>
      </c>
    </row>
    <row r="160">
      <c r="A160" s="53" t="inlineStr">
        <is>
          <t>2026-06-17</t>
        </is>
      </c>
      <c r="B160" s="53" t="inlineStr">
        <is>
          <t>2488150</t>
        </is>
      </c>
      <c r="C160" s="53" t="inlineStr">
        <is>
          <t>DS.2025.2306 Courtyards of Russell Oaks 118</t>
        </is>
      </c>
      <c r="D160" s="53" t="inlineStr">
        <is>
          <t>DW</t>
        </is>
      </c>
      <c r="E160" s="53" t="inlineStr">
        <is>
          <t>(Unassigned)</t>
        </is>
      </c>
      <c r="F160" s="53" t="inlineStr">
        <is>
          <t>Big Dawg Drywall</t>
        </is>
      </c>
      <c r="G160" s="53" t="inlineStr">
        <is>
          <t>ACTIVE</t>
        </is>
      </c>
      <c r="H160" s="53" t="n">
        <v>4997.24</v>
      </c>
      <c r="I160" s="53" t="n">
        <v>0</v>
      </c>
      <c r="J160" s="53" t="n">
        <v>4997.24</v>
      </c>
      <c r="K160" s="53" t="n">
        <v>5347.05</v>
      </c>
      <c r="L160" s="53" t="n">
        <v>0</v>
      </c>
      <c r="M160" s="53" t="n">
        <v>3994.7</v>
      </c>
      <c r="N160" s="53" t="n">
        <v>0</v>
      </c>
      <c r="O160" s="53" t="n">
        <v>0</v>
      </c>
      <c r="P160" s="53" t="n">
        <v>-4997.24</v>
      </c>
      <c r="Q160" s="53" t="n">
        <v>0</v>
      </c>
      <c r="R160" s="53" t="n">
        <v>4997.24</v>
      </c>
      <c r="S160" s="53" t="n">
        <v>0</v>
      </c>
      <c r="T160" s="53" t="n">
        <v>1002.54</v>
      </c>
      <c r="U160" s="53" t="n">
        <v>0.2006</v>
      </c>
      <c r="V160" s="53" t="n">
        <v>100</v>
      </c>
      <c r="W160" s="53" t="n">
        <v>0.02</v>
      </c>
      <c r="X160" s="53" t="n">
        <v>0</v>
      </c>
      <c r="Y160" s="53" t="n">
        <v>0</v>
      </c>
      <c r="Z160" s="53" t="n">
        <v>0</v>
      </c>
      <c r="AA160" s="53" t="n">
        <v>-349.81</v>
      </c>
      <c r="AB160" s="53" t="inlineStr">
        <is>
          <t>FALSE</t>
        </is>
      </c>
      <c r="AC160" s="53" t="inlineStr">
        <is>
          <t>FALSE</t>
        </is>
      </c>
    </row>
    <row r="161">
      <c r="A161" s="53" t="inlineStr">
        <is>
          <t>2026-06-17</t>
        </is>
      </c>
      <c r="B161" s="53" t="inlineStr">
        <is>
          <t>2488125</t>
        </is>
      </c>
      <c r="C161" s="53" t="inlineStr">
        <is>
          <t>DS.2025.2305 Courtyards of Russell Oaks 62</t>
        </is>
      </c>
      <c r="D161" s="53" t="inlineStr">
        <is>
          <t>DW</t>
        </is>
      </c>
      <c r="E161" s="53" t="inlineStr">
        <is>
          <t>(Unassigned)</t>
        </is>
      </c>
      <c r="F161" s="53" t="inlineStr">
        <is>
          <t>Big Dawg Drywall</t>
        </is>
      </c>
      <c r="G161" s="53" t="inlineStr">
        <is>
          <t>ACTIVE</t>
        </is>
      </c>
      <c r="H161" s="53" t="n">
        <v>6963.91</v>
      </c>
      <c r="I161" s="53" t="n">
        <v>0</v>
      </c>
      <c r="J161" s="53" t="n">
        <v>6963.91</v>
      </c>
      <c r="K161" s="53" t="n">
        <v>7451.38</v>
      </c>
      <c r="L161" s="53" t="n">
        <v>0</v>
      </c>
      <c r="M161" s="53" t="n">
        <v>5504.18</v>
      </c>
      <c r="N161" s="53" t="n">
        <v>0</v>
      </c>
      <c r="O161" s="53" t="n">
        <v>0</v>
      </c>
      <c r="P161" s="53" t="n">
        <v>-6963.91</v>
      </c>
      <c r="Q161" s="53" t="n">
        <v>0</v>
      </c>
      <c r="R161" s="53" t="n">
        <v>6963.91</v>
      </c>
      <c r="S161" s="53" t="n">
        <v>0</v>
      </c>
      <c r="T161" s="53" t="n">
        <v>1459.73</v>
      </c>
      <c r="U161" s="53" t="n">
        <v>0.2096</v>
      </c>
      <c r="V161" s="53" t="n">
        <v>100</v>
      </c>
      <c r="W161" s="53" t="n">
        <v>0.0144</v>
      </c>
      <c r="X161" s="53" t="n">
        <v>0</v>
      </c>
      <c r="Y161" s="53" t="n">
        <v>0</v>
      </c>
      <c r="Z161" s="53" t="n">
        <v>0</v>
      </c>
      <c r="AA161" s="53" t="n">
        <v>-487.47</v>
      </c>
      <c r="AB161" s="53" t="inlineStr">
        <is>
          <t>FALSE</t>
        </is>
      </c>
      <c r="AC161" s="53" t="inlineStr">
        <is>
          <t>FALSE</t>
        </is>
      </c>
    </row>
    <row r="162">
      <c r="A162" s="53" t="inlineStr">
        <is>
          <t>2026-06-17</t>
        </is>
      </c>
      <c r="B162" s="53" t="inlineStr">
        <is>
          <t>2488086</t>
        </is>
      </c>
      <c r="C162" s="53" t="inlineStr">
        <is>
          <t>DS.2025.2304 Charlstown Manor 10-22</t>
        </is>
      </c>
      <c r="D162" s="53" t="inlineStr">
        <is>
          <t>DW</t>
        </is>
      </c>
      <c r="E162" s="53" t="inlineStr">
        <is>
          <t>(Unassigned)</t>
        </is>
      </c>
      <c r="F162" s="53" t="inlineStr">
        <is>
          <t>GSI - Gregory Scott Inabnit LLC</t>
        </is>
      </c>
      <c r="G162" s="53" t="inlineStr">
        <is>
          <t>ACTIVE</t>
        </is>
      </c>
      <c r="H162" s="53" t="n">
        <v>8911.68</v>
      </c>
      <c r="I162" s="53" t="n">
        <v>0</v>
      </c>
      <c r="J162" s="53" t="n">
        <v>8911.68</v>
      </c>
      <c r="K162" s="53" t="n">
        <v>9535.5</v>
      </c>
      <c r="L162" s="53" t="n">
        <v>0</v>
      </c>
      <c r="M162" s="53" t="n">
        <v>6703.02</v>
      </c>
      <c r="N162" s="53" t="n">
        <v>0</v>
      </c>
      <c r="O162" s="53" t="n">
        <v>0</v>
      </c>
      <c r="P162" s="53" t="n">
        <v>-8911.68</v>
      </c>
      <c r="Q162" s="53" t="n">
        <v>0</v>
      </c>
      <c r="R162" s="53" t="n">
        <v>8911.68</v>
      </c>
      <c r="S162" s="53" t="n">
        <v>0</v>
      </c>
      <c r="T162" s="53" t="n">
        <v>2208.66</v>
      </c>
      <c r="U162" s="53" t="n">
        <v>0.2478</v>
      </c>
      <c r="V162" s="53" t="n">
        <v>100</v>
      </c>
      <c r="W162" s="53" t="n">
        <v>0.0112</v>
      </c>
      <c r="X162" s="53" t="n">
        <v>0</v>
      </c>
      <c r="Y162" s="53" t="n">
        <v>0</v>
      </c>
      <c r="Z162" s="53" t="n">
        <v>0</v>
      </c>
      <c r="AA162" s="53" t="n">
        <v>-623.8200000000001</v>
      </c>
      <c r="AB162" s="53" t="inlineStr">
        <is>
          <t>FALSE</t>
        </is>
      </c>
      <c r="AC162" s="53" t="inlineStr">
        <is>
          <t>FALSE</t>
        </is>
      </c>
    </row>
    <row r="163">
      <c r="A163" s="53" t="inlineStr">
        <is>
          <t>2026-06-17</t>
        </is>
      </c>
      <c r="B163" s="53" t="inlineStr">
        <is>
          <t>2481041</t>
        </is>
      </c>
      <c r="C163" s="53" t="inlineStr">
        <is>
          <t>DS.2025.2303 Big Dawg Pickup 10-17</t>
        </is>
      </c>
      <c r="D163" s="53" t="inlineStr">
        <is>
          <t>DW</t>
        </is>
      </c>
      <c r="E163" s="53" t="inlineStr">
        <is>
          <t>(Unassigned)</t>
        </is>
      </c>
      <c r="F163" s="53" t="inlineStr">
        <is>
          <t>Big Dawg Drywall</t>
        </is>
      </c>
      <c r="G163" s="53" t="inlineStr">
        <is>
          <t>ACTIVE</t>
        </is>
      </c>
      <c r="H163" s="53" t="n">
        <v>1709.9</v>
      </c>
      <c r="I163" s="53" t="n">
        <v>0</v>
      </c>
      <c r="J163" s="53" t="n">
        <v>1709.9</v>
      </c>
      <c r="K163" s="53" t="n">
        <v>1829.59</v>
      </c>
      <c r="L163" s="53" t="n">
        <v>0</v>
      </c>
      <c r="M163" s="53" t="n">
        <v>1342.85</v>
      </c>
      <c r="N163" s="53" t="n">
        <v>0</v>
      </c>
      <c r="O163" s="53" t="n">
        <v>0</v>
      </c>
      <c r="P163" s="53" t="n">
        <v>-1709.9</v>
      </c>
      <c r="Q163" s="53" t="n">
        <v>0</v>
      </c>
      <c r="R163" s="53" t="n">
        <v>1709.9</v>
      </c>
      <c r="S163" s="53" t="n">
        <v>0</v>
      </c>
      <c r="T163" s="53" t="n">
        <v>367.05</v>
      </c>
      <c r="U163" s="53" t="n">
        <v>0.2147</v>
      </c>
      <c r="V163" s="53" t="n">
        <v>100</v>
      </c>
      <c r="W163" s="53" t="n">
        <v>0.0585</v>
      </c>
      <c r="X163" s="53" t="n">
        <v>0</v>
      </c>
      <c r="Y163" s="53" t="n">
        <v>0</v>
      </c>
      <c r="Z163" s="53" t="n">
        <v>0</v>
      </c>
      <c r="AA163" s="53" t="n">
        <v>-119.69</v>
      </c>
      <c r="AB163" s="53" t="inlineStr">
        <is>
          <t>FALSE</t>
        </is>
      </c>
      <c r="AC163" s="53" t="inlineStr">
        <is>
          <t>FALSE</t>
        </is>
      </c>
    </row>
    <row r="164">
      <c r="A164" s="53" t="inlineStr">
        <is>
          <t>2026-06-17</t>
        </is>
      </c>
      <c r="B164" s="53" t="inlineStr">
        <is>
          <t>2480320</t>
        </is>
      </c>
      <c r="C164" s="53" t="inlineStr">
        <is>
          <t>DS.2025.2302 14 E South St</t>
        </is>
      </c>
      <c r="D164" s="53" t="inlineStr">
        <is>
          <t>DW</t>
        </is>
      </c>
      <c r="E164" s="53" t="inlineStr">
        <is>
          <t>(Unassigned)</t>
        </is>
      </c>
      <c r="F164" s="53" t="inlineStr">
        <is>
          <t>Flores Drywall and Remodeling LLC</t>
        </is>
      </c>
      <c r="G164" s="53" t="inlineStr">
        <is>
          <t>ACTIVE</t>
        </is>
      </c>
      <c r="H164" s="53" t="n">
        <v>2309.51</v>
      </c>
      <c r="I164" s="53" t="n">
        <v>0</v>
      </c>
      <c r="J164" s="53" t="n">
        <v>2309.51</v>
      </c>
      <c r="K164" s="53" t="n">
        <v>2471.18</v>
      </c>
      <c r="L164" s="53" t="n">
        <v>0</v>
      </c>
      <c r="M164" s="53" t="n">
        <v>1804.75</v>
      </c>
      <c r="N164" s="53" t="n">
        <v>0</v>
      </c>
      <c r="O164" s="53" t="n">
        <v>0</v>
      </c>
      <c r="P164" s="53" t="n">
        <v>-2309.51</v>
      </c>
      <c r="Q164" s="53" t="n">
        <v>0</v>
      </c>
      <c r="R164" s="53" t="n">
        <v>2309.51</v>
      </c>
      <c r="S164" s="53" t="n">
        <v>0</v>
      </c>
      <c r="T164" s="53" t="n">
        <v>504.76</v>
      </c>
      <c r="U164" s="53" t="n">
        <v>0.2186</v>
      </c>
      <c r="V164" s="53" t="n">
        <v>100</v>
      </c>
      <c r="W164" s="53" t="n">
        <v>0.0433</v>
      </c>
      <c r="X164" s="53" t="n">
        <v>0</v>
      </c>
      <c r="Y164" s="53" t="n">
        <v>0</v>
      </c>
      <c r="Z164" s="53" t="n">
        <v>0</v>
      </c>
      <c r="AA164" s="53" t="n">
        <v>-161.67</v>
      </c>
      <c r="AB164" s="53" t="inlineStr">
        <is>
          <t>FALSE</t>
        </is>
      </c>
      <c r="AC164" s="53" t="inlineStr">
        <is>
          <t>FALSE</t>
        </is>
      </c>
    </row>
    <row r="165">
      <c r="A165" s="53" t="inlineStr">
        <is>
          <t>2026-06-17</t>
        </is>
      </c>
      <c r="B165" s="53" t="inlineStr">
        <is>
          <t>2480064</t>
        </is>
      </c>
      <c r="C165" s="53" t="inlineStr">
        <is>
          <t>DS.2025.2301 Courtyards of Cielo Ranch 39</t>
        </is>
      </c>
      <c r="D165" s="53" t="inlineStr">
        <is>
          <t>DW</t>
        </is>
      </c>
      <c r="E165" s="53" t="inlineStr">
        <is>
          <t>(Unassigned)</t>
        </is>
      </c>
      <c r="F165" s="53" t="inlineStr">
        <is>
          <t>Big Dawg Drywall</t>
        </is>
      </c>
      <c r="G165" s="53" t="inlineStr">
        <is>
          <t>ACTIVE</t>
        </is>
      </c>
      <c r="H165" s="53" t="n">
        <v>6072.33</v>
      </c>
      <c r="I165" s="53" t="n">
        <v>0</v>
      </c>
      <c r="J165" s="53" t="n">
        <v>6072.33</v>
      </c>
      <c r="K165" s="53" t="n">
        <v>6497.39</v>
      </c>
      <c r="L165" s="53" t="n">
        <v>0</v>
      </c>
      <c r="M165" s="53" t="n">
        <v>4863.05</v>
      </c>
      <c r="N165" s="53" t="n">
        <v>0</v>
      </c>
      <c r="O165" s="53" t="n">
        <v>0</v>
      </c>
      <c r="P165" s="53" t="n">
        <v>-6072.33</v>
      </c>
      <c r="Q165" s="53" t="n">
        <v>0</v>
      </c>
      <c r="R165" s="53" t="n">
        <v>6072.33</v>
      </c>
      <c r="S165" s="53" t="n">
        <v>0</v>
      </c>
      <c r="T165" s="53" t="n">
        <v>1209.28</v>
      </c>
      <c r="U165" s="53" t="n">
        <v>0.1991</v>
      </c>
      <c r="V165" s="53" t="n">
        <v>100</v>
      </c>
      <c r="W165" s="53" t="n">
        <v>0.0165</v>
      </c>
      <c r="X165" s="53" t="n">
        <v>0</v>
      </c>
      <c r="Y165" s="53" t="n">
        <v>0</v>
      </c>
      <c r="Z165" s="53" t="n">
        <v>0</v>
      </c>
      <c r="AA165" s="53" t="n">
        <v>-425.06</v>
      </c>
      <c r="AB165" s="53" t="inlineStr">
        <is>
          <t>FALSE</t>
        </is>
      </c>
      <c r="AC165" s="53" t="inlineStr">
        <is>
          <t>FALSE</t>
        </is>
      </c>
    </row>
    <row r="166">
      <c r="A166" s="53" t="inlineStr">
        <is>
          <t>2026-06-17</t>
        </is>
      </c>
      <c r="B166" s="53" t="inlineStr">
        <is>
          <t>2479977</t>
        </is>
      </c>
      <c r="C166" s="53" t="inlineStr">
        <is>
          <t>DS.2025.2300 Courtyards of Cielo Ranch 10</t>
        </is>
      </c>
      <c r="D166" s="53" t="inlineStr">
        <is>
          <t>DW</t>
        </is>
      </c>
      <c r="E166" s="53" t="inlineStr">
        <is>
          <t>(Unassigned)</t>
        </is>
      </c>
      <c r="F166" s="53" t="inlineStr">
        <is>
          <t>Big Dawg Drywall</t>
        </is>
      </c>
      <c r="G166" s="53" t="inlineStr">
        <is>
          <t>ACTIVE</t>
        </is>
      </c>
      <c r="H166" s="53" t="n">
        <v>6856.72</v>
      </c>
      <c r="I166" s="53" t="n">
        <v>0</v>
      </c>
      <c r="J166" s="53" t="n">
        <v>6856.72</v>
      </c>
      <c r="K166" s="53" t="n">
        <v>7336.69</v>
      </c>
      <c r="L166" s="53" t="n">
        <v>0</v>
      </c>
      <c r="M166" s="53" t="n">
        <v>5424.54</v>
      </c>
      <c r="N166" s="53" t="n">
        <v>0</v>
      </c>
      <c r="O166" s="53" t="n">
        <v>0</v>
      </c>
      <c r="P166" s="53" t="n">
        <v>-6856.72</v>
      </c>
      <c r="Q166" s="53" t="n">
        <v>0</v>
      </c>
      <c r="R166" s="53" t="n">
        <v>6856.72</v>
      </c>
      <c r="S166" s="53" t="n">
        <v>0</v>
      </c>
      <c r="T166" s="53" t="n">
        <v>1432.18</v>
      </c>
      <c r="U166" s="53" t="n">
        <v>0.2089</v>
      </c>
      <c r="V166" s="53" t="n">
        <v>100</v>
      </c>
      <c r="W166" s="53" t="n">
        <v>0.0146</v>
      </c>
      <c r="X166" s="53" t="n">
        <v>0</v>
      </c>
      <c r="Y166" s="53" t="n">
        <v>0</v>
      </c>
      <c r="Z166" s="53" t="n">
        <v>0</v>
      </c>
      <c r="AA166" s="53" t="n">
        <v>-479.97</v>
      </c>
      <c r="AB166" s="53" t="inlineStr">
        <is>
          <t>FALSE</t>
        </is>
      </c>
      <c r="AC166" s="53" t="inlineStr">
        <is>
          <t>FALSE</t>
        </is>
      </c>
    </row>
    <row r="167">
      <c r="A167" s="53" t="inlineStr">
        <is>
          <t>2026-06-17</t>
        </is>
      </c>
      <c r="B167" s="53" t="inlineStr">
        <is>
          <t>2475602</t>
        </is>
      </c>
      <c r="C167" s="53" t="inlineStr">
        <is>
          <t>DS.2025.2299 4435 Strathmore Lane</t>
        </is>
      </c>
      <c r="D167" s="53" t="inlineStr">
        <is>
          <t>DW</t>
        </is>
      </c>
      <c r="E167" s="53" t="inlineStr">
        <is>
          <t>(Unassigned)</t>
        </is>
      </c>
      <c r="F167" s="53" t="inlineStr">
        <is>
          <t>Precision Dry Wall</t>
        </is>
      </c>
      <c r="G167" s="53" t="inlineStr">
        <is>
          <t>ACTIVE</t>
        </is>
      </c>
      <c r="H167" s="53" t="n">
        <v>7225.49</v>
      </c>
      <c r="I167" s="53" t="n">
        <v>0</v>
      </c>
      <c r="J167" s="53" t="n">
        <v>7225.49</v>
      </c>
      <c r="K167" s="53" t="n">
        <v>7731.27</v>
      </c>
      <c r="L167" s="53" t="n">
        <v>0</v>
      </c>
      <c r="M167" s="53" t="n">
        <v>5282.34</v>
      </c>
      <c r="N167" s="53" t="n">
        <v>0</v>
      </c>
      <c r="O167" s="53" t="n">
        <v>0</v>
      </c>
      <c r="P167" s="53" t="n">
        <v>-7225.49</v>
      </c>
      <c r="Q167" s="53" t="n">
        <v>0</v>
      </c>
      <c r="R167" s="53" t="n">
        <v>7225.49</v>
      </c>
      <c r="S167" s="53" t="n">
        <v>0</v>
      </c>
      <c r="T167" s="53" t="n">
        <v>1943.15</v>
      </c>
      <c r="U167" s="53" t="n">
        <v>0.2689</v>
      </c>
      <c r="V167" s="53" t="n">
        <v>100</v>
      </c>
      <c r="W167" s="53" t="n">
        <v>0.0138</v>
      </c>
      <c r="X167" s="53" t="n">
        <v>0</v>
      </c>
      <c r="Y167" s="53" t="n">
        <v>0</v>
      </c>
      <c r="Z167" s="53" t="n">
        <v>0</v>
      </c>
      <c r="AA167" s="53" t="n">
        <v>-505.78</v>
      </c>
      <c r="AB167" s="53" t="inlineStr">
        <is>
          <t>FALSE</t>
        </is>
      </c>
      <c r="AC167" s="53" t="inlineStr">
        <is>
          <t>FALSE</t>
        </is>
      </c>
    </row>
    <row r="168">
      <c r="A168" s="53" t="inlineStr">
        <is>
          <t>2026-06-17</t>
        </is>
      </c>
      <c r="B168" s="53" t="inlineStr">
        <is>
          <t>2475493</t>
        </is>
      </c>
      <c r="C168" s="53" t="inlineStr">
        <is>
          <t>DS.2025.2298 GSI Bloomington</t>
        </is>
      </c>
      <c r="D168" s="53" t="inlineStr">
        <is>
          <t>DW</t>
        </is>
      </c>
      <c r="E168" s="53" t="inlineStr">
        <is>
          <t>(Unassigned)</t>
        </is>
      </c>
      <c r="F168" s="53" t="inlineStr">
        <is>
          <t>GSI - Gregory Scott Inabnit LLC</t>
        </is>
      </c>
      <c r="G168" s="53" t="inlineStr">
        <is>
          <t>ACTIVE</t>
        </is>
      </c>
      <c r="H168" s="53" t="n">
        <v>4863.39</v>
      </c>
      <c r="I168" s="53" t="n">
        <v>0</v>
      </c>
      <c r="J168" s="53" t="n">
        <v>4863.39</v>
      </c>
      <c r="K168" s="53" t="n">
        <v>5203.83</v>
      </c>
      <c r="L168" s="53" t="n">
        <v>0</v>
      </c>
      <c r="M168" s="53" t="n">
        <v>3703.67</v>
      </c>
      <c r="N168" s="53" t="n">
        <v>0</v>
      </c>
      <c r="O168" s="53" t="n">
        <v>0</v>
      </c>
      <c r="P168" s="53" t="n">
        <v>-4863.39</v>
      </c>
      <c r="Q168" s="53" t="n">
        <v>0</v>
      </c>
      <c r="R168" s="53" t="n">
        <v>4863.39</v>
      </c>
      <c r="S168" s="53" t="n">
        <v>0</v>
      </c>
      <c r="T168" s="53" t="n">
        <v>1159.72</v>
      </c>
      <c r="U168" s="53" t="n">
        <v>0.2385</v>
      </c>
      <c r="V168" s="53" t="n">
        <v>100</v>
      </c>
      <c r="W168" s="53" t="n">
        <v>0.0206</v>
      </c>
      <c r="X168" s="53" t="n">
        <v>0</v>
      </c>
      <c r="Y168" s="53" t="n">
        <v>0</v>
      </c>
      <c r="Z168" s="53" t="n">
        <v>0</v>
      </c>
      <c r="AA168" s="53" t="n">
        <v>-340.44</v>
      </c>
      <c r="AB168" s="53" t="inlineStr">
        <is>
          <t>FALSE</t>
        </is>
      </c>
      <c r="AC168" s="53" t="inlineStr">
        <is>
          <t>FALSE</t>
        </is>
      </c>
    </row>
    <row r="169">
      <c r="A169" s="53" t="inlineStr">
        <is>
          <t>2026-06-17</t>
        </is>
      </c>
      <c r="B169" s="53" t="inlineStr">
        <is>
          <t>2475432</t>
        </is>
      </c>
      <c r="C169" s="53" t="inlineStr">
        <is>
          <t>DS.2025.2297 Courtyards of Cielo Ranch 28</t>
        </is>
      </c>
      <c r="D169" s="53" t="inlineStr">
        <is>
          <t>DW</t>
        </is>
      </c>
      <c r="E169" s="53" t="inlineStr">
        <is>
          <t>(Unassigned)</t>
        </is>
      </c>
      <c r="F169" s="53" t="inlineStr">
        <is>
          <t>Big Dawg Drywall</t>
        </is>
      </c>
      <c r="G169" s="53" t="inlineStr">
        <is>
          <t>ACTIVE</t>
        </is>
      </c>
      <c r="H169" s="53" t="n">
        <v>6856.72</v>
      </c>
      <c r="I169" s="53" t="n">
        <v>0</v>
      </c>
      <c r="J169" s="53" t="n">
        <v>6856.72</v>
      </c>
      <c r="K169" s="53" t="n">
        <v>7336.69</v>
      </c>
      <c r="L169" s="53" t="n">
        <v>0</v>
      </c>
      <c r="M169" s="53" t="n">
        <v>5424.54</v>
      </c>
      <c r="N169" s="53" t="n">
        <v>0</v>
      </c>
      <c r="O169" s="53" t="n">
        <v>0</v>
      </c>
      <c r="P169" s="53" t="n">
        <v>-6856.72</v>
      </c>
      <c r="Q169" s="53" t="n">
        <v>0</v>
      </c>
      <c r="R169" s="53" t="n">
        <v>6856.72</v>
      </c>
      <c r="S169" s="53" t="n">
        <v>0</v>
      </c>
      <c r="T169" s="53" t="n">
        <v>1432.18</v>
      </c>
      <c r="U169" s="53" t="n">
        <v>0.2089</v>
      </c>
      <c r="V169" s="53" t="n">
        <v>100</v>
      </c>
      <c r="W169" s="53" t="n">
        <v>0.0146</v>
      </c>
      <c r="X169" s="53" t="n">
        <v>0</v>
      </c>
      <c r="Y169" s="53" t="n">
        <v>0</v>
      </c>
      <c r="Z169" s="53" t="n">
        <v>0</v>
      </c>
      <c r="AA169" s="53" t="n">
        <v>-479.97</v>
      </c>
      <c r="AB169" s="53" t="inlineStr">
        <is>
          <t>FALSE</t>
        </is>
      </c>
      <c r="AC169" s="53" t="inlineStr">
        <is>
          <t>FALSE</t>
        </is>
      </c>
    </row>
    <row r="170">
      <c r="A170" s="53" t="inlineStr">
        <is>
          <t>2026-06-17</t>
        </is>
      </c>
      <c r="B170" s="53" t="inlineStr">
        <is>
          <t>2472092</t>
        </is>
      </c>
      <c r="C170" s="53" t="inlineStr">
        <is>
          <t>2025.1031 Pita Way</t>
        </is>
      </c>
      <c r="D170" s="53" t="inlineStr">
        <is>
          <t>TI</t>
        </is>
      </c>
      <c r="E170" s="53" t="inlineStr">
        <is>
          <t>Spencer Anderson</t>
        </is>
      </c>
      <c r="F170" s="53" t="inlineStr">
        <is>
          <t>Kort Builders, Inc</t>
        </is>
      </c>
      <c r="G170" s="53" t="inlineStr">
        <is>
          <t>ACTIVE</t>
        </is>
      </c>
      <c r="H170" s="53" t="n">
        <v>9745</v>
      </c>
      <c r="I170" s="53" t="n">
        <v>2745</v>
      </c>
      <c r="J170" s="53" t="n">
        <v>9745</v>
      </c>
      <c r="K170" s="53" t="n">
        <v>9745</v>
      </c>
      <c r="L170" s="53" t="n">
        <v>3664.37</v>
      </c>
      <c r="M170" s="53" t="n">
        <v>3301.8</v>
      </c>
      <c r="N170" s="53" t="n">
        <v>0.9011</v>
      </c>
      <c r="O170" s="53" t="n">
        <v>8781.219999999999</v>
      </c>
      <c r="P170" s="53" t="n">
        <v>-963.78</v>
      </c>
      <c r="Q170" s="53" t="n">
        <v>-964.22</v>
      </c>
      <c r="R170" s="53" t="n">
        <v>963.78</v>
      </c>
      <c r="S170" s="53" t="n">
        <v>0</v>
      </c>
      <c r="T170" s="53" t="n">
        <v>6443.2</v>
      </c>
      <c r="U170" s="53" t="n">
        <v>0.6612</v>
      </c>
      <c r="V170" s="53" t="n">
        <v>62.4</v>
      </c>
      <c r="W170" s="53" t="n">
        <v>0.0064</v>
      </c>
      <c r="X170" s="53" t="n">
        <v>0.624</v>
      </c>
      <c r="Y170" s="53" t="n">
        <v>-0.6176</v>
      </c>
      <c r="Z170" s="53" t="n">
        <v>0</v>
      </c>
      <c r="AA170" s="53" t="n">
        <v>0</v>
      </c>
      <c r="AB170" s="53" t="inlineStr">
        <is>
          <t>TRUE</t>
        </is>
      </c>
      <c r="AC170" s="53" t="inlineStr">
        <is>
          <t>TRUE</t>
        </is>
      </c>
    </row>
    <row r="171">
      <c r="A171" s="53" t="inlineStr">
        <is>
          <t>2026-06-17</t>
        </is>
      </c>
      <c r="B171" s="53" t="inlineStr">
        <is>
          <t>2469780</t>
        </is>
      </c>
      <c r="C171" s="53" t="inlineStr">
        <is>
          <t>DS.2025.2296 4380 Strathmore Lane</t>
        </is>
      </c>
      <c r="D171" s="53" t="inlineStr">
        <is>
          <t>DW</t>
        </is>
      </c>
      <c r="E171" s="53" t="inlineStr">
        <is>
          <t>(Unassigned)</t>
        </is>
      </c>
      <c r="F171" s="53" t="inlineStr">
        <is>
          <t>Precision Dry Wall</t>
        </is>
      </c>
      <c r="G171" s="53" t="inlineStr">
        <is>
          <t>ACTIVE</t>
        </is>
      </c>
      <c r="H171" s="53" t="n">
        <v>9268.08</v>
      </c>
      <c r="I171" s="53" t="n">
        <v>0</v>
      </c>
      <c r="J171" s="53" t="n">
        <v>9268.08</v>
      </c>
      <c r="K171" s="53" t="n">
        <v>10216.85</v>
      </c>
      <c r="L171" s="53" t="n">
        <v>0</v>
      </c>
      <c r="M171" s="53" t="n">
        <v>5329.28</v>
      </c>
      <c r="N171" s="53" t="n">
        <v>0</v>
      </c>
      <c r="O171" s="53" t="n">
        <v>0</v>
      </c>
      <c r="P171" s="53" t="n">
        <v>-9268.08</v>
      </c>
      <c r="Q171" s="53" t="n">
        <v>0</v>
      </c>
      <c r="R171" s="53" t="n">
        <v>9268.08</v>
      </c>
      <c r="S171" s="53" t="n">
        <v>0</v>
      </c>
      <c r="T171" s="53" t="n">
        <v>3938.8</v>
      </c>
      <c r="U171" s="53" t="n">
        <v>0.425</v>
      </c>
      <c r="V171" s="53" t="n">
        <v>100</v>
      </c>
      <c r="W171" s="53" t="n">
        <v>0.0108</v>
      </c>
      <c r="X171" s="53" t="n">
        <v>0</v>
      </c>
      <c r="Y171" s="53" t="n">
        <v>0</v>
      </c>
      <c r="Z171" s="53" t="n">
        <v>0</v>
      </c>
      <c r="AA171" s="53" t="n">
        <v>-948.77</v>
      </c>
      <c r="AB171" s="53" t="inlineStr">
        <is>
          <t>FALSE</t>
        </is>
      </c>
      <c r="AC171" s="53" t="inlineStr">
        <is>
          <t>FALSE</t>
        </is>
      </c>
    </row>
    <row r="172">
      <c r="A172" s="53" t="inlineStr">
        <is>
          <t>2026-06-17</t>
        </is>
      </c>
      <c r="B172" s="53" t="inlineStr">
        <is>
          <t>2469724</t>
        </is>
      </c>
      <c r="C172" s="53" t="inlineStr">
        <is>
          <t>DS.2025.2295 Courtyards of Cielo Ranch 35</t>
        </is>
      </c>
      <c r="D172" s="53" t="inlineStr">
        <is>
          <t>DW</t>
        </is>
      </c>
      <c r="E172" s="53" t="inlineStr">
        <is>
          <t>(Unassigned)</t>
        </is>
      </c>
      <c r="F172" s="53" t="inlineStr">
        <is>
          <t>Big Dawg Drywall</t>
        </is>
      </c>
      <c r="G172" s="53" t="inlineStr">
        <is>
          <t>ACTIVE</t>
        </is>
      </c>
      <c r="H172" s="53" t="n">
        <v>5327.87</v>
      </c>
      <c r="I172" s="53" t="n">
        <v>0</v>
      </c>
      <c r="J172" s="53" t="n">
        <v>5327.87</v>
      </c>
      <c r="K172" s="53" t="n">
        <v>5700.82</v>
      </c>
      <c r="L172" s="53" t="n">
        <v>0</v>
      </c>
      <c r="M172" s="53" t="n">
        <v>4254.91</v>
      </c>
      <c r="N172" s="53" t="n">
        <v>0</v>
      </c>
      <c r="O172" s="53" t="n">
        <v>0</v>
      </c>
      <c r="P172" s="53" t="n">
        <v>-5327.87</v>
      </c>
      <c r="Q172" s="53" t="n">
        <v>0</v>
      </c>
      <c r="R172" s="53" t="n">
        <v>5327.87</v>
      </c>
      <c r="S172" s="53" t="n">
        <v>0</v>
      </c>
      <c r="T172" s="53" t="n">
        <v>1072.96</v>
      </c>
      <c r="U172" s="53" t="n">
        <v>0.2014</v>
      </c>
      <c r="V172" s="53" t="n">
        <v>100</v>
      </c>
      <c r="W172" s="53" t="n">
        <v>0.0188</v>
      </c>
      <c r="X172" s="53" t="n">
        <v>0</v>
      </c>
      <c r="Y172" s="53" t="n">
        <v>0</v>
      </c>
      <c r="Z172" s="53" t="n">
        <v>0</v>
      </c>
      <c r="AA172" s="53" t="n">
        <v>-372.95</v>
      </c>
      <c r="AB172" s="53" t="inlineStr">
        <is>
          <t>FALSE</t>
        </is>
      </c>
      <c r="AC172" s="53" t="inlineStr">
        <is>
          <t>FALSE</t>
        </is>
      </c>
    </row>
    <row r="173">
      <c r="A173" s="53" t="inlineStr">
        <is>
          <t>2026-06-17</t>
        </is>
      </c>
      <c r="B173" s="53" t="inlineStr">
        <is>
          <t>2469631</t>
        </is>
      </c>
      <c r="C173" s="53" t="inlineStr">
        <is>
          <t>DS.2025.2294 Courtyards of Cielo Ranch 9</t>
        </is>
      </c>
      <c r="D173" s="53" t="inlineStr">
        <is>
          <t>DW</t>
        </is>
      </c>
      <c r="E173" s="53" t="inlineStr">
        <is>
          <t>(Unassigned)</t>
        </is>
      </c>
      <c r="F173" s="53" t="inlineStr">
        <is>
          <t>Big Dawg Drywall</t>
        </is>
      </c>
      <c r="G173" s="53" t="inlineStr">
        <is>
          <t>ACTIVE</t>
        </is>
      </c>
      <c r="H173" s="53" t="n">
        <v>5327.87</v>
      </c>
      <c r="I173" s="53" t="n">
        <v>0</v>
      </c>
      <c r="J173" s="53" t="n">
        <v>5327.87</v>
      </c>
      <c r="K173" s="53" t="n">
        <v>5700.82</v>
      </c>
      <c r="L173" s="53" t="n">
        <v>0</v>
      </c>
      <c r="M173" s="53" t="n">
        <v>4254.91</v>
      </c>
      <c r="N173" s="53" t="n">
        <v>0</v>
      </c>
      <c r="O173" s="53" t="n">
        <v>0</v>
      </c>
      <c r="P173" s="53" t="n">
        <v>-5327.87</v>
      </c>
      <c r="Q173" s="53" t="n">
        <v>0</v>
      </c>
      <c r="R173" s="53" t="n">
        <v>5327.87</v>
      </c>
      <c r="S173" s="53" t="n">
        <v>0</v>
      </c>
      <c r="T173" s="53" t="n">
        <v>1072.96</v>
      </c>
      <c r="U173" s="53" t="n">
        <v>0.2014</v>
      </c>
      <c r="V173" s="53" t="n">
        <v>100</v>
      </c>
      <c r="W173" s="53" t="n">
        <v>0.0188</v>
      </c>
      <c r="X173" s="53" t="n">
        <v>0</v>
      </c>
      <c r="Y173" s="53" t="n">
        <v>0</v>
      </c>
      <c r="Z173" s="53" t="n">
        <v>0</v>
      </c>
      <c r="AA173" s="53" t="n">
        <v>-372.95</v>
      </c>
      <c r="AB173" s="53" t="inlineStr">
        <is>
          <t>FALSE</t>
        </is>
      </c>
      <c r="AC173" s="53" t="inlineStr">
        <is>
          <t>FALSE</t>
        </is>
      </c>
    </row>
    <row r="174">
      <c r="A174" s="53" t="inlineStr">
        <is>
          <t>2026-06-17</t>
        </is>
      </c>
      <c r="B174" s="53" t="inlineStr">
        <is>
          <t>2468636</t>
        </is>
      </c>
      <c r="C174" s="53" t="inlineStr">
        <is>
          <t>DS.2025.2293 1248 Chatham Ridge Court</t>
        </is>
      </c>
      <c r="D174" s="53" t="inlineStr">
        <is>
          <t>DW</t>
        </is>
      </c>
      <c r="E174" s="53" t="inlineStr">
        <is>
          <t>(Unassigned)</t>
        </is>
      </c>
      <c r="F174" s="53" t="inlineStr">
        <is>
          <t>Pro Fix Drywaller, LLC</t>
        </is>
      </c>
      <c r="G174" s="53" t="inlineStr">
        <is>
          <t>ACTIVE</t>
        </is>
      </c>
      <c r="H174" s="53" t="n">
        <v>1007.06</v>
      </c>
      <c r="I174" s="53" t="n">
        <v>0</v>
      </c>
      <c r="J174" s="53" t="n">
        <v>1007.06</v>
      </c>
      <c r="K174" s="53" t="n">
        <v>1077.55</v>
      </c>
      <c r="L174" s="53" t="n">
        <v>0</v>
      </c>
      <c r="M174" s="53" t="n">
        <v>816.8</v>
      </c>
      <c r="N174" s="53" t="n">
        <v>0</v>
      </c>
      <c r="O174" s="53" t="n">
        <v>0</v>
      </c>
      <c r="P174" s="53" t="n">
        <v>-1007.06</v>
      </c>
      <c r="Q174" s="53" t="n">
        <v>0</v>
      </c>
      <c r="R174" s="53" t="n">
        <v>1007.06</v>
      </c>
      <c r="S174" s="53" t="n">
        <v>0</v>
      </c>
      <c r="T174" s="53" t="n">
        <v>190.26</v>
      </c>
      <c r="U174" s="53" t="n">
        <v>0.1889</v>
      </c>
      <c r="V174" s="53" t="n">
        <v>100</v>
      </c>
      <c r="W174" s="53" t="n">
        <v>0.0993</v>
      </c>
      <c r="X174" s="53" t="n">
        <v>0</v>
      </c>
      <c r="Y174" s="53" t="n">
        <v>0</v>
      </c>
      <c r="Z174" s="53" t="n">
        <v>0</v>
      </c>
      <c r="AA174" s="53" t="n">
        <v>-70.48999999999999</v>
      </c>
      <c r="AB174" s="53" t="inlineStr">
        <is>
          <t>FALSE</t>
        </is>
      </c>
      <c r="AC174" s="53" t="inlineStr">
        <is>
          <t>FALSE</t>
        </is>
      </c>
    </row>
    <row r="175">
      <c r="A175" s="53" t="inlineStr">
        <is>
          <t>2026-06-17</t>
        </is>
      </c>
      <c r="B175" s="53" t="inlineStr">
        <is>
          <t>2468607</t>
        </is>
      </c>
      <c r="C175" s="53" t="inlineStr">
        <is>
          <t>DS.2025.2292 Courtyards of Russell Oaks 121</t>
        </is>
      </c>
      <c r="D175" s="53" t="inlineStr">
        <is>
          <t>DW</t>
        </is>
      </c>
      <c r="E175" s="53" t="inlineStr">
        <is>
          <t>(Unassigned)</t>
        </is>
      </c>
      <c r="F175" s="53" t="inlineStr">
        <is>
          <t>Big Dawg Drywall</t>
        </is>
      </c>
      <c r="G175" s="53" t="inlineStr">
        <is>
          <t>ACTIVE</t>
        </is>
      </c>
      <c r="H175" s="53" t="n">
        <v>5357.27</v>
      </c>
      <c r="I175" s="53" t="n">
        <v>507.6</v>
      </c>
      <c r="J175" s="53" t="n">
        <v>5357.27</v>
      </c>
      <c r="K175" s="53" t="n">
        <v>5732.28</v>
      </c>
      <c r="L175" s="53" t="n">
        <v>0</v>
      </c>
      <c r="M175" s="53" t="n">
        <v>4292.77</v>
      </c>
      <c r="N175" s="53" t="n">
        <v>0</v>
      </c>
      <c r="O175" s="53" t="n">
        <v>0</v>
      </c>
      <c r="P175" s="53" t="n">
        <v>-5357.27</v>
      </c>
      <c r="Q175" s="53" t="n">
        <v>0</v>
      </c>
      <c r="R175" s="53" t="n">
        <v>5357.27</v>
      </c>
      <c r="S175" s="53" t="n">
        <v>0</v>
      </c>
      <c r="T175" s="53" t="n">
        <v>1064.5</v>
      </c>
      <c r="U175" s="53" t="n">
        <v>0.1987</v>
      </c>
      <c r="V175" s="53" t="n">
        <v>100</v>
      </c>
      <c r="W175" s="53" t="n">
        <v>0.0187</v>
      </c>
      <c r="X175" s="53" t="n">
        <v>0</v>
      </c>
      <c r="Y175" s="53" t="n">
        <v>0</v>
      </c>
      <c r="Z175" s="53" t="n">
        <v>0</v>
      </c>
      <c r="AA175" s="53" t="n">
        <v>-375.01</v>
      </c>
      <c r="AB175" s="53" t="inlineStr">
        <is>
          <t>FALSE</t>
        </is>
      </c>
      <c r="AC175" s="53" t="inlineStr">
        <is>
          <t>FALSE</t>
        </is>
      </c>
    </row>
    <row r="176">
      <c r="A176" s="53" t="inlineStr">
        <is>
          <t>2026-06-17</t>
        </is>
      </c>
      <c r="B176" s="53" t="inlineStr">
        <is>
          <t>2468570</t>
        </is>
      </c>
      <c r="C176" s="53" t="inlineStr">
        <is>
          <t>DS.2025.2291 Courtyards of Russell Oaks 63</t>
        </is>
      </c>
      <c r="D176" s="53" t="inlineStr">
        <is>
          <t>DW</t>
        </is>
      </c>
      <c r="E176" s="53" t="inlineStr">
        <is>
          <t>(Unassigned)</t>
        </is>
      </c>
      <c r="F176" s="53" t="inlineStr">
        <is>
          <t>Big Dawg Drywall</t>
        </is>
      </c>
      <c r="G176" s="53" t="inlineStr">
        <is>
          <t>ACTIVE</t>
        </is>
      </c>
      <c r="H176" s="53" t="n">
        <v>6794.73</v>
      </c>
      <c r="I176" s="53" t="n">
        <v>0</v>
      </c>
      <c r="J176" s="53" t="n">
        <v>6794.73</v>
      </c>
      <c r="K176" s="53" t="n">
        <v>7270.36</v>
      </c>
      <c r="L176" s="53" t="n">
        <v>0</v>
      </c>
      <c r="M176" s="53" t="n">
        <v>5376.04</v>
      </c>
      <c r="N176" s="53" t="n">
        <v>0</v>
      </c>
      <c r="O176" s="53" t="n">
        <v>0</v>
      </c>
      <c r="P176" s="53" t="n">
        <v>-6794.73</v>
      </c>
      <c r="Q176" s="53" t="n">
        <v>0</v>
      </c>
      <c r="R176" s="53" t="n">
        <v>6794.73</v>
      </c>
      <c r="S176" s="53" t="n">
        <v>0</v>
      </c>
      <c r="T176" s="53" t="n">
        <v>1418.69</v>
      </c>
      <c r="U176" s="53" t="n">
        <v>0.2088</v>
      </c>
      <c r="V176" s="53" t="n">
        <v>100</v>
      </c>
      <c r="W176" s="53" t="n">
        <v>0.0147</v>
      </c>
      <c r="X176" s="53" t="n">
        <v>0</v>
      </c>
      <c r="Y176" s="53" t="n">
        <v>0</v>
      </c>
      <c r="Z176" s="53" t="n">
        <v>0</v>
      </c>
      <c r="AA176" s="53" t="n">
        <v>-475.63</v>
      </c>
      <c r="AB176" s="53" t="inlineStr">
        <is>
          <t>FALSE</t>
        </is>
      </c>
      <c r="AC176" s="53" t="inlineStr">
        <is>
          <t>FALSE</t>
        </is>
      </c>
    </row>
    <row r="177">
      <c r="A177" s="53" t="inlineStr">
        <is>
          <t>2026-06-17</t>
        </is>
      </c>
      <c r="B177" s="53" t="inlineStr">
        <is>
          <t>2468525</t>
        </is>
      </c>
      <c r="C177" s="53" t="inlineStr">
        <is>
          <t>DS.2025.2290 Walnut Town Homes</t>
        </is>
      </c>
      <c r="D177" s="53" t="inlineStr">
        <is>
          <t>DW</t>
        </is>
      </c>
      <c r="E177" s="53" t="inlineStr">
        <is>
          <t>(Unassigned)</t>
        </is>
      </c>
      <c r="F177" s="53" t="inlineStr">
        <is>
          <t>Flores Drywall and Remodeling LLC</t>
        </is>
      </c>
      <c r="G177" s="53" t="inlineStr">
        <is>
          <t>ACTIVE</t>
        </is>
      </c>
      <c r="H177" s="53" t="n">
        <v>4911.52</v>
      </c>
      <c r="I177" s="53" t="n">
        <v>0</v>
      </c>
      <c r="J177" s="53" t="n">
        <v>4911.52</v>
      </c>
      <c r="K177" s="53" t="n">
        <v>5255.33</v>
      </c>
      <c r="L177" s="53" t="n">
        <v>0</v>
      </c>
      <c r="M177" s="53" t="n">
        <v>4231.46</v>
      </c>
      <c r="N177" s="53" t="n">
        <v>0</v>
      </c>
      <c r="O177" s="53" t="n">
        <v>0</v>
      </c>
      <c r="P177" s="53" t="n">
        <v>-4911.52</v>
      </c>
      <c r="Q177" s="53" t="n">
        <v>0</v>
      </c>
      <c r="R177" s="53" t="n">
        <v>4911.52</v>
      </c>
      <c r="S177" s="53" t="n">
        <v>0</v>
      </c>
      <c r="T177" s="53" t="n">
        <v>680.0599999999999</v>
      </c>
      <c r="U177" s="53" t="n">
        <v>0.1385</v>
      </c>
      <c r="V177" s="53" t="n">
        <v>100</v>
      </c>
      <c r="W177" s="53" t="n">
        <v>0.0204</v>
      </c>
      <c r="X177" s="53" t="n">
        <v>0</v>
      </c>
      <c r="Y177" s="53" t="n">
        <v>0</v>
      </c>
      <c r="Z177" s="53" t="n">
        <v>0</v>
      </c>
      <c r="AA177" s="53" t="n">
        <v>-343.81</v>
      </c>
      <c r="AB177" s="53" t="inlineStr">
        <is>
          <t>FALSE</t>
        </is>
      </c>
      <c r="AC177" s="53" t="inlineStr">
        <is>
          <t>FALSE</t>
        </is>
      </c>
    </row>
    <row r="178">
      <c r="A178" s="53" t="inlineStr">
        <is>
          <t>2026-06-17</t>
        </is>
      </c>
      <c r="B178" s="53" t="inlineStr">
        <is>
          <t>2468496</t>
        </is>
      </c>
      <c r="C178" s="53" t="inlineStr">
        <is>
          <t>DS.2025.2289 Courtyards of Westfield 118</t>
        </is>
      </c>
      <c r="D178" s="53" t="inlineStr">
        <is>
          <t>DW</t>
        </is>
      </c>
      <c r="E178" s="53" t="inlineStr">
        <is>
          <t>(Unassigned)</t>
        </is>
      </c>
      <c r="F178" s="53" t="inlineStr">
        <is>
          <t>Big Dawg Drywall</t>
        </is>
      </c>
      <c r="G178" s="53" t="inlineStr">
        <is>
          <t>ACTIVE</t>
        </is>
      </c>
      <c r="H178" s="53" t="n">
        <v>6689.88</v>
      </c>
      <c r="I178" s="53" t="n">
        <v>0</v>
      </c>
      <c r="J178" s="53" t="n">
        <v>6689.88</v>
      </c>
      <c r="K178" s="53" t="n">
        <v>7158.17</v>
      </c>
      <c r="L178" s="53" t="n">
        <v>0</v>
      </c>
      <c r="M178" s="53" t="n">
        <v>5278.62</v>
      </c>
      <c r="N178" s="53" t="n">
        <v>0</v>
      </c>
      <c r="O178" s="53" t="n">
        <v>0</v>
      </c>
      <c r="P178" s="53" t="n">
        <v>-6689.88</v>
      </c>
      <c r="Q178" s="53" t="n">
        <v>0</v>
      </c>
      <c r="R178" s="53" t="n">
        <v>6689.88</v>
      </c>
      <c r="S178" s="53" t="n">
        <v>0</v>
      </c>
      <c r="T178" s="53" t="n">
        <v>1411.26</v>
      </c>
      <c r="U178" s="53" t="n">
        <v>0.211</v>
      </c>
      <c r="V178" s="53" t="n">
        <v>100</v>
      </c>
      <c r="W178" s="53" t="n">
        <v>0.0149</v>
      </c>
      <c r="X178" s="53" t="n">
        <v>0</v>
      </c>
      <c r="Y178" s="53" t="n">
        <v>0</v>
      </c>
      <c r="Z178" s="53" t="n">
        <v>0</v>
      </c>
      <c r="AA178" s="53" t="n">
        <v>-468.29</v>
      </c>
      <c r="AB178" s="53" t="inlineStr">
        <is>
          <t>FALSE</t>
        </is>
      </c>
      <c r="AC178" s="53" t="inlineStr">
        <is>
          <t>FALSE</t>
        </is>
      </c>
    </row>
    <row r="179">
      <c r="A179" s="53" t="inlineStr">
        <is>
          <t>2026-06-17</t>
        </is>
      </c>
      <c r="B179" s="53" t="inlineStr">
        <is>
          <t>2463881</t>
        </is>
      </c>
      <c r="C179" s="53" t="inlineStr">
        <is>
          <t>DS.2025.2288 Courtyards of Russell Oaks 120</t>
        </is>
      </c>
      <c r="D179" s="53" t="inlineStr">
        <is>
          <t>DW</t>
        </is>
      </c>
      <c r="E179" s="53" t="inlineStr">
        <is>
          <t>(Unassigned)</t>
        </is>
      </c>
      <c r="F179" s="53" t="inlineStr">
        <is>
          <t>Big Dawg Drywall</t>
        </is>
      </c>
      <c r="G179" s="53" t="inlineStr">
        <is>
          <t>ACTIVE</t>
        </is>
      </c>
      <c r="H179" s="53" t="n">
        <v>7550.89</v>
      </c>
      <c r="I179" s="53" t="n">
        <v>0</v>
      </c>
      <c r="J179" s="53" t="n">
        <v>7550.89</v>
      </c>
      <c r="K179" s="53" t="n">
        <v>8079.45</v>
      </c>
      <c r="L179" s="53" t="n">
        <v>0</v>
      </c>
      <c r="M179" s="53" t="n">
        <v>5977.12</v>
      </c>
      <c r="N179" s="53" t="n">
        <v>0</v>
      </c>
      <c r="O179" s="53" t="n">
        <v>0</v>
      </c>
      <c r="P179" s="53" t="n">
        <v>-7550.89</v>
      </c>
      <c r="Q179" s="53" t="n">
        <v>0</v>
      </c>
      <c r="R179" s="53" t="n">
        <v>7550.89</v>
      </c>
      <c r="S179" s="53" t="n">
        <v>0</v>
      </c>
      <c r="T179" s="53" t="n">
        <v>1573.77</v>
      </c>
      <c r="U179" s="53" t="n">
        <v>0.2084</v>
      </c>
      <c r="V179" s="53" t="n">
        <v>100</v>
      </c>
      <c r="W179" s="53" t="n">
        <v>0.0132</v>
      </c>
      <c r="X179" s="53" t="n">
        <v>0</v>
      </c>
      <c r="Y179" s="53" t="n">
        <v>0</v>
      </c>
      <c r="Z179" s="53" t="n">
        <v>0</v>
      </c>
      <c r="AA179" s="53" t="n">
        <v>-528.5599999999999</v>
      </c>
      <c r="AB179" s="53" t="inlineStr">
        <is>
          <t>FALSE</t>
        </is>
      </c>
      <c r="AC179" s="53" t="inlineStr">
        <is>
          <t>FALSE</t>
        </is>
      </c>
    </row>
    <row r="180">
      <c r="A180" s="53" t="inlineStr">
        <is>
          <t>2026-06-17</t>
        </is>
      </c>
      <c r="B180" s="53" t="inlineStr">
        <is>
          <t>2459666</t>
        </is>
      </c>
      <c r="C180" s="53" t="inlineStr">
        <is>
          <t>DS.2025.2286 Courtyards of Westfield 117</t>
        </is>
      </c>
      <c r="D180" s="53" t="inlineStr">
        <is>
          <t>DW</t>
        </is>
      </c>
      <c r="E180" s="53" t="inlineStr">
        <is>
          <t>(Unassigned)</t>
        </is>
      </c>
      <c r="F180" s="53" t="inlineStr">
        <is>
          <t>Big Dawg Drywall</t>
        </is>
      </c>
      <c r="G180" s="53" t="inlineStr">
        <is>
          <t>ACTIVE</t>
        </is>
      </c>
      <c r="H180" s="53" t="n">
        <v>5628.92</v>
      </c>
      <c r="I180" s="53" t="n">
        <v>0</v>
      </c>
      <c r="J180" s="53" t="n">
        <v>5628.92</v>
      </c>
      <c r="K180" s="53" t="n">
        <v>6022.94</v>
      </c>
      <c r="L180" s="53" t="n">
        <v>0</v>
      </c>
      <c r="M180" s="53" t="n">
        <v>4174.16</v>
      </c>
      <c r="N180" s="53" t="n">
        <v>0</v>
      </c>
      <c r="O180" s="53" t="n">
        <v>0</v>
      </c>
      <c r="P180" s="53" t="n">
        <v>-5628.92</v>
      </c>
      <c r="Q180" s="53" t="n">
        <v>0</v>
      </c>
      <c r="R180" s="53" t="n">
        <v>5628.92</v>
      </c>
      <c r="S180" s="53" t="n">
        <v>0</v>
      </c>
      <c r="T180" s="53" t="n">
        <v>1454.76</v>
      </c>
      <c r="U180" s="53" t="n">
        <v>0.2584</v>
      </c>
      <c r="V180" s="53" t="n">
        <v>100</v>
      </c>
      <c r="W180" s="53" t="n">
        <v>0.0178</v>
      </c>
      <c r="X180" s="53" t="n">
        <v>0</v>
      </c>
      <c r="Y180" s="53" t="n">
        <v>0</v>
      </c>
      <c r="Z180" s="53" t="n">
        <v>0</v>
      </c>
      <c r="AA180" s="53" t="n">
        <v>-394.02</v>
      </c>
      <c r="AB180" s="53" t="inlineStr">
        <is>
          <t>FALSE</t>
        </is>
      </c>
      <c r="AC180" s="53" t="inlineStr">
        <is>
          <t>FALSE</t>
        </is>
      </c>
    </row>
    <row r="181">
      <c r="A181" s="53" t="inlineStr">
        <is>
          <t>2026-06-17</t>
        </is>
      </c>
      <c r="B181" s="53" t="inlineStr">
        <is>
          <t>2453104</t>
        </is>
      </c>
      <c r="C181" s="53" t="inlineStr">
        <is>
          <t>DS.2025.2285 GSI - Rushville 5</t>
        </is>
      </c>
      <c r="D181" s="53" t="inlineStr">
        <is>
          <t>DW</t>
        </is>
      </c>
      <c r="E181" s="53" t="inlineStr">
        <is>
          <t>(Unassigned)</t>
        </is>
      </c>
      <c r="F181" s="53" t="inlineStr">
        <is>
          <t>GSI - Gregory Scott Inabnit LLC</t>
        </is>
      </c>
      <c r="G181" s="53" t="inlineStr">
        <is>
          <t>ACTIVE</t>
        </is>
      </c>
      <c r="H181" s="53" t="n">
        <v>4186.2</v>
      </c>
      <c r="I181" s="53" t="n">
        <v>0</v>
      </c>
      <c r="J181" s="53" t="n">
        <v>4186.2</v>
      </c>
      <c r="K181" s="53" t="n">
        <v>4479.23</v>
      </c>
      <c r="L181" s="53" t="n">
        <v>0</v>
      </c>
      <c r="M181" s="53" t="n">
        <v>2991.68</v>
      </c>
      <c r="N181" s="53" t="n">
        <v>0</v>
      </c>
      <c r="O181" s="53" t="n">
        <v>0</v>
      </c>
      <c r="P181" s="53" t="n">
        <v>-4186.2</v>
      </c>
      <c r="Q181" s="53" t="n">
        <v>0</v>
      </c>
      <c r="R181" s="53" t="n">
        <v>4186.2</v>
      </c>
      <c r="S181" s="53" t="n">
        <v>0</v>
      </c>
      <c r="T181" s="53" t="n">
        <v>1194.52</v>
      </c>
      <c r="U181" s="53" t="n">
        <v>0.2853</v>
      </c>
      <c r="V181" s="53" t="n">
        <v>100</v>
      </c>
      <c r="W181" s="53" t="n">
        <v>0.0239</v>
      </c>
      <c r="X181" s="53" t="n">
        <v>0</v>
      </c>
      <c r="Y181" s="53" t="n">
        <v>0</v>
      </c>
      <c r="Z181" s="53" t="n">
        <v>0</v>
      </c>
      <c r="AA181" s="53" t="n">
        <v>-293.03</v>
      </c>
      <c r="AB181" s="53" t="inlineStr">
        <is>
          <t>FALSE</t>
        </is>
      </c>
      <c r="AC181" s="53" t="inlineStr">
        <is>
          <t>FALSE</t>
        </is>
      </c>
    </row>
    <row r="182">
      <c r="A182" s="53" t="inlineStr">
        <is>
          <t>2026-06-17</t>
        </is>
      </c>
      <c r="B182" s="53" t="inlineStr">
        <is>
          <t>2452961</t>
        </is>
      </c>
      <c r="C182" s="53" t="inlineStr">
        <is>
          <t>DS.2025.2284 Courtyards of Russell Oaks 59</t>
        </is>
      </c>
      <c r="D182" s="53" t="inlineStr">
        <is>
          <t>DW</t>
        </is>
      </c>
      <c r="E182" s="53" t="inlineStr">
        <is>
          <t>(Unassigned)</t>
        </is>
      </c>
      <c r="F182" s="53" t="inlineStr">
        <is>
          <t>Big Dawg Drywall</t>
        </is>
      </c>
      <c r="G182" s="53" t="inlineStr">
        <is>
          <t>ACTIVE</t>
        </is>
      </c>
      <c r="H182" s="53" t="n">
        <v>5780.19</v>
      </c>
      <c r="I182" s="53" t="n">
        <v>0</v>
      </c>
      <c r="J182" s="53" t="n">
        <v>5780.19</v>
      </c>
      <c r="K182" s="53" t="n">
        <v>6184.8</v>
      </c>
      <c r="L182" s="53" t="n">
        <v>0</v>
      </c>
      <c r="M182" s="53" t="n">
        <v>4302.74</v>
      </c>
      <c r="N182" s="53" t="n">
        <v>0</v>
      </c>
      <c r="O182" s="53" t="n">
        <v>0</v>
      </c>
      <c r="P182" s="53" t="n">
        <v>-5780.19</v>
      </c>
      <c r="Q182" s="53" t="n">
        <v>0</v>
      </c>
      <c r="R182" s="53" t="n">
        <v>5780.19</v>
      </c>
      <c r="S182" s="53" t="n">
        <v>0</v>
      </c>
      <c r="T182" s="53" t="n">
        <v>1477.45</v>
      </c>
      <c r="U182" s="53" t="n">
        <v>0.2556</v>
      </c>
      <c r="V182" s="53" t="n">
        <v>100</v>
      </c>
      <c r="W182" s="53" t="n">
        <v>0.0173</v>
      </c>
      <c r="X182" s="53" t="n">
        <v>0</v>
      </c>
      <c r="Y182" s="53" t="n">
        <v>0</v>
      </c>
      <c r="Z182" s="53" t="n">
        <v>0</v>
      </c>
      <c r="AA182" s="53" t="n">
        <v>-404.61</v>
      </c>
      <c r="AB182" s="53" t="inlineStr">
        <is>
          <t>FALSE</t>
        </is>
      </c>
      <c r="AC182" s="53" t="inlineStr">
        <is>
          <t>FALSE</t>
        </is>
      </c>
    </row>
    <row r="183">
      <c r="A183" s="53" t="inlineStr">
        <is>
          <t>2026-06-17</t>
        </is>
      </c>
      <c r="B183" s="53" t="inlineStr">
        <is>
          <t>2446907</t>
        </is>
      </c>
      <c r="C183" s="53" t="inlineStr">
        <is>
          <t>DS.2025.2281 Courtyards of Russell Oaks 117</t>
        </is>
      </c>
      <c r="D183" s="53" t="inlineStr">
        <is>
          <t>DW</t>
        </is>
      </c>
      <c r="E183" s="53" t="inlineStr">
        <is>
          <t>(Unassigned)</t>
        </is>
      </c>
      <c r="F183" s="53" t="inlineStr">
        <is>
          <t>Big Dawg Drywall</t>
        </is>
      </c>
      <c r="G183" s="53" t="inlineStr">
        <is>
          <t>ACTIVE</t>
        </is>
      </c>
      <c r="H183" s="53" t="n">
        <v>5285.62</v>
      </c>
      <c r="I183" s="53" t="n">
        <v>0</v>
      </c>
      <c r="J183" s="53" t="n">
        <v>5285.62</v>
      </c>
      <c r="K183" s="53" t="n">
        <v>5655.61</v>
      </c>
      <c r="L183" s="53" t="n">
        <v>0</v>
      </c>
      <c r="M183" s="53" t="n">
        <v>3959.29</v>
      </c>
      <c r="N183" s="53" t="n">
        <v>0</v>
      </c>
      <c r="O183" s="53" t="n">
        <v>0</v>
      </c>
      <c r="P183" s="53" t="n">
        <v>-5285.62</v>
      </c>
      <c r="Q183" s="53" t="n">
        <v>0</v>
      </c>
      <c r="R183" s="53" t="n">
        <v>5285.62</v>
      </c>
      <c r="S183" s="53" t="n">
        <v>0</v>
      </c>
      <c r="T183" s="53" t="n">
        <v>1326.33</v>
      </c>
      <c r="U183" s="53" t="n">
        <v>0.2509</v>
      </c>
      <c r="V183" s="53" t="n">
        <v>100</v>
      </c>
      <c r="W183" s="53" t="n">
        <v>0.0189</v>
      </c>
      <c r="X183" s="53" t="n">
        <v>0</v>
      </c>
      <c r="Y183" s="53" t="n">
        <v>0</v>
      </c>
      <c r="Z183" s="53" t="n">
        <v>0</v>
      </c>
      <c r="AA183" s="53" t="n">
        <v>-369.99</v>
      </c>
      <c r="AB183" s="53" t="inlineStr">
        <is>
          <t>FALSE</t>
        </is>
      </c>
      <c r="AC183" s="53" t="inlineStr">
        <is>
          <t>FALSE</t>
        </is>
      </c>
    </row>
    <row r="184">
      <c r="A184" s="53" t="inlineStr">
        <is>
          <t>2026-06-17</t>
        </is>
      </c>
      <c r="B184" s="53" t="inlineStr">
        <is>
          <t>2446248</t>
        </is>
      </c>
      <c r="C184" s="53" t="inlineStr">
        <is>
          <t>DS.2025.2280 GSI - E Crestwine Dr</t>
        </is>
      </c>
      <c r="D184" s="53" t="inlineStr">
        <is>
          <t>DW</t>
        </is>
      </c>
      <c r="E184" s="53" t="inlineStr">
        <is>
          <t>(Unassigned)</t>
        </is>
      </c>
      <c r="F184" s="53" t="inlineStr">
        <is>
          <t>GSI - Gregory Scott Inabnit LLC</t>
        </is>
      </c>
      <c r="G184" s="53" t="inlineStr">
        <is>
          <t>ACTIVE</t>
        </is>
      </c>
      <c r="H184" s="53" t="n">
        <v>9105.65</v>
      </c>
      <c r="I184" s="53" t="n">
        <v>0</v>
      </c>
      <c r="J184" s="53" t="n">
        <v>9105.65</v>
      </c>
      <c r="K184" s="53" t="n">
        <v>9743.049999999999</v>
      </c>
      <c r="L184" s="53" t="n">
        <v>0</v>
      </c>
      <c r="M184" s="53" t="n">
        <v>6483</v>
      </c>
      <c r="N184" s="53" t="n">
        <v>0</v>
      </c>
      <c r="O184" s="53" t="n">
        <v>0</v>
      </c>
      <c r="P184" s="53" t="n">
        <v>-9105.65</v>
      </c>
      <c r="Q184" s="53" t="n">
        <v>0</v>
      </c>
      <c r="R184" s="53" t="n">
        <v>9105.65</v>
      </c>
      <c r="S184" s="53" t="n">
        <v>0</v>
      </c>
      <c r="T184" s="53" t="n">
        <v>2622.65</v>
      </c>
      <c r="U184" s="53" t="n">
        <v>0.288</v>
      </c>
      <c r="V184" s="53" t="n">
        <v>100</v>
      </c>
      <c r="W184" s="53" t="n">
        <v>0.011</v>
      </c>
      <c r="X184" s="53" t="n">
        <v>0</v>
      </c>
      <c r="Y184" s="53" t="n">
        <v>0</v>
      </c>
      <c r="Z184" s="53" t="n">
        <v>0</v>
      </c>
      <c r="AA184" s="53" t="n">
        <v>-637.4</v>
      </c>
      <c r="AB184" s="53" t="inlineStr">
        <is>
          <t>FALSE</t>
        </is>
      </c>
      <c r="AC184" s="53" t="inlineStr">
        <is>
          <t>FALSE</t>
        </is>
      </c>
    </row>
    <row r="185">
      <c r="A185" s="53" t="inlineStr">
        <is>
          <t>2026-06-17</t>
        </is>
      </c>
      <c r="B185" s="53" t="inlineStr">
        <is>
          <t>2444852</t>
        </is>
      </c>
      <c r="C185" s="53" t="inlineStr">
        <is>
          <t>DS.2025.2279 8810 Bergeson Drive</t>
        </is>
      </c>
      <c r="D185" s="53" t="inlineStr">
        <is>
          <t>DW</t>
        </is>
      </c>
      <c r="E185" s="53" t="inlineStr">
        <is>
          <t>(Unassigned)</t>
        </is>
      </c>
      <c r="F185" s="53" t="inlineStr">
        <is>
          <t>Pro Fix Drywaller, LLC</t>
        </is>
      </c>
      <c r="G185" s="53" t="inlineStr">
        <is>
          <t>ACTIVE</t>
        </is>
      </c>
      <c r="H185" s="53" t="n">
        <v>784.91</v>
      </c>
      <c r="I185" s="53" t="n">
        <v>0</v>
      </c>
      <c r="J185" s="53" t="n">
        <v>784.91</v>
      </c>
      <c r="K185" s="53" t="n">
        <v>839.85</v>
      </c>
      <c r="L185" s="53" t="n">
        <v>0</v>
      </c>
      <c r="M185" s="53" t="n">
        <v>567.3</v>
      </c>
      <c r="N185" s="53" t="n">
        <v>0</v>
      </c>
      <c r="O185" s="53" t="n">
        <v>0</v>
      </c>
      <c r="P185" s="53" t="n">
        <v>-784.91</v>
      </c>
      <c r="Q185" s="53" t="n">
        <v>0</v>
      </c>
      <c r="R185" s="53" t="n">
        <v>784.91</v>
      </c>
      <c r="S185" s="53" t="n">
        <v>0</v>
      </c>
      <c r="T185" s="53" t="n">
        <v>217.61</v>
      </c>
      <c r="U185" s="53" t="n">
        <v>0.2772</v>
      </c>
      <c r="V185" s="53" t="n">
        <v>100</v>
      </c>
      <c r="W185" s="53" t="n">
        <v>0.1274</v>
      </c>
      <c r="X185" s="53" t="n">
        <v>0</v>
      </c>
      <c r="Y185" s="53" t="n">
        <v>0</v>
      </c>
      <c r="Z185" s="53" t="n">
        <v>0</v>
      </c>
      <c r="AA185" s="53" t="n">
        <v>-54.94</v>
      </c>
      <c r="AB185" s="53" t="inlineStr">
        <is>
          <t>FALSE</t>
        </is>
      </c>
      <c r="AC185" s="53" t="inlineStr">
        <is>
          <t>FALSE</t>
        </is>
      </c>
    </row>
    <row r="186">
      <c r="A186" s="53" t="inlineStr">
        <is>
          <t>2026-06-17</t>
        </is>
      </c>
      <c r="B186" s="53" t="inlineStr">
        <is>
          <t>2444545</t>
        </is>
      </c>
      <c r="C186" s="53" t="inlineStr">
        <is>
          <t>DS.2025.2278 Courtyards of Russell Oaks 52</t>
        </is>
      </c>
      <c r="D186" s="53" t="inlineStr">
        <is>
          <t>DW</t>
        </is>
      </c>
      <c r="E186" s="53" t="inlineStr">
        <is>
          <t>(Unassigned)</t>
        </is>
      </c>
      <c r="F186" s="53" t="inlineStr">
        <is>
          <t>Big Dawg Drywall</t>
        </is>
      </c>
      <c r="G186" s="53" t="inlineStr">
        <is>
          <t>ACTIVE</t>
        </is>
      </c>
      <c r="H186" s="53" t="n">
        <v>7142.71</v>
      </c>
      <c r="I186" s="53" t="n">
        <v>0</v>
      </c>
      <c r="J186" s="53" t="n">
        <v>7142.71</v>
      </c>
      <c r="K186" s="53" t="n">
        <v>7642.7</v>
      </c>
      <c r="L186" s="53" t="n">
        <v>0</v>
      </c>
      <c r="M186" s="53" t="n">
        <v>5271.78</v>
      </c>
      <c r="N186" s="53" t="n">
        <v>0</v>
      </c>
      <c r="O186" s="53" t="n">
        <v>0</v>
      </c>
      <c r="P186" s="53" t="n">
        <v>-7142.71</v>
      </c>
      <c r="Q186" s="53" t="n">
        <v>0</v>
      </c>
      <c r="R186" s="53" t="n">
        <v>7142.71</v>
      </c>
      <c r="S186" s="53" t="n">
        <v>0</v>
      </c>
      <c r="T186" s="53" t="n">
        <v>1870.93</v>
      </c>
      <c r="U186" s="53" t="n">
        <v>0.2619</v>
      </c>
      <c r="V186" s="53" t="n">
        <v>100</v>
      </c>
      <c r="W186" s="53" t="n">
        <v>0.014</v>
      </c>
      <c r="X186" s="53" t="n">
        <v>0</v>
      </c>
      <c r="Y186" s="53" t="n">
        <v>0</v>
      </c>
      <c r="Z186" s="53" t="n">
        <v>0</v>
      </c>
      <c r="AA186" s="53" t="n">
        <v>-499.99</v>
      </c>
      <c r="AB186" s="53" t="inlineStr">
        <is>
          <t>FALSE</t>
        </is>
      </c>
      <c r="AC186" s="53" t="inlineStr">
        <is>
          <t>FALSE</t>
        </is>
      </c>
    </row>
    <row r="187">
      <c r="A187" s="53" t="inlineStr">
        <is>
          <t>2026-06-17</t>
        </is>
      </c>
      <c r="B187" s="53" t="inlineStr">
        <is>
          <t>2441368</t>
        </is>
      </c>
      <c r="C187" s="53" t="inlineStr">
        <is>
          <t>DS.2025.2275 Courtyards of Cielo Ranch 9</t>
        </is>
      </c>
      <c r="D187" s="53" t="inlineStr">
        <is>
          <t>DW</t>
        </is>
      </c>
      <c r="E187" s="53" t="inlineStr">
        <is>
          <t>(Unassigned)</t>
        </is>
      </c>
      <c r="F187" s="53" t="inlineStr">
        <is>
          <t>Big Dawg Drywall</t>
        </is>
      </c>
      <c r="G187" s="53" t="inlineStr">
        <is>
          <t>ACTIVE</t>
        </is>
      </c>
      <c r="H187" s="53" t="n">
        <v>505.44</v>
      </c>
      <c r="I187" s="53" t="n">
        <v>0</v>
      </c>
      <c r="J187" s="53" t="n">
        <v>505.44</v>
      </c>
      <c r="K187" s="53" t="n">
        <v>540.8200000000001</v>
      </c>
      <c r="L187" s="53" t="n">
        <v>0</v>
      </c>
      <c r="M187" s="53" t="n">
        <v>349.92</v>
      </c>
      <c r="N187" s="53" t="n">
        <v>0</v>
      </c>
      <c r="O187" s="53" t="n">
        <v>0</v>
      </c>
      <c r="P187" s="53" t="n">
        <v>-505.44</v>
      </c>
      <c r="Q187" s="53" t="n">
        <v>0</v>
      </c>
      <c r="R187" s="53" t="n">
        <v>505.44</v>
      </c>
      <c r="S187" s="53" t="n">
        <v>0</v>
      </c>
      <c r="T187" s="53" t="n">
        <v>155.52</v>
      </c>
      <c r="U187" s="53" t="n">
        <v>0.3077</v>
      </c>
      <c r="V187" s="53" t="n">
        <v>100</v>
      </c>
      <c r="W187" s="53" t="n">
        <v>0.1978</v>
      </c>
      <c r="X187" s="53" t="n">
        <v>0</v>
      </c>
      <c r="Y187" s="53" t="n">
        <v>0</v>
      </c>
      <c r="Z187" s="53" t="n">
        <v>0</v>
      </c>
      <c r="AA187" s="53" t="n">
        <v>-35.38</v>
      </c>
      <c r="AB187" s="53" t="inlineStr">
        <is>
          <t>FALSE</t>
        </is>
      </c>
      <c r="AC187" s="53" t="inlineStr">
        <is>
          <t>FALSE</t>
        </is>
      </c>
    </row>
    <row r="188">
      <c r="A188" s="53" t="inlineStr">
        <is>
          <t>2026-06-17</t>
        </is>
      </c>
      <c r="B188" s="53" t="inlineStr">
        <is>
          <t>2439356</t>
        </is>
      </c>
      <c r="C188" s="53" t="inlineStr">
        <is>
          <t>DS.2025.2274 Barndo 2 Frankfort</t>
        </is>
      </c>
      <c r="D188" s="53" t="inlineStr">
        <is>
          <t>DW</t>
        </is>
      </c>
      <c r="E188" s="53" t="inlineStr">
        <is>
          <t>(Unassigned)</t>
        </is>
      </c>
      <c r="F188" s="53" t="inlineStr">
        <is>
          <t>Flores Drywall and Remodeling LLC</t>
        </is>
      </c>
      <c r="G188" s="53" t="inlineStr">
        <is>
          <t>ACTIVE</t>
        </is>
      </c>
      <c r="H188" s="53" t="n">
        <v>2325.89</v>
      </c>
      <c r="I188" s="53" t="n">
        <v>0</v>
      </c>
      <c r="J188" s="53" t="n">
        <v>2325.89</v>
      </c>
      <c r="K188" s="53" t="n">
        <v>2488.7</v>
      </c>
      <c r="L188" s="53" t="n">
        <v>0</v>
      </c>
      <c r="M188" s="53" t="n">
        <v>1704.29</v>
      </c>
      <c r="N188" s="53" t="n">
        <v>0</v>
      </c>
      <c r="O188" s="53" t="n">
        <v>0</v>
      </c>
      <c r="P188" s="53" t="n">
        <v>-2325.89</v>
      </c>
      <c r="Q188" s="53" t="n">
        <v>0</v>
      </c>
      <c r="R188" s="53" t="n">
        <v>2325.89</v>
      </c>
      <c r="S188" s="53" t="n">
        <v>0</v>
      </c>
      <c r="T188" s="53" t="n">
        <v>621.6</v>
      </c>
      <c r="U188" s="53" t="n">
        <v>0.2673</v>
      </c>
      <c r="V188" s="53" t="n">
        <v>100</v>
      </c>
      <c r="W188" s="53" t="n">
        <v>0.043</v>
      </c>
      <c r="X188" s="53" t="n">
        <v>0</v>
      </c>
      <c r="Y188" s="53" t="n">
        <v>0</v>
      </c>
      <c r="Z188" s="53" t="n">
        <v>0</v>
      </c>
      <c r="AA188" s="53" t="n">
        <v>-162.81</v>
      </c>
      <c r="AB188" s="53" t="inlineStr">
        <is>
          <t>FALSE</t>
        </is>
      </c>
      <c r="AC188" s="53" t="inlineStr">
        <is>
          <t>FALSE</t>
        </is>
      </c>
    </row>
    <row r="189">
      <c r="A189" s="53" t="inlineStr">
        <is>
          <t>2026-06-17</t>
        </is>
      </c>
      <c r="B189" s="53" t="inlineStr">
        <is>
          <t>2438113</t>
        </is>
      </c>
      <c r="C189" s="53" t="inlineStr">
        <is>
          <t>DS.2025.2272 Courtyards of Russell Oaks 48</t>
        </is>
      </c>
      <c r="D189" s="53" t="inlineStr">
        <is>
          <t>DW</t>
        </is>
      </c>
      <c r="E189" s="53" t="inlineStr">
        <is>
          <t>(Unassigned)</t>
        </is>
      </c>
      <c r="F189" s="53" t="inlineStr">
        <is>
          <t>Big Dawg Drywall</t>
        </is>
      </c>
      <c r="G189" s="53" t="inlineStr">
        <is>
          <t>ACTIVE</t>
        </is>
      </c>
      <c r="H189" s="53" t="n">
        <v>5849.67</v>
      </c>
      <c r="I189" s="53" t="n">
        <v>0</v>
      </c>
      <c r="J189" s="53" t="n">
        <v>5849.67</v>
      </c>
      <c r="K189" s="53" t="n">
        <v>6259.15</v>
      </c>
      <c r="L189" s="53" t="n">
        <v>0</v>
      </c>
      <c r="M189" s="53" t="n">
        <v>4371.5</v>
      </c>
      <c r="N189" s="53" t="n">
        <v>0</v>
      </c>
      <c r="O189" s="53" t="n">
        <v>0</v>
      </c>
      <c r="P189" s="53" t="n">
        <v>-5849.67</v>
      </c>
      <c r="Q189" s="53" t="n">
        <v>0</v>
      </c>
      <c r="R189" s="53" t="n">
        <v>5849.67</v>
      </c>
      <c r="S189" s="53" t="n">
        <v>0</v>
      </c>
      <c r="T189" s="53" t="n">
        <v>1478.17</v>
      </c>
      <c r="U189" s="53" t="n">
        <v>0.2527</v>
      </c>
      <c r="V189" s="53" t="n">
        <v>100</v>
      </c>
      <c r="W189" s="53" t="n">
        <v>0.0171</v>
      </c>
      <c r="X189" s="53" t="n">
        <v>0</v>
      </c>
      <c r="Y189" s="53" t="n">
        <v>0</v>
      </c>
      <c r="Z189" s="53" t="n">
        <v>0</v>
      </c>
      <c r="AA189" s="53" t="n">
        <v>-409.48</v>
      </c>
      <c r="AB189" s="53" t="inlineStr">
        <is>
          <t>FALSE</t>
        </is>
      </c>
      <c r="AC189" s="53" t="inlineStr">
        <is>
          <t>FALSE</t>
        </is>
      </c>
    </row>
    <row r="190">
      <c r="A190" s="53" t="inlineStr">
        <is>
          <t>2026-06-17</t>
        </is>
      </c>
      <c r="B190" s="53" t="inlineStr">
        <is>
          <t>2438103</t>
        </is>
      </c>
      <c r="C190" s="53" t="inlineStr">
        <is>
          <t>DS.2025.2271 Courtyards of Westfield 113</t>
        </is>
      </c>
      <c r="D190" s="53" t="inlineStr">
        <is>
          <t>DW</t>
        </is>
      </c>
      <c r="E190" s="53" t="inlineStr">
        <is>
          <t>(Unassigned)</t>
        </is>
      </c>
      <c r="F190" s="53" t="inlineStr">
        <is>
          <t>Big Dawg Drywall</t>
        </is>
      </c>
      <c r="G190" s="53" t="inlineStr">
        <is>
          <t>ACTIVE</t>
        </is>
      </c>
      <c r="H190" s="53" t="n">
        <v>7005.73</v>
      </c>
      <c r="I190" s="53" t="n">
        <v>0</v>
      </c>
      <c r="J190" s="53" t="n">
        <v>7005.73</v>
      </c>
      <c r="K190" s="53" t="n">
        <v>7496.13</v>
      </c>
      <c r="L190" s="53" t="n">
        <v>0</v>
      </c>
      <c r="M190" s="53" t="n">
        <v>5233.09</v>
      </c>
      <c r="N190" s="53" t="n">
        <v>0</v>
      </c>
      <c r="O190" s="53" t="n">
        <v>0</v>
      </c>
      <c r="P190" s="53" t="n">
        <v>-7005.73</v>
      </c>
      <c r="Q190" s="53" t="n">
        <v>0</v>
      </c>
      <c r="R190" s="53" t="n">
        <v>7005.73</v>
      </c>
      <c r="S190" s="53" t="n">
        <v>0</v>
      </c>
      <c r="T190" s="53" t="n">
        <v>1772.64</v>
      </c>
      <c r="U190" s="53" t="n">
        <v>0.253</v>
      </c>
      <c r="V190" s="53" t="n">
        <v>100</v>
      </c>
      <c r="W190" s="53" t="n">
        <v>0.0143</v>
      </c>
      <c r="X190" s="53" t="n">
        <v>0</v>
      </c>
      <c r="Y190" s="53" t="n">
        <v>0</v>
      </c>
      <c r="Z190" s="53" t="n">
        <v>0</v>
      </c>
      <c r="AA190" s="53" t="n">
        <v>-490.4</v>
      </c>
      <c r="AB190" s="53" t="inlineStr">
        <is>
          <t>FALSE</t>
        </is>
      </c>
      <c r="AC190" s="53" t="inlineStr">
        <is>
          <t>FALSE</t>
        </is>
      </c>
    </row>
    <row r="191">
      <c r="A191" s="53" t="inlineStr">
        <is>
          <t>2026-06-17</t>
        </is>
      </c>
      <c r="B191" s="53" t="inlineStr">
        <is>
          <t>2433725</t>
        </is>
      </c>
      <c r="C191" s="53" t="inlineStr">
        <is>
          <t>DS.2025.2269 GSI Ranch Basement House 9-22</t>
        </is>
      </c>
      <c r="D191" s="53" t="inlineStr">
        <is>
          <t>DW</t>
        </is>
      </c>
      <c r="E191" s="53" t="inlineStr">
        <is>
          <t>(Unassigned)</t>
        </is>
      </c>
      <c r="F191" s="53" t="inlineStr">
        <is>
          <t>GSI - Gregory Scott Inabnit LLC</t>
        </is>
      </c>
      <c r="G191" s="53" t="inlineStr">
        <is>
          <t>ACTIVE</t>
        </is>
      </c>
      <c r="H191" s="53" t="n">
        <v>6041.4</v>
      </c>
      <c r="I191" s="53" t="n">
        <v>0</v>
      </c>
      <c r="J191" s="53" t="n">
        <v>6041.4</v>
      </c>
      <c r="K191" s="53" t="n">
        <v>6464.3</v>
      </c>
      <c r="L191" s="53" t="n">
        <v>0</v>
      </c>
      <c r="M191" s="53" t="n">
        <v>4279.47</v>
      </c>
      <c r="N191" s="53" t="n">
        <v>0</v>
      </c>
      <c r="O191" s="53" t="n">
        <v>0</v>
      </c>
      <c r="P191" s="53" t="n">
        <v>-6041.4</v>
      </c>
      <c r="Q191" s="53" t="n">
        <v>0</v>
      </c>
      <c r="R191" s="53" t="n">
        <v>6041.4</v>
      </c>
      <c r="S191" s="53" t="n">
        <v>0</v>
      </c>
      <c r="T191" s="53" t="n">
        <v>1761.93</v>
      </c>
      <c r="U191" s="53" t="n">
        <v>0.2916</v>
      </c>
      <c r="V191" s="53" t="n">
        <v>100</v>
      </c>
      <c r="W191" s="53" t="n">
        <v>0.0166</v>
      </c>
      <c r="X191" s="53" t="n">
        <v>0</v>
      </c>
      <c r="Y191" s="53" t="n">
        <v>0</v>
      </c>
      <c r="Z191" s="53" t="n">
        <v>0</v>
      </c>
      <c r="AA191" s="53" t="n">
        <v>-422.9</v>
      </c>
      <c r="AB191" s="53" t="inlineStr">
        <is>
          <t>FALSE</t>
        </is>
      </c>
      <c r="AC191" s="53" t="inlineStr">
        <is>
          <t>FALSE</t>
        </is>
      </c>
    </row>
    <row r="192">
      <c r="A192" s="53" t="inlineStr">
        <is>
          <t>2026-06-17</t>
        </is>
      </c>
      <c r="B192" s="53" t="inlineStr">
        <is>
          <t>2431674</t>
        </is>
      </c>
      <c r="C192" s="53" t="inlineStr">
        <is>
          <t>DS.2025.2267 GSI Rushville Lot 17</t>
        </is>
      </c>
      <c r="D192" s="53" t="inlineStr">
        <is>
          <t>DW</t>
        </is>
      </c>
      <c r="E192" s="53" t="inlineStr">
        <is>
          <t>(Unassigned)</t>
        </is>
      </c>
      <c r="F192" s="53" t="inlineStr">
        <is>
          <t>GSI - Gregory Scott Inabnit LLC</t>
        </is>
      </c>
      <c r="G192" s="53" t="inlineStr">
        <is>
          <t>ACTIVE</t>
        </is>
      </c>
      <c r="H192" s="53" t="n">
        <v>3571.1</v>
      </c>
      <c r="I192" s="53" t="n">
        <v>0</v>
      </c>
      <c r="J192" s="53" t="n">
        <v>3571.1</v>
      </c>
      <c r="K192" s="53" t="n">
        <v>3821.08</v>
      </c>
      <c r="L192" s="53" t="n">
        <v>0</v>
      </c>
      <c r="M192" s="53" t="n">
        <v>2655.4</v>
      </c>
      <c r="N192" s="53" t="n">
        <v>0</v>
      </c>
      <c r="O192" s="53" t="n">
        <v>0</v>
      </c>
      <c r="P192" s="53" t="n">
        <v>-3571.1</v>
      </c>
      <c r="Q192" s="53" t="n">
        <v>0</v>
      </c>
      <c r="R192" s="53" t="n">
        <v>3571.1</v>
      </c>
      <c r="S192" s="53" t="n">
        <v>0</v>
      </c>
      <c r="T192" s="53" t="n">
        <v>915.7</v>
      </c>
      <c r="U192" s="53" t="n">
        <v>0.2564</v>
      </c>
      <c r="V192" s="53" t="n">
        <v>100</v>
      </c>
      <c r="W192" s="53" t="n">
        <v>0.028</v>
      </c>
      <c r="X192" s="53" t="n">
        <v>0</v>
      </c>
      <c r="Y192" s="53" t="n">
        <v>0</v>
      </c>
      <c r="Z192" s="53" t="n">
        <v>0</v>
      </c>
      <c r="AA192" s="53" t="n">
        <v>-249.98</v>
      </c>
      <c r="AB192" s="53" t="inlineStr">
        <is>
          <t>FALSE</t>
        </is>
      </c>
      <c r="AC192" s="53" t="inlineStr">
        <is>
          <t>FALSE</t>
        </is>
      </c>
    </row>
    <row r="193">
      <c r="A193" s="53" t="inlineStr">
        <is>
          <t>2026-06-17</t>
        </is>
      </c>
      <c r="B193" s="53" t="inlineStr">
        <is>
          <t>2431619</t>
        </is>
      </c>
      <c r="C193" s="53" t="inlineStr">
        <is>
          <t>DS.2025.2265 Courtyards of Westfield 42</t>
        </is>
      </c>
      <c r="D193" s="53" t="inlineStr">
        <is>
          <t>DW</t>
        </is>
      </c>
      <c r="E193" s="53" t="inlineStr">
        <is>
          <t>(Unassigned)</t>
        </is>
      </c>
      <c r="F193" s="53" t="inlineStr">
        <is>
          <t>Big Dawg Drywall</t>
        </is>
      </c>
      <c r="G193" s="53" t="inlineStr">
        <is>
          <t>ACTIVE</t>
        </is>
      </c>
      <c r="H193" s="53" t="n">
        <v>6951.57</v>
      </c>
      <c r="I193" s="53" t="n">
        <v>507.6</v>
      </c>
      <c r="J193" s="53" t="n">
        <v>6951.57</v>
      </c>
      <c r="K193" s="53" t="n">
        <v>7402.65</v>
      </c>
      <c r="L193" s="53" t="n">
        <v>0</v>
      </c>
      <c r="M193" s="53" t="n">
        <v>5144.6</v>
      </c>
      <c r="N193" s="53" t="n">
        <v>0</v>
      </c>
      <c r="O193" s="53" t="n">
        <v>0</v>
      </c>
      <c r="P193" s="53" t="n">
        <v>-6951.57</v>
      </c>
      <c r="Q193" s="53" t="n">
        <v>0</v>
      </c>
      <c r="R193" s="53" t="n">
        <v>6951.57</v>
      </c>
      <c r="S193" s="53" t="n">
        <v>0</v>
      </c>
      <c r="T193" s="53" t="n">
        <v>1806.97</v>
      </c>
      <c r="U193" s="53" t="n">
        <v>0.2599</v>
      </c>
      <c r="V193" s="53" t="n">
        <v>100</v>
      </c>
      <c r="W193" s="53" t="n">
        <v>0.0144</v>
      </c>
      <c r="X193" s="53" t="n">
        <v>0</v>
      </c>
      <c r="Y193" s="53" t="n">
        <v>0</v>
      </c>
      <c r="Z193" s="53" t="n">
        <v>0</v>
      </c>
      <c r="AA193" s="53" t="n">
        <v>-451.08</v>
      </c>
      <c r="AB193" s="53" t="inlineStr">
        <is>
          <t>FALSE</t>
        </is>
      </c>
      <c r="AC193" s="53" t="inlineStr">
        <is>
          <t>FALSE</t>
        </is>
      </c>
    </row>
    <row r="194">
      <c r="A194" s="53" t="inlineStr">
        <is>
          <t>2026-06-17</t>
        </is>
      </c>
      <c r="B194" s="53" t="inlineStr">
        <is>
          <t>2426990</t>
        </is>
      </c>
      <c r="C194" s="53" t="inlineStr">
        <is>
          <t>DS.2025.2264 Maratt Remodel</t>
        </is>
      </c>
      <c r="D194" s="53" t="inlineStr">
        <is>
          <t>DW</t>
        </is>
      </c>
      <c r="E194" s="53" t="inlineStr">
        <is>
          <t>(Unassigned)</t>
        </is>
      </c>
      <c r="F194" s="53" t="inlineStr">
        <is>
          <t>Flores Drywall and Remodeling LLC</t>
        </is>
      </c>
      <c r="G194" s="53" t="inlineStr">
        <is>
          <t>ACTIVE</t>
        </is>
      </c>
      <c r="H194" s="53" t="n">
        <v>5434.22</v>
      </c>
      <c r="I194" s="53" t="n">
        <v>0</v>
      </c>
      <c r="J194" s="53" t="n">
        <v>5434.22</v>
      </c>
      <c r="K194" s="53" t="n">
        <v>5814.62</v>
      </c>
      <c r="L194" s="53" t="n">
        <v>0</v>
      </c>
      <c r="M194" s="53" t="n">
        <v>3595.46</v>
      </c>
      <c r="N194" s="53" t="n">
        <v>0</v>
      </c>
      <c r="O194" s="53" t="n">
        <v>0</v>
      </c>
      <c r="P194" s="53" t="n">
        <v>-5434.22</v>
      </c>
      <c r="Q194" s="53" t="n">
        <v>0</v>
      </c>
      <c r="R194" s="53" t="n">
        <v>5434.22</v>
      </c>
      <c r="S194" s="53" t="n">
        <v>0</v>
      </c>
      <c r="T194" s="53" t="n">
        <v>1838.76</v>
      </c>
      <c r="U194" s="53" t="n">
        <v>0.3384</v>
      </c>
      <c r="V194" s="53" t="n">
        <v>100</v>
      </c>
      <c r="W194" s="53" t="n">
        <v>0.0184</v>
      </c>
      <c r="X194" s="53" t="n">
        <v>0</v>
      </c>
      <c r="Y194" s="53" t="n">
        <v>0</v>
      </c>
      <c r="Z194" s="53" t="n">
        <v>0</v>
      </c>
      <c r="AA194" s="53" t="n">
        <v>-380.4</v>
      </c>
      <c r="AB194" s="53" t="inlineStr">
        <is>
          <t>FALSE</t>
        </is>
      </c>
      <c r="AC194" s="53" t="inlineStr">
        <is>
          <t>FALSE</t>
        </is>
      </c>
    </row>
    <row r="195">
      <c r="A195" s="53" t="inlineStr">
        <is>
          <t>2026-06-17</t>
        </is>
      </c>
      <c r="B195" s="53" t="inlineStr">
        <is>
          <t>2426804</t>
        </is>
      </c>
      <c r="C195" s="53" t="inlineStr">
        <is>
          <t>DS.2025.2262 Rushville 2 house pre rock</t>
        </is>
      </c>
      <c r="D195" s="53" t="inlineStr">
        <is>
          <t>DW</t>
        </is>
      </c>
      <c r="E195" s="53" t="inlineStr">
        <is>
          <t>(Unassigned)</t>
        </is>
      </c>
      <c r="F195" s="53" t="inlineStr">
        <is>
          <t>GSI - Gregory Scott Inabnit LLC</t>
        </is>
      </c>
      <c r="G195" s="53" t="inlineStr">
        <is>
          <t>ACTIVE</t>
        </is>
      </c>
      <c r="H195" s="53" t="n">
        <v>786.08</v>
      </c>
      <c r="I195" s="53" t="n">
        <v>0</v>
      </c>
      <c r="J195" s="53" t="n">
        <v>786.08</v>
      </c>
      <c r="K195" s="53" t="n">
        <v>841.11</v>
      </c>
      <c r="L195" s="53" t="n">
        <v>0</v>
      </c>
      <c r="M195" s="53" t="n">
        <v>477</v>
      </c>
      <c r="N195" s="53" t="n">
        <v>0</v>
      </c>
      <c r="O195" s="53" t="n">
        <v>0</v>
      </c>
      <c r="P195" s="53" t="n">
        <v>-786.08</v>
      </c>
      <c r="Q195" s="53" t="n">
        <v>0</v>
      </c>
      <c r="R195" s="53" t="n">
        <v>786.08</v>
      </c>
      <c r="S195" s="53" t="n">
        <v>0</v>
      </c>
      <c r="T195" s="53" t="n">
        <v>309.08</v>
      </c>
      <c r="U195" s="53" t="n">
        <v>0.3932</v>
      </c>
      <c r="V195" s="53" t="n">
        <v>100</v>
      </c>
      <c r="W195" s="53" t="n">
        <v>0.1272</v>
      </c>
      <c r="X195" s="53" t="n">
        <v>0</v>
      </c>
      <c r="Y195" s="53" t="n">
        <v>0</v>
      </c>
      <c r="Z195" s="53" t="n">
        <v>0</v>
      </c>
      <c r="AA195" s="53" t="n">
        <v>-55.03</v>
      </c>
      <c r="AB195" s="53" t="inlineStr">
        <is>
          <t>FALSE</t>
        </is>
      </c>
      <c r="AC195" s="53" t="inlineStr">
        <is>
          <t>FALSE</t>
        </is>
      </c>
    </row>
    <row r="196">
      <c r="A196" s="53" t="inlineStr">
        <is>
          <t>2026-06-17</t>
        </is>
      </c>
      <c r="B196" s="53" t="inlineStr">
        <is>
          <t>2426715</t>
        </is>
      </c>
      <c r="C196" s="53" t="inlineStr">
        <is>
          <t>DS.2025.2258 Cavalier Res</t>
        </is>
      </c>
      <c r="D196" s="53" t="inlineStr">
        <is>
          <t>DW</t>
        </is>
      </c>
      <c r="E196" s="53" t="inlineStr">
        <is>
          <t>(Unassigned)</t>
        </is>
      </c>
      <c r="F196" s="53" t="inlineStr">
        <is>
          <t>Flores Drywall and Remodeling LLC</t>
        </is>
      </c>
      <c r="G196" s="53" t="inlineStr">
        <is>
          <t>ACTIVE</t>
        </is>
      </c>
      <c r="H196" s="53" t="n">
        <v>11550.86</v>
      </c>
      <c r="I196" s="53" t="n">
        <v>0</v>
      </c>
      <c r="J196" s="53" t="n">
        <v>11550.86</v>
      </c>
      <c r="K196" s="53" t="n">
        <v>12359.42</v>
      </c>
      <c r="L196" s="53" t="n">
        <v>0</v>
      </c>
      <c r="M196" s="53" t="n">
        <v>8584.559999999999</v>
      </c>
      <c r="N196" s="53" t="n">
        <v>0</v>
      </c>
      <c r="O196" s="53" t="n">
        <v>0</v>
      </c>
      <c r="P196" s="53" t="n">
        <v>-11550.86</v>
      </c>
      <c r="Q196" s="53" t="n">
        <v>0</v>
      </c>
      <c r="R196" s="53" t="n">
        <v>11550.86</v>
      </c>
      <c r="S196" s="53" t="n">
        <v>0</v>
      </c>
      <c r="T196" s="53" t="n">
        <v>2966.3</v>
      </c>
      <c r="U196" s="53" t="n">
        <v>0.2568</v>
      </c>
      <c r="V196" s="53" t="n">
        <v>100</v>
      </c>
      <c r="W196" s="53" t="n">
        <v>0.008699999999999999</v>
      </c>
      <c r="X196" s="53" t="n">
        <v>0</v>
      </c>
      <c r="Y196" s="53" t="n">
        <v>0</v>
      </c>
      <c r="Z196" s="53" t="n">
        <v>0</v>
      </c>
      <c r="AA196" s="53" t="n">
        <v>-808.5599999999999</v>
      </c>
      <c r="AB196" s="53" t="inlineStr">
        <is>
          <t>FALSE</t>
        </is>
      </c>
      <c r="AC196" s="53" t="inlineStr">
        <is>
          <t>FALSE</t>
        </is>
      </c>
    </row>
    <row r="197">
      <c r="A197" s="53" t="inlineStr">
        <is>
          <t>2026-06-17</t>
        </is>
      </c>
      <c r="B197" s="53" t="inlineStr">
        <is>
          <t>2426691</t>
        </is>
      </c>
      <c r="C197" s="53" t="inlineStr">
        <is>
          <t>DS.2025.2257 Courtyards of Russell Oaks 116</t>
        </is>
      </c>
      <c r="D197" s="53" t="inlineStr">
        <is>
          <t>DW</t>
        </is>
      </c>
      <c r="E197" s="53" t="inlineStr">
        <is>
          <t>(Unassigned)</t>
        </is>
      </c>
      <c r="F197" s="53" t="inlineStr">
        <is>
          <t>Big Dawg Drywall</t>
        </is>
      </c>
      <c r="G197" s="53" t="inlineStr">
        <is>
          <t>ACTIVE</t>
        </is>
      </c>
      <c r="H197" s="53" t="n">
        <v>6943.39</v>
      </c>
      <c r="I197" s="53" t="n">
        <v>0</v>
      </c>
      <c r="J197" s="53" t="n">
        <v>6943.39</v>
      </c>
      <c r="K197" s="53" t="n">
        <v>7429.43</v>
      </c>
      <c r="L197" s="53" t="n">
        <v>0</v>
      </c>
      <c r="M197" s="53" t="n">
        <v>5186.83</v>
      </c>
      <c r="N197" s="53" t="n">
        <v>0</v>
      </c>
      <c r="O197" s="53" t="n">
        <v>0</v>
      </c>
      <c r="P197" s="53" t="n">
        <v>-6943.39</v>
      </c>
      <c r="Q197" s="53" t="n">
        <v>0</v>
      </c>
      <c r="R197" s="53" t="n">
        <v>6943.39</v>
      </c>
      <c r="S197" s="53" t="n">
        <v>0</v>
      </c>
      <c r="T197" s="53" t="n">
        <v>1756.56</v>
      </c>
      <c r="U197" s="53" t="n">
        <v>0.253</v>
      </c>
      <c r="V197" s="53" t="n">
        <v>100</v>
      </c>
      <c r="W197" s="53" t="n">
        <v>0.0144</v>
      </c>
      <c r="X197" s="53" t="n">
        <v>0</v>
      </c>
      <c r="Y197" s="53" t="n">
        <v>0</v>
      </c>
      <c r="Z197" s="53" t="n">
        <v>0</v>
      </c>
      <c r="AA197" s="53" t="n">
        <v>-486.04</v>
      </c>
      <c r="AB197" s="53" t="inlineStr">
        <is>
          <t>FALSE</t>
        </is>
      </c>
      <c r="AC197" s="53" t="inlineStr">
        <is>
          <t>FALSE</t>
        </is>
      </c>
    </row>
    <row r="198">
      <c r="A198" s="53" t="inlineStr">
        <is>
          <t>2026-06-17</t>
        </is>
      </c>
      <c r="B198" s="53" t="inlineStr">
        <is>
          <t>2422257</t>
        </is>
      </c>
      <c r="C198" s="53" t="inlineStr">
        <is>
          <t>2025.1016 WBP Lot C</t>
        </is>
      </c>
      <c r="D198" s="53" t="inlineStr">
        <is>
          <t>TI</t>
        </is>
      </c>
      <c r="E198" s="53" t="inlineStr">
        <is>
          <t>Tommy Cohoat</t>
        </is>
      </c>
      <c r="F198" s="53" t="inlineStr">
        <is>
          <t>Patch Development</t>
        </is>
      </c>
      <c r="G198" s="53" t="inlineStr">
        <is>
          <t>ACTIVE</t>
        </is>
      </c>
      <c r="H198" s="53" t="n">
        <v>125700</v>
      </c>
      <c r="I198" s="53" t="n">
        <v>-30000</v>
      </c>
      <c r="J198" s="53" t="n">
        <v>125700</v>
      </c>
      <c r="K198" s="53" t="n">
        <v>112618.13</v>
      </c>
      <c r="L198" s="53" t="n">
        <v>53430</v>
      </c>
      <c r="M198" s="53" t="n">
        <v>109812.99</v>
      </c>
      <c r="N198" s="53" t="n">
        <v>2.0553</v>
      </c>
      <c r="O198" s="53" t="n">
        <v>258351.21</v>
      </c>
      <c r="P198" s="53" t="n">
        <v>132651.21</v>
      </c>
      <c r="Q198" s="53" t="n">
        <v>0</v>
      </c>
      <c r="R198" s="53" t="n">
        <v>0</v>
      </c>
      <c r="S198" s="53" t="n">
        <v>132651.21</v>
      </c>
      <c r="T198" s="53" t="n">
        <v>15887.01</v>
      </c>
      <c r="U198" s="53" t="n">
        <v>0.1264</v>
      </c>
      <c r="V198" s="53" t="n">
        <v>57.49</v>
      </c>
      <c r="W198" s="53" t="n">
        <v>0.0005</v>
      </c>
      <c r="X198" s="53" t="n">
        <v>0.5749</v>
      </c>
      <c r="Y198" s="53" t="n">
        <v>-0.5745</v>
      </c>
      <c r="Z198" s="53" t="n">
        <v>0</v>
      </c>
      <c r="AA198" s="53" t="n">
        <v>13081.87</v>
      </c>
      <c r="AB198" s="53" t="inlineStr">
        <is>
          <t>TRUE</t>
        </is>
      </c>
      <c r="AC198" s="53" t="inlineStr">
        <is>
          <t>TRUE</t>
        </is>
      </c>
    </row>
    <row r="199">
      <c r="A199" s="53" t="inlineStr">
        <is>
          <t>2026-06-17</t>
        </is>
      </c>
      <c r="B199" s="53" t="inlineStr">
        <is>
          <t>2414762</t>
        </is>
      </c>
      <c r="C199" s="53" t="inlineStr">
        <is>
          <t>2025.1013 Lucas Oil Corydon</t>
        </is>
      </c>
      <c r="D199" s="53" t="inlineStr">
        <is>
          <t>TI</t>
        </is>
      </c>
      <c r="E199" s="53" t="inlineStr">
        <is>
          <t>Shawn Welcher</t>
        </is>
      </c>
      <c r="F199" s="53" t="inlineStr">
        <is>
          <t>Meyer Najem</t>
        </is>
      </c>
      <c r="G199" s="53" t="inlineStr">
        <is>
          <t>ACTIVE</t>
        </is>
      </c>
      <c r="H199" s="53" t="n">
        <v>103243.16</v>
      </c>
      <c r="I199" s="53" t="n">
        <v>3243.16</v>
      </c>
      <c r="J199" s="53" t="n">
        <v>100000</v>
      </c>
      <c r="K199" s="53" t="n">
        <v>0</v>
      </c>
      <c r="L199" s="53" t="n">
        <v>59346.55</v>
      </c>
      <c r="M199" s="53" t="n">
        <v>59346.55</v>
      </c>
      <c r="N199" s="53" t="n">
        <v>1</v>
      </c>
      <c r="O199" s="53" t="n">
        <v>103243.16</v>
      </c>
      <c r="P199" s="53" t="n">
        <v>3243.16</v>
      </c>
      <c r="Q199" s="53" t="n">
        <v>3243.16</v>
      </c>
      <c r="R199" s="53" t="n">
        <v>0</v>
      </c>
      <c r="S199" s="53" t="n">
        <v>3243.16</v>
      </c>
      <c r="T199" s="53" t="n">
        <v>40653.45</v>
      </c>
      <c r="U199" s="53" t="n">
        <v>0.4065</v>
      </c>
      <c r="V199" s="53" t="n">
        <v>42.52</v>
      </c>
      <c r="W199" s="53" t="n">
        <v>0.0004</v>
      </c>
      <c r="X199" s="53" t="n">
        <v>0.4252</v>
      </c>
      <c r="Y199" s="53" t="n">
        <v>-0.4248</v>
      </c>
      <c r="Z199" s="53" t="n">
        <v>0</v>
      </c>
      <c r="AA199" s="53" t="n">
        <v>100000</v>
      </c>
      <c r="AB199" s="53" t="inlineStr">
        <is>
          <t>TRUE</t>
        </is>
      </c>
      <c r="AC199" s="53" t="inlineStr">
        <is>
          <t>TRUE</t>
        </is>
      </c>
    </row>
    <row r="200">
      <c r="A200" s="53" t="inlineStr">
        <is>
          <t>2026-06-17</t>
        </is>
      </c>
      <c r="B200" s="53" t="inlineStr">
        <is>
          <t>2412851</t>
        </is>
      </c>
      <c r="C200" s="53" t="inlineStr">
        <is>
          <t>2025.1012 Airport South Logistics Bldg. B</t>
        </is>
      </c>
      <c r="D200" s="53" t="inlineStr">
        <is>
          <t>TI</t>
        </is>
      </c>
      <c r="E200" s="53" t="inlineStr">
        <is>
          <t>Spencer Anderson</t>
        </is>
      </c>
      <c r="F200" s="53" t="inlineStr">
        <is>
          <t>ARCO Design/Build</t>
        </is>
      </c>
      <c r="G200" s="53" t="inlineStr">
        <is>
          <t>ACTIVE</t>
        </is>
      </c>
      <c r="H200" s="53" t="n">
        <v>128180</v>
      </c>
      <c r="I200" s="53" t="n">
        <v>115280</v>
      </c>
      <c r="J200" s="53" t="n">
        <v>103245.3</v>
      </c>
      <c r="K200" s="53" t="n">
        <v>9868.5</v>
      </c>
      <c r="L200" s="53" t="n">
        <v>97377</v>
      </c>
      <c r="M200" s="53" t="n">
        <v>97782.06</v>
      </c>
      <c r="N200" s="53" t="n">
        <v>1.0042</v>
      </c>
      <c r="O200" s="53" t="n">
        <v>128718.36</v>
      </c>
      <c r="P200" s="53" t="n">
        <v>25473.06</v>
      </c>
      <c r="Q200" s="53" t="n">
        <v>13463</v>
      </c>
      <c r="R200" s="53" t="n">
        <v>0</v>
      </c>
      <c r="S200" s="53" t="n">
        <v>25473.06</v>
      </c>
      <c r="T200" s="53" t="n">
        <v>16934.94</v>
      </c>
      <c r="U200" s="53" t="n">
        <v>0.1476</v>
      </c>
      <c r="V200" s="53" t="n">
        <v>24.03</v>
      </c>
      <c r="W200" s="53" t="n">
        <v>0.0002</v>
      </c>
      <c r="X200" s="53" t="n">
        <v>0.2403</v>
      </c>
      <c r="Y200" s="53" t="n">
        <v>-0.2401</v>
      </c>
      <c r="Z200" s="53" t="n">
        <v>11471.7</v>
      </c>
      <c r="AA200" s="53" t="n">
        <v>93376.8</v>
      </c>
      <c r="AB200" s="53" t="inlineStr">
        <is>
          <t>TRUE</t>
        </is>
      </c>
      <c r="AC200" s="53" t="inlineStr">
        <is>
          <t>TRUE</t>
        </is>
      </c>
    </row>
    <row r="201">
      <c r="A201" s="53" t="inlineStr">
        <is>
          <t>2026-06-17</t>
        </is>
      </c>
      <c r="B201" s="53" t="inlineStr">
        <is>
          <t>2412835</t>
        </is>
      </c>
      <c r="C201" s="53" t="inlineStr">
        <is>
          <t>2025.1011 Airport South Logistics Bldg. A</t>
        </is>
      </c>
      <c r="D201" s="53" t="inlineStr">
        <is>
          <t>TI</t>
        </is>
      </c>
      <c r="E201" s="53" t="inlineStr">
        <is>
          <t>Spencer Anderson</t>
        </is>
      </c>
      <c r="F201" s="53" t="inlineStr">
        <is>
          <t>ARCO Design/Build</t>
        </is>
      </c>
      <c r="G201" s="53" t="inlineStr">
        <is>
          <t>ACTIVE</t>
        </is>
      </c>
      <c r="H201" s="53" t="n">
        <v>134480</v>
      </c>
      <c r="I201" s="53" t="n">
        <v>115280</v>
      </c>
      <c r="J201" s="53" t="n">
        <v>0</v>
      </c>
      <c r="K201" s="53" t="n">
        <v>0</v>
      </c>
      <c r="L201" s="53" t="n">
        <v>82800</v>
      </c>
      <c r="M201" s="53" t="n">
        <v>42.24</v>
      </c>
      <c r="N201" s="53" t="n">
        <v>0.0005</v>
      </c>
      <c r="O201" s="53" t="n">
        <v>67.23999999999999</v>
      </c>
      <c r="P201" s="53" t="n">
        <v>67.23999999999999</v>
      </c>
      <c r="Q201" s="53" t="n">
        <v>68.59999999999999</v>
      </c>
      <c r="R201" s="53" t="n">
        <v>0</v>
      </c>
      <c r="S201" s="53" t="n">
        <v>67.23999999999999</v>
      </c>
      <c r="T201" s="53" t="n">
        <v>-42.24</v>
      </c>
      <c r="U201" s="53" t="n">
        <v>0</v>
      </c>
      <c r="V201" s="53" t="n">
        <v>38.43</v>
      </c>
      <c r="W201" s="53" t="n">
        <v>0.0003</v>
      </c>
      <c r="X201" s="53" t="n">
        <v>0.3843</v>
      </c>
      <c r="Y201" s="53" t="n">
        <v>-0.384</v>
      </c>
      <c r="Z201" s="53" t="n">
        <v>0</v>
      </c>
      <c r="AA201" s="53" t="n">
        <v>0</v>
      </c>
      <c r="AB201" s="53" t="inlineStr">
        <is>
          <t>TRUE</t>
        </is>
      </c>
      <c r="AC201" s="53" t="inlineStr">
        <is>
          <t>TRUE</t>
        </is>
      </c>
    </row>
    <row r="202">
      <c r="A202" s="53" t="inlineStr">
        <is>
          <t>2026-06-17</t>
        </is>
      </c>
      <c r="B202" s="53" t="inlineStr">
        <is>
          <t>2400949</t>
        </is>
      </c>
      <c r="C202" s="53" t="inlineStr">
        <is>
          <t>DS.2025.2243 5689 N Ohio Ridge Rd</t>
        </is>
      </c>
      <c r="D202" s="53" t="inlineStr">
        <is>
          <t>DW</t>
        </is>
      </c>
      <c r="E202" s="53" t="inlineStr">
        <is>
          <t>(Unassigned)</t>
        </is>
      </c>
      <c r="F202" s="53" t="inlineStr">
        <is>
          <t>GSI - Gregory Scott Inabnit LLC</t>
        </is>
      </c>
      <c r="G202" s="53" t="inlineStr">
        <is>
          <t>ACTIVE</t>
        </is>
      </c>
      <c r="H202" s="53" t="n">
        <v>7069.21</v>
      </c>
      <c r="I202" s="53" t="n">
        <v>0</v>
      </c>
      <c r="J202" s="53" t="n">
        <v>7069.21</v>
      </c>
      <c r="K202" s="53" t="n">
        <v>7564.05</v>
      </c>
      <c r="L202" s="53" t="n">
        <v>0</v>
      </c>
      <c r="M202" s="53" t="n">
        <v>4853.4</v>
      </c>
      <c r="N202" s="53" t="n">
        <v>0</v>
      </c>
      <c r="O202" s="53" t="n">
        <v>0</v>
      </c>
      <c r="P202" s="53" t="n">
        <v>-7069.21</v>
      </c>
      <c r="Q202" s="53" t="n">
        <v>0</v>
      </c>
      <c r="R202" s="53" t="n">
        <v>7069.21</v>
      </c>
      <c r="S202" s="53" t="n">
        <v>0</v>
      </c>
      <c r="T202" s="53" t="n">
        <v>2215.81</v>
      </c>
      <c r="U202" s="53" t="n">
        <v>0.3134</v>
      </c>
      <c r="V202" s="53" t="n">
        <v>100</v>
      </c>
      <c r="W202" s="53" t="n">
        <v>0.0141</v>
      </c>
      <c r="X202" s="53" t="n">
        <v>0</v>
      </c>
      <c r="Y202" s="53" t="n">
        <v>0</v>
      </c>
      <c r="Z202" s="53" t="n">
        <v>0</v>
      </c>
      <c r="AA202" s="53" t="n">
        <v>-494.84</v>
      </c>
      <c r="AB202" s="53" t="inlineStr">
        <is>
          <t>FALSE</t>
        </is>
      </c>
      <c r="AC202" s="53" t="inlineStr">
        <is>
          <t>FALSE</t>
        </is>
      </c>
    </row>
    <row r="203">
      <c r="A203" s="53" t="inlineStr">
        <is>
          <t>2026-06-17</t>
        </is>
      </c>
      <c r="B203" s="53" t="inlineStr">
        <is>
          <t>2400575</t>
        </is>
      </c>
      <c r="C203" s="53" t="inlineStr">
        <is>
          <t>DS.2025.2241 6915 SR 550</t>
        </is>
      </c>
      <c r="D203" s="53" t="inlineStr">
        <is>
          <t>DW</t>
        </is>
      </c>
      <c r="E203" s="53" t="inlineStr">
        <is>
          <t>(Unassigned)</t>
        </is>
      </c>
      <c r="F203" s="53" t="inlineStr">
        <is>
          <t>Total Drywall Solutions Inc</t>
        </is>
      </c>
      <c r="G203" s="53" t="inlineStr">
        <is>
          <t>ACTIVE</t>
        </is>
      </c>
      <c r="H203" s="53" t="n">
        <v>3247.36</v>
      </c>
      <c r="I203" s="53" t="n">
        <v>0</v>
      </c>
      <c r="J203" s="53" t="n">
        <v>3247.36</v>
      </c>
      <c r="K203" s="53" t="n">
        <v>0</v>
      </c>
      <c r="L203" s="53" t="n">
        <v>0</v>
      </c>
      <c r="M203" s="53" t="n">
        <v>2345.39</v>
      </c>
      <c r="N203" s="53" t="n">
        <v>0</v>
      </c>
      <c r="O203" s="53" t="n">
        <v>0</v>
      </c>
      <c r="P203" s="53" t="n">
        <v>-3247.36</v>
      </c>
      <c r="Q203" s="53" t="n">
        <v>0</v>
      </c>
      <c r="R203" s="53" t="n">
        <v>3247.36</v>
      </c>
      <c r="S203" s="53" t="n">
        <v>0</v>
      </c>
      <c r="T203" s="53" t="n">
        <v>901.97</v>
      </c>
      <c r="U203" s="53" t="n">
        <v>0.2778</v>
      </c>
      <c r="V203" s="53" t="n">
        <v>100</v>
      </c>
      <c r="W203" s="53" t="n">
        <v>0.0308</v>
      </c>
      <c r="X203" s="53" t="n">
        <v>0</v>
      </c>
      <c r="Y203" s="53" t="n">
        <v>0</v>
      </c>
      <c r="Z203" s="53" t="n">
        <v>0</v>
      </c>
      <c r="AA203" s="53" t="n">
        <v>3247.36</v>
      </c>
      <c r="AB203" s="53" t="inlineStr">
        <is>
          <t>FALSE</t>
        </is>
      </c>
      <c r="AC203" s="53" t="inlineStr">
        <is>
          <t>FALSE</t>
        </is>
      </c>
    </row>
    <row r="204">
      <c r="A204" s="53" t="inlineStr">
        <is>
          <t>2026-06-17</t>
        </is>
      </c>
      <c r="B204" s="53" t="inlineStr">
        <is>
          <t>2394684</t>
        </is>
      </c>
      <c r="C204" s="53" t="inlineStr">
        <is>
          <t>2025.1027 Indy Boat Co</t>
        </is>
      </c>
      <c r="D204" s="53" t="inlineStr">
        <is>
          <t>TI</t>
        </is>
      </c>
      <c r="E204" s="53" t="inlineStr">
        <is>
          <t>Trevor Anderson</t>
        </is>
      </c>
      <c r="F204" s="53" t="inlineStr">
        <is>
          <t>Raley Wake, LLC</t>
        </is>
      </c>
      <c r="G204" s="53" t="inlineStr">
        <is>
          <t>ACTIVE</t>
        </is>
      </c>
      <c r="H204" s="53" t="n">
        <v>242452.3</v>
      </c>
      <c r="I204" s="53" t="n">
        <v>24952.3</v>
      </c>
      <c r="J204" s="53" t="n">
        <v>136345.9</v>
      </c>
      <c r="K204" s="53" t="n">
        <v>136345.9</v>
      </c>
      <c r="L204" s="53" t="n">
        <v>128453.53</v>
      </c>
      <c r="M204" s="53" t="n">
        <v>124548.27</v>
      </c>
      <c r="N204" s="53" t="n">
        <v>0.9696</v>
      </c>
      <c r="O204" s="53" t="n">
        <v>235081.75</v>
      </c>
      <c r="P204" s="53" t="n">
        <v>98735.85000000001</v>
      </c>
      <c r="Q204" s="53" t="n">
        <v>86019.78999999999</v>
      </c>
      <c r="R204" s="53" t="n">
        <v>0</v>
      </c>
      <c r="S204" s="53" t="n">
        <v>98735.85000000001</v>
      </c>
      <c r="T204" s="53" t="n">
        <v>24513.18</v>
      </c>
      <c r="U204" s="53" t="n">
        <v>0.1645</v>
      </c>
      <c r="V204" s="53" t="n">
        <v>47.02</v>
      </c>
      <c r="W204" s="53" t="n">
        <v>0.0002</v>
      </c>
      <c r="X204" s="53" t="n">
        <v>0.4702</v>
      </c>
      <c r="Y204" s="53" t="n">
        <v>-0.47</v>
      </c>
      <c r="Z204" s="53" t="n">
        <v>12715.55</v>
      </c>
      <c r="AA204" s="53" t="n">
        <v>0</v>
      </c>
      <c r="AB204" s="53" t="inlineStr">
        <is>
          <t>TRUE</t>
        </is>
      </c>
      <c r="AC204" s="53" t="inlineStr">
        <is>
          <t>TRUE</t>
        </is>
      </c>
    </row>
    <row r="205">
      <c r="A205" s="53" t="inlineStr">
        <is>
          <t>2026-06-17</t>
        </is>
      </c>
      <c r="B205" s="53" t="inlineStr">
        <is>
          <t>2394677</t>
        </is>
      </c>
      <c r="C205" s="53" t="inlineStr">
        <is>
          <t>MF.2025.1019 Town &amp; Country Apartments (NY MF Project - 22 bldgs)</t>
        </is>
      </c>
      <c r="D205" s="53" t="inlineStr">
        <is>
          <t>MF</t>
        </is>
      </c>
      <c r="E205" s="53" t="inlineStr">
        <is>
          <t>Kelden Tyson</t>
        </is>
      </c>
      <c r="F205" s="53" t="inlineStr">
        <is>
          <t>Marous Brothers Construction</t>
        </is>
      </c>
      <c r="G205" s="53" t="inlineStr">
        <is>
          <t>ACTIVE</t>
        </is>
      </c>
      <c r="H205" s="53" t="n">
        <v>8064307.39</v>
      </c>
      <c r="I205" s="53" t="n">
        <v>327165.39</v>
      </c>
      <c r="J205" s="53" t="n">
        <v>2583844.73</v>
      </c>
      <c r="K205" s="53" t="n">
        <v>2028381.32</v>
      </c>
      <c r="L205" s="53" t="n">
        <v>4716881.88</v>
      </c>
      <c r="M205" s="53" t="n">
        <v>1661749.53</v>
      </c>
      <c r="N205" s="53" t="n">
        <v>0.3523</v>
      </c>
      <c r="O205" s="53" t="n">
        <v>2841055.49</v>
      </c>
      <c r="P205" s="53" t="n">
        <v>257210.76</v>
      </c>
      <c r="Q205" s="53" t="n">
        <v>121205.35</v>
      </c>
      <c r="R205" s="53" t="n">
        <v>0</v>
      </c>
      <c r="S205" s="53" t="n">
        <v>257210.76</v>
      </c>
      <c r="T205" s="53" t="n">
        <v>1058087.01</v>
      </c>
      <c r="U205" s="53" t="n">
        <v>0.389</v>
      </c>
      <c r="V205" s="53" t="n">
        <v>41.51</v>
      </c>
      <c r="W205" s="53" t="n">
        <v>0</v>
      </c>
      <c r="X205" s="53" t="n">
        <v>0.4151</v>
      </c>
      <c r="Y205" s="53" t="n">
        <v>-0.4151</v>
      </c>
      <c r="Z205" s="53" t="n">
        <v>135991.81</v>
      </c>
      <c r="AA205" s="53" t="n">
        <v>555463.41</v>
      </c>
      <c r="AB205" s="53" t="inlineStr">
        <is>
          <t>TRUE</t>
        </is>
      </c>
      <c r="AC205" s="53" t="inlineStr">
        <is>
          <t>TRUE</t>
        </is>
      </c>
    </row>
    <row r="206">
      <c r="A206" s="53" t="inlineStr">
        <is>
          <t>2026-06-17</t>
        </is>
      </c>
      <c r="B206" s="53" t="inlineStr">
        <is>
          <t>2389374</t>
        </is>
      </c>
      <c r="C206" s="53" t="inlineStr">
        <is>
          <t>DS.2025.2236 Courtyards of Russell Oaks 149,146</t>
        </is>
      </c>
      <c r="D206" s="53" t="inlineStr">
        <is>
          <t>DW</t>
        </is>
      </c>
      <c r="E206" s="53" t="inlineStr">
        <is>
          <t>(Unassigned)</t>
        </is>
      </c>
      <c r="F206" s="53" t="inlineStr">
        <is>
          <t>Big Dawg Drywall</t>
        </is>
      </c>
      <c r="G206" s="53" t="inlineStr">
        <is>
          <t>ACTIVE</t>
        </is>
      </c>
      <c r="H206" s="53" t="n">
        <v>650.16</v>
      </c>
      <c r="I206" s="53" t="n">
        <v>0</v>
      </c>
      <c r="J206" s="53" t="n">
        <v>650.16</v>
      </c>
      <c r="K206" s="53" t="n">
        <v>695.67</v>
      </c>
      <c r="L206" s="53" t="n">
        <v>0</v>
      </c>
      <c r="M206" s="53" t="n">
        <v>468.72</v>
      </c>
      <c r="N206" s="53" t="n">
        <v>0</v>
      </c>
      <c r="O206" s="53" t="n">
        <v>0</v>
      </c>
      <c r="P206" s="53" t="n">
        <v>-650.16</v>
      </c>
      <c r="Q206" s="53" t="n">
        <v>0</v>
      </c>
      <c r="R206" s="53" t="n">
        <v>650.16</v>
      </c>
      <c r="S206" s="53" t="n">
        <v>0</v>
      </c>
      <c r="T206" s="53" t="n">
        <v>181.44</v>
      </c>
      <c r="U206" s="53" t="n">
        <v>0.2791</v>
      </c>
      <c r="V206" s="53" t="n">
        <v>100</v>
      </c>
      <c r="W206" s="53" t="n">
        <v>0.1538</v>
      </c>
      <c r="X206" s="53" t="n">
        <v>0</v>
      </c>
      <c r="Y206" s="53" t="n">
        <v>0</v>
      </c>
      <c r="Z206" s="53" t="n">
        <v>0</v>
      </c>
      <c r="AA206" s="53" t="n">
        <v>-45.51</v>
      </c>
      <c r="AB206" s="53" t="inlineStr">
        <is>
          <t>FALSE</t>
        </is>
      </c>
      <c r="AC206" s="53" t="inlineStr">
        <is>
          <t>FALSE</t>
        </is>
      </c>
    </row>
    <row r="207">
      <c r="A207" s="53" t="inlineStr">
        <is>
          <t>2026-06-17</t>
        </is>
      </c>
      <c r="B207" s="53" t="inlineStr">
        <is>
          <t>2389077</t>
        </is>
      </c>
      <c r="C207" s="53" t="inlineStr">
        <is>
          <t>DS.2025.2235 18 Store Estates</t>
        </is>
      </c>
      <c r="D207" s="53" t="inlineStr">
        <is>
          <t>DW</t>
        </is>
      </c>
      <c r="E207" s="53" t="inlineStr">
        <is>
          <t>(Unassigned)</t>
        </is>
      </c>
      <c r="F207" s="53" t="inlineStr">
        <is>
          <t>Community Drywall</t>
        </is>
      </c>
      <c r="G207" s="53" t="inlineStr">
        <is>
          <t>ACTIVE</t>
        </is>
      </c>
      <c r="H207" s="53" t="n">
        <v>5273.96</v>
      </c>
      <c r="I207" s="53" t="n">
        <v>0</v>
      </c>
      <c r="J207" s="53" t="n">
        <v>5273.96</v>
      </c>
      <c r="K207" s="53" t="n">
        <v>0</v>
      </c>
      <c r="L207" s="53" t="n">
        <v>0</v>
      </c>
      <c r="M207" s="53" t="n">
        <v>3825.13</v>
      </c>
      <c r="N207" s="53" t="n">
        <v>0</v>
      </c>
      <c r="O207" s="53" t="n">
        <v>0</v>
      </c>
      <c r="P207" s="53" t="n">
        <v>-5273.96</v>
      </c>
      <c r="Q207" s="53" t="n">
        <v>0</v>
      </c>
      <c r="R207" s="53" t="n">
        <v>5273.96</v>
      </c>
      <c r="S207" s="53" t="n">
        <v>0</v>
      </c>
      <c r="T207" s="53" t="n">
        <v>1448.83</v>
      </c>
      <c r="U207" s="53" t="n">
        <v>0.2747</v>
      </c>
      <c r="V207" s="53" t="n">
        <v>100</v>
      </c>
      <c r="W207" s="53" t="n">
        <v>0.019</v>
      </c>
      <c r="X207" s="53" t="n">
        <v>0</v>
      </c>
      <c r="Y207" s="53" t="n">
        <v>0</v>
      </c>
      <c r="Z207" s="53" t="n">
        <v>0</v>
      </c>
      <c r="AA207" s="53" t="n">
        <v>5273.96</v>
      </c>
      <c r="AB207" s="53" t="inlineStr">
        <is>
          <t>FALSE</t>
        </is>
      </c>
      <c r="AC207" s="53" t="inlineStr">
        <is>
          <t>FALSE</t>
        </is>
      </c>
    </row>
    <row r="208">
      <c r="A208" s="53" t="inlineStr">
        <is>
          <t>2026-06-17</t>
        </is>
      </c>
      <c r="B208" s="53" t="inlineStr">
        <is>
          <t>2388892</t>
        </is>
      </c>
      <c r="C208" s="53" t="inlineStr">
        <is>
          <t>DS.2025.2234 Lot 4 Store Estates</t>
        </is>
      </c>
      <c r="D208" s="53" t="inlineStr">
        <is>
          <t>DW</t>
        </is>
      </c>
      <c r="E208" s="53" t="inlineStr">
        <is>
          <t>(Unassigned)</t>
        </is>
      </c>
      <c r="F208" s="53" t="inlineStr">
        <is>
          <t>Community Drywall</t>
        </is>
      </c>
      <c r="G208" s="53" t="inlineStr">
        <is>
          <t>ACTIVE</t>
        </is>
      </c>
      <c r="H208" s="53" t="n">
        <v>5095.88</v>
      </c>
      <c r="I208" s="53" t="n">
        <v>0</v>
      </c>
      <c r="J208" s="53" t="n">
        <v>5095.88</v>
      </c>
      <c r="K208" s="53" t="n">
        <v>0</v>
      </c>
      <c r="L208" s="53" t="n">
        <v>0</v>
      </c>
      <c r="M208" s="53" t="n">
        <v>3662.33</v>
      </c>
      <c r="N208" s="53" t="n">
        <v>0</v>
      </c>
      <c r="O208" s="53" t="n">
        <v>0</v>
      </c>
      <c r="P208" s="53" t="n">
        <v>-5095.88</v>
      </c>
      <c r="Q208" s="53" t="n">
        <v>0</v>
      </c>
      <c r="R208" s="53" t="n">
        <v>5095.88</v>
      </c>
      <c r="S208" s="53" t="n">
        <v>0</v>
      </c>
      <c r="T208" s="53" t="n">
        <v>1433.55</v>
      </c>
      <c r="U208" s="53" t="n">
        <v>0.2813</v>
      </c>
      <c r="V208" s="53" t="n">
        <v>100</v>
      </c>
      <c r="W208" s="53" t="n">
        <v>0.0196</v>
      </c>
      <c r="X208" s="53" t="n">
        <v>0</v>
      </c>
      <c r="Y208" s="53" t="n">
        <v>0</v>
      </c>
      <c r="Z208" s="53" t="n">
        <v>0</v>
      </c>
      <c r="AA208" s="53" t="n">
        <v>5095.88</v>
      </c>
      <c r="AB208" s="53" t="inlineStr">
        <is>
          <t>FALSE</t>
        </is>
      </c>
      <c r="AC208" s="53" t="inlineStr">
        <is>
          <t>FALSE</t>
        </is>
      </c>
    </row>
    <row r="209">
      <c r="A209" s="53" t="inlineStr">
        <is>
          <t>2026-06-17</t>
        </is>
      </c>
      <c r="B209" s="53" t="inlineStr">
        <is>
          <t>2388766</t>
        </is>
      </c>
      <c r="C209" s="53" t="inlineStr">
        <is>
          <t>DS.2025.2233 49 Bills Blvd</t>
        </is>
      </c>
      <c r="D209" s="53" t="inlineStr">
        <is>
          <t>DW</t>
        </is>
      </c>
      <c r="E209" s="53" t="inlineStr">
        <is>
          <t>(Unassigned)</t>
        </is>
      </c>
      <c r="F209" s="53" t="inlineStr">
        <is>
          <t>Kjt General Construction</t>
        </is>
      </c>
      <c r="G209" s="53" t="inlineStr">
        <is>
          <t>ACTIVE</t>
        </is>
      </c>
      <c r="H209" s="53" t="n">
        <v>2379.05</v>
      </c>
      <c r="I209" s="53" t="n">
        <v>0</v>
      </c>
      <c r="J209" s="53" t="n">
        <v>2379.05</v>
      </c>
      <c r="K209" s="53" t="n">
        <v>0</v>
      </c>
      <c r="L209" s="53" t="n">
        <v>0</v>
      </c>
      <c r="M209" s="53" t="n">
        <v>1672.2</v>
      </c>
      <c r="N209" s="53" t="n">
        <v>0</v>
      </c>
      <c r="O209" s="53" t="n">
        <v>0</v>
      </c>
      <c r="P209" s="53" t="n">
        <v>-2379.05</v>
      </c>
      <c r="Q209" s="53" t="n">
        <v>0</v>
      </c>
      <c r="R209" s="53" t="n">
        <v>2379.05</v>
      </c>
      <c r="S209" s="53" t="n">
        <v>0</v>
      </c>
      <c r="T209" s="53" t="n">
        <v>706.85</v>
      </c>
      <c r="U209" s="53" t="n">
        <v>0.2971</v>
      </c>
      <c r="V209" s="53" t="n">
        <v>100</v>
      </c>
      <c r="W209" s="53" t="n">
        <v>0.042</v>
      </c>
      <c r="X209" s="53" t="n">
        <v>0</v>
      </c>
      <c r="Y209" s="53" t="n">
        <v>0</v>
      </c>
      <c r="Z209" s="53" t="n">
        <v>0</v>
      </c>
      <c r="AA209" s="53" t="n">
        <v>2379.05</v>
      </c>
      <c r="AB209" s="53" t="inlineStr">
        <is>
          <t>FALSE</t>
        </is>
      </c>
      <c r="AC209" s="53" t="inlineStr">
        <is>
          <t>FALSE</t>
        </is>
      </c>
    </row>
    <row r="210">
      <c r="A210" s="53" t="inlineStr">
        <is>
          <t>2026-06-17</t>
        </is>
      </c>
      <c r="B210" s="53" t="inlineStr">
        <is>
          <t>2383587</t>
        </is>
      </c>
      <c r="C210" s="53" t="inlineStr">
        <is>
          <t>2025.1006 Keller Office</t>
        </is>
      </c>
      <c r="D210" s="53" t="inlineStr">
        <is>
          <t>TI</t>
        </is>
      </c>
      <c r="E210" s="53" t="inlineStr">
        <is>
          <t>Ben Garza</t>
        </is>
      </c>
      <c r="F210" s="53" t="inlineStr">
        <is>
          <t>ARCO Design/Build</t>
        </is>
      </c>
      <c r="G210" s="53" t="inlineStr">
        <is>
          <t>ACTIVE</t>
        </is>
      </c>
      <c r="H210" s="53" t="n">
        <v>276600</v>
      </c>
      <c r="I210" s="53" t="n">
        <v>242700</v>
      </c>
      <c r="J210" s="53" t="n">
        <v>191272.5</v>
      </c>
      <c r="K210" s="53" t="n">
        <v>0</v>
      </c>
      <c r="L210" s="53" t="n">
        <v>151740.65</v>
      </c>
      <c r="M210" s="53" t="n">
        <v>155439.2</v>
      </c>
      <c r="N210" s="53" t="n">
        <v>1.0244</v>
      </c>
      <c r="O210" s="53" t="n">
        <v>283349.04</v>
      </c>
      <c r="P210" s="53" t="n">
        <v>92076.53999999999</v>
      </c>
      <c r="Q210" s="53" t="n">
        <v>64075</v>
      </c>
      <c r="R210" s="53" t="n">
        <v>0</v>
      </c>
      <c r="S210" s="53" t="n">
        <v>92076.53999999999</v>
      </c>
      <c r="T210" s="53" t="n">
        <v>57085.8</v>
      </c>
      <c r="U210" s="53" t="n">
        <v>0.2686</v>
      </c>
      <c r="V210" s="53" t="n">
        <v>45.14</v>
      </c>
      <c r="W210" s="53" t="n">
        <v>0.0002</v>
      </c>
      <c r="X210" s="53" t="n">
        <v>0.4514</v>
      </c>
      <c r="Y210" s="53" t="n">
        <v>-0.4512</v>
      </c>
      <c r="Z210" s="53" t="n">
        <v>21252.5</v>
      </c>
      <c r="AA210" s="53" t="n">
        <v>191272.5</v>
      </c>
      <c r="AB210" s="53" t="inlineStr">
        <is>
          <t>TRUE</t>
        </is>
      </c>
      <c r="AC210" s="53" t="inlineStr">
        <is>
          <t>TRUE</t>
        </is>
      </c>
    </row>
    <row r="211">
      <c r="A211" s="53" t="inlineStr">
        <is>
          <t>2026-06-17</t>
        </is>
      </c>
      <c r="B211" s="53" t="inlineStr">
        <is>
          <t>2381339</t>
        </is>
      </c>
      <c r="C211" s="53" t="inlineStr">
        <is>
          <t>DS.2025.2228 Edgebrook Lot 72</t>
        </is>
      </c>
      <c r="D211" s="53" t="inlineStr">
        <is>
          <t>DW</t>
        </is>
      </c>
      <c r="E211" s="53" t="inlineStr">
        <is>
          <t>(Unassigned)</t>
        </is>
      </c>
      <c r="F211" s="53" t="inlineStr">
        <is>
          <t>Pro Fix Drywaller, LLC</t>
        </is>
      </c>
      <c r="G211" s="53" t="inlineStr">
        <is>
          <t>ACTIVE</t>
        </is>
      </c>
      <c r="H211" s="53" t="n">
        <v>6184.17</v>
      </c>
      <c r="I211" s="53" t="n">
        <v>0</v>
      </c>
      <c r="J211" s="53" t="n">
        <v>6184.17</v>
      </c>
      <c r="K211" s="53" t="n">
        <v>6617.06</v>
      </c>
      <c r="L211" s="53" t="n">
        <v>0</v>
      </c>
      <c r="M211" s="53" t="n">
        <v>4654.79</v>
      </c>
      <c r="N211" s="53" t="n">
        <v>0</v>
      </c>
      <c r="O211" s="53" t="n">
        <v>0</v>
      </c>
      <c r="P211" s="53" t="n">
        <v>-6184.17</v>
      </c>
      <c r="Q211" s="53" t="n">
        <v>0</v>
      </c>
      <c r="R211" s="53" t="n">
        <v>6184.17</v>
      </c>
      <c r="S211" s="53" t="n">
        <v>0</v>
      </c>
      <c r="T211" s="53" t="n">
        <v>1529.38</v>
      </c>
      <c r="U211" s="53" t="n">
        <v>0.2473</v>
      </c>
      <c r="V211" s="53" t="n">
        <v>100</v>
      </c>
      <c r="W211" s="53" t="n">
        <v>0.0162</v>
      </c>
      <c r="X211" s="53" t="n">
        <v>0</v>
      </c>
      <c r="Y211" s="53" t="n">
        <v>0</v>
      </c>
      <c r="Z211" s="53" t="n">
        <v>0</v>
      </c>
      <c r="AA211" s="53" t="n">
        <v>-432.89</v>
      </c>
      <c r="AB211" s="53" t="inlineStr">
        <is>
          <t>FALSE</t>
        </is>
      </c>
      <c r="AC211" s="53" t="inlineStr">
        <is>
          <t>FALSE</t>
        </is>
      </c>
    </row>
    <row r="212">
      <c r="A212" s="53" t="inlineStr">
        <is>
          <t>2026-06-17</t>
        </is>
      </c>
      <c r="B212" s="53" t="inlineStr">
        <is>
          <t>2368894</t>
        </is>
      </c>
      <c r="C212" s="53" t="inlineStr">
        <is>
          <t>DS.2025.2222 Courtyards of Russell Oaks 55</t>
        </is>
      </c>
      <c r="D212" s="53" t="inlineStr">
        <is>
          <t>DW</t>
        </is>
      </c>
      <c r="E212" s="53" t="inlineStr">
        <is>
          <t>(Unassigned)</t>
        </is>
      </c>
      <c r="F212" s="53" t="inlineStr">
        <is>
          <t>Big Dawg Drywall</t>
        </is>
      </c>
      <c r="G212" s="53" t="inlineStr">
        <is>
          <t>ACTIVE</t>
        </is>
      </c>
      <c r="H212" s="53" t="n">
        <v>6474.74</v>
      </c>
      <c r="I212" s="53" t="n">
        <v>0</v>
      </c>
      <c r="J212" s="53" t="n">
        <v>6474.74</v>
      </c>
      <c r="K212" s="53" t="n">
        <v>6927.97</v>
      </c>
      <c r="L212" s="53" t="n">
        <v>0</v>
      </c>
      <c r="M212" s="53" t="n">
        <v>4767.3</v>
      </c>
      <c r="N212" s="53" t="n">
        <v>0</v>
      </c>
      <c r="O212" s="53" t="n">
        <v>0</v>
      </c>
      <c r="P212" s="53" t="n">
        <v>-6474.74</v>
      </c>
      <c r="Q212" s="53" t="n">
        <v>0</v>
      </c>
      <c r="R212" s="53" t="n">
        <v>6474.74</v>
      </c>
      <c r="S212" s="53" t="n">
        <v>0</v>
      </c>
      <c r="T212" s="53" t="n">
        <v>1707.44</v>
      </c>
      <c r="U212" s="53" t="n">
        <v>0.2637</v>
      </c>
      <c r="V212" s="53" t="n">
        <v>100</v>
      </c>
      <c r="W212" s="53" t="n">
        <v>0.0154</v>
      </c>
      <c r="X212" s="53" t="n">
        <v>0</v>
      </c>
      <c r="Y212" s="53" t="n">
        <v>0</v>
      </c>
      <c r="Z212" s="53" t="n">
        <v>0</v>
      </c>
      <c r="AA212" s="53" t="n">
        <v>-453.23</v>
      </c>
      <c r="AB212" s="53" t="inlineStr">
        <is>
          <t>FALSE</t>
        </is>
      </c>
      <c r="AC212" s="53" t="inlineStr">
        <is>
          <t>FALSE</t>
        </is>
      </c>
    </row>
    <row r="213">
      <c r="A213" s="53" t="inlineStr">
        <is>
          <t>2026-06-17</t>
        </is>
      </c>
      <c r="B213" s="53" t="inlineStr">
        <is>
          <t>2367104</t>
        </is>
      </c>
      <c r="C213" s="53" t="inlineStr">
        <is>
          <t>DS.2025.2220 17 Store Estates</t>
        </is>
      </c>
      <c r="D213" s="53" t="inlineStr">
        <is>
          <t>DW</t>
        </is>
      </c>
      <c r="E213" s="53" t="inlineStr">
        <is>
          <t>(Unassigned)</t>
        </is>
      </c>
      <c r="F213" s="53" t="inlineStr">
        <is>
          <t>Community Drywall</t>
        </is>
      </c>
      <c r="G213" s="53" t="inlineStr">
        <is>
          <t>ACTIVE</t>
        </is>
      </c>
      <c r="H213" s="53" t="n">
        <v>4926.56</v>
      </c>
      <c r="I213" s="53" t="n">
        <v>0</v>
      </c>
      <c r="J213" s="53" t="n">
        <v>4926.56</v>
      </c>
      <c r="K213" s="53" t="n">
        <v>2522.74</v>
      </c>
      <c r="L213" s="53" t="n">
        <v>0</v>
      </c>
      <c r="M213" s="53" t="n">
        <v>3565.7</v>
      </c>
      <c r="N213" s="53" t="n">
        <v>0</v>
      </c>
      <c r="O213" s="53" t="n">
        <v>0</v>
      </c>
      <c r="P213" s="53" t="n">
        <v>-4926.56</v>
      </c>
      <c r="Q213" s="53" t="n">
        <v>0</v>
      </c>
      <c r="R213" s="53" t="n">
        <v>4926.56</v>
      </c>
      <c r="S213" s="53" t="n">
        <v>0</v>
      </c>
      <c r="T213" s="53" t="n">
        <v>1360.86</v>
      </c>
      <c r="U213" s="53" t="n">
        <v>0.2762</v>
      </c>
      <c r="V213" s="53" t="n">
        <v>100</v>
      </c>
      <c r="W213" s="53" t="n">
        <v>0.0203</v>
      </c>
      <c r="X213" s="53" t="n">
        <v>0</v>
      </c>
      <c r="Y213" s="53" t="n">
        <v>0</v>
      </c>
      <c r="Z213" s="53" t="n">
        <v>0</v>
      </c>
      <c r="AA213" s="53" t="n">
        <v>2403.82</v>
      </c>
      <c r="AB213" s="53" t="inlineStr">
        <is>
          <t>FALSE</t>
        </is>
      </c>
      <c r="AC213" s="53" t="inlineStr">
        <is>
          <t>FALSE</t>
        </is>
      </c>
    </row>
    <row r="214">
      <c r="A214" s="53" t="inlineStr">
        <is>
          <t>2026-06-17</t>
        </is>
      </c>
      <c r="B214" s="53" t="inlineStr">
        <is>
          <t>2366840</t>
        </is>
      </c>
      <c r="C214" s="53" t="inlineStr">
        <is>
          <t>DS.2025.2217 Davidson Residence</t>
        </is>
      </c>
      <c r="D214" s="53" t="inlineStr">
        <is>
          <t>DW</t>
        </is>
      </c>
      <c r="E214" s="53" t="inlineStr">
        <is>
          <t>(Unassigned)</t>
        </is>
      </c>
      <c r="F214" s="53" t="inlineStr">
        <is>
          <t>Flores Drywall and Remodeling LLC</t>
        </is>
      </c>
      <c r="G214" s="53" t="inlineStr">
        <is>
          <t>ACTIVE</t>
        </is>
      </c>
      <c r="H214" s="53" t="n">
        <v>18188.37</v>
      </c>
      <c r="I214" s="53" t="n">
        <v>0</v>
      </c>
      <c r="J214" s="53" t="n">
        <v>18188.37</v>
      </c>
      <c r="K214" s="53" t="n">
        <v>19461.56</v>
      </c>
      <c r="L214" s="53" t="n">
        <v>0</v>
      </c>
      <c r="M214" s="53" t="n">
        <v>13255.73</v>
      </c>
      <c r="N214" s="53" t="n">
        <v>0</v>
      </c>
      <c r="O214" s="53" t="n">
        <v>0</v>
      </c>
      <c r="P214" s="53" t="n">
        <v>-18188.37</v>
      </c>
      <c r="Q214" s="53" t="n">
        <v>0</v>
      </c>
      <c r="R214" s="53" t="n">
        <v>18188.37</v>
      </c>
      <c r="S214" s="53" t="n">
        <v>0</v>
      </c>
      <c r="T214" s="53" t="n">
        <v>4932.64</v>
      </c>
      <c r="U214" s="53" t="n">
        <v>0.2712</v>
      </c>
      <c r="V214" s="53" t="n">
        <v>100</v>
      </c>
      <c r="W214" s="53" t="n">
        <v>0.0055</v>
      </c>
      <c r="X214" s="53" t="n">
        <v>0</v>
      </c>
      <c r="Y214" s="53" t="n">
        <v>0</v>
      </c>
      <c r="Z214" s="53" t="n">
        <v>0</v>
      </c>
      <c r="AA214" s="53" t="n">
        <v>-1273.19</v>
      </c>
      <c r="AB214" s="53" t="inlineStr">
        <is>
          <t>FALSE</t>
        </is>
      </c>
      <c r="AC214" s="53" t="inlineStr">
        <is>
          <t>FALSE</t>
        </is>
      </c>
    </row>
    <row r="215">
      <c r="A215" s="53" t="inlineStr">
        <is>
          <t>2026-06-17</t>
        </is>
      </c>
      <c r="B215" s="53" t="inlineStr">
        <is>
          <t>2366626</t>
        </is>
      </c>
      <c r="C215" s="53" t="inlineStr">
        <is>
          <t>DS.2025.2215 44 Willow Springs</t>
        </is>
      </c>
      <c r="D215" s="53" t="inlineStr">
        <is>
          <t>DW</t>
        </is>
      </c>
      <c r="E215" s="53" t="inlineStr">
        <is>
          <t>(Unassigned)</t>
        </is>
      </c>
      <c r="F215" s="53" t="inlineStr">
        <is>
          <t>Flores Drywall and Remodeling LLC</t>
        </is>
      </c>
      <c r="G215" s="53" t="inlineStr">
        <is>
          <t>ACTIVE</t>
        </is>
      </c>
      <c r="H215" s="53" t="n">
        <v>25349.24</v>
      </c>
      <c r="I215" s="53" t="n">
        <v>0</v>
      </c>
      <c r="J215" s="53" t="n">
        <v>25349.24</v>
      </c>
      <c r="K215" s="53" t="n">
        <v>27123.69</v>
      </c>
      <c r="L215" s="53" t="n">
        <v>0</v>
      </c>
      <c r="M215" s="53" t="n">
        <v>18542.92</v>
      </c>
      <c r="N215" s="53" t="n">
        <v>0</v>
      </c>
      <c r="O215" s="53" t="n">
        <v>0</v>
      </c>
      <c r="P215" s="53" t="n">
        <v>-25349.24</v>
      </c>
      <c r="Q215" s="53" t="n">
        <v>0</v>
      </c>
      <c r="R215" s="53" t="n">
        <v>25349.24</v>
      </c>
      <c r="S215" s="53" t="n">
        <v>0</v>
      </c>
      <c r="T215" s="53" t="n">
        <v>6806.32</v>
      </c>
      <c r="U215" s="53" t="n">
        <v>0.2685</v>
      </c>
      <c r="V215" s="53" t="n">
        <v>100</v>
      </c>
      <c r="W215" s="53" t="n">
        <v>0.0039</v>
      </c>
      <c r="X215" s="53" t="n">
        <v>0</v>
      </c>
      <c r="Y215" s="53" t="n">
        <v>0</v>
      </c>
      <c r="Z215" s="53" t="n">
        <v>0</v>
      </c>
      <c r="AA215" s="53" t="n">
        <v>-1774.45</v>
      </c>
      <c r="AB215" s="53" t="inlineStr">
        <is>
          <t>FALSE</t>
        </is>
      </c>
      <c r="AC215" s="53" t="inlineStr">
        <is>
          <t>FALSE</t>
        </is>
      </c>
    </row>
    <row r="216">
      <c r="A216" s="53" t="inlineStr">
        <is>
          <t>2026-06-17</t>
        </is>
      </c>
      <c r="B216" s="53" t="inlineStr">
        <is>
          <t>2363817</t>
        </is>
      </c>
      <c r="C216" s="53" t="inlineStr">
        <is>
          <t>DS.2025.2212 Scottsdale Lot 70</t>
        </is>
      </c>
      <c r="D216" s="53" t="inlineStr">
        <is>
          <t>DW</t>
        </is>
      </c>
      <c r="E216" s="53" t="inlineStr">
        <is>
          <t>(Unassigned)</t>
        </is>
      </c>
      <c r="F216" s="53" t="inlineStr">
        <is>
          <t>Pro Fix Drywaller, LLC</t>
        </is>
      </c>
      <c r="G216" s="53" t="inlineStr">
        <is>
          <t>ACTIVE</t>
        </is>
      </c>
      <c r="H216" s="53" t="n">
        <v>6551.92</v>
      </c>
      <c r="I216" s="53" t="n">
        <v>0</v>
      </c>
      <c r="J216" s="53" t="n">
        <v>6551.92</v>
      </c>
      <c r="K216" s="53" t="n">
        <v>7010.55</v>
      </c>
      <c r="L216" s="53" t="n">
        <v>0</v>
      </c>
      <c r="M216" s="53" t="n">
        <v>5066.83</v>
      </c>
      <c r="N216" s="53" t="n">
        <v>0</v>
      </c>
      <c r="O216" s="53" t="n">
        <v>0</v>
      </c>
      <c r="P216" s="53" t="n">
        <v>-6551.92</v>
      </c>
      <c r="Q216" s="53" t="n">
        <v>0</v>
      </c>
      <c r="R216" s="53" t="n">
        <v>6551.92</v>
      </c>
      <c r="S216" s="53" t="n">
        <v>0</v>
      </c>
      <c r="T216" s="53" t="n">
        <v>1485.09</v>
      </c>
      <c r="U216" s="53" t="n">
        <v>0.2267</v>
      </c>
      <c r="V216" s="53" t="n">
        <v>100</v>
      </c>
      <c r="W216" s="53" t="n">
        <v>0.0153</v>
      </c>
      <c r="X216" s="53" t="n">
        <v>0</v>
      </c>
      <c r="Y216" s="53" t="n">
        <v>0</v>
      </c>
      <c r="Z216" s="53" t="n">
        <v>0</v>
      </c>
      <c r="AA216" s="53" t="n">
        <v>-458.63</v>
      </c>
      <c r="AB216" s="53" t="inlineStr">
        <is>
          <t>FALSE</t>
        </is>
      </c>
      <c r="AC216" s="53" t="inlineStr">
        <is>
          <t>FALSE</t>
        </is>
      </c>
    </row>
    <row r="217">
      <c r="A217" s="53" t="inlineStr">
        <is>
          <t>2026-06-17</t>
        </is>
      </c>
      <c r="B217" s="53" t="inlineStr">
        <is>
          <t>2363162</t>
        </is>
      </c>
      <c r="C217" s="53" t="inlineStr">
        <is>
          <t>DS.2025.2208 12921 Merlot Ln</t>
        </is>
      </c>
      <c r="D217" s="53" t="inlineStr">
        <is>
          <t>DW</t>
        </is>
      </c>
      <c r="E217" s="53" t="inlineStr">
        <is>
          <t>(Unassigned)</t>
        </is>
      </c>
      <c r="F217" s="53" t="inlineStr">
        <is>
          <t>M&amp;M Drywall</t>
        </is>
      </c>
      <c r="G217" s="53" t="inlineStr">
        <is>
          <t>ACTIVE</t>
        </is>
      </c>
      <c r="H217" s="53" t="n">
        <v>3783.98</v>
      </c>
      <c r="I217" s="53" t="n">
        <v>0</v>
      </c>
      <c r="J217" s="53" t="n">
        <v>3783.98</v>
      </c>
      <c r="K217" s="53" t="n">
        <v>4048.86</v>
      </c>
      <c r="L217" s="53" t="n">
        <v>0</v>
      </c>
      <c r="M217" s="53" t="n">
        <v>2627.37</v>
      </c>
      <c r="N217" s="53" t="n">
        <v>0</v>
      </c>
      <c r="O217" s="53" t="n">
        <v>0</v>
      </c>
      <c r="P217" s="53" t="n">
        <v>-3783.98</v>
      </c>
      <c r="Q217" s="53" t="n">
        <v>0</v>
      </c>
      <c r="R217" s="53" t="n">
        <v>3783.98</v>
      </c>
      <c r="S217" s="53" t="n">
        <v>0</v>
      </c>
      <c r="T217" s="53" t="n">
        <v>1156.61</v>
      </c>
      <c r="U217" s="53" t="n">
        <v>0.3057</v>
      </c>
      <c r="V217" s="53" t="n">
        <v>100</v>
      </c>
      <c r="W217" s="53" t="n">
        <v>0.0264</v>
      </c>
      <c r="X217" s="53" t="n">
        <v>0</v>
      </c>
      <c r="Y217" s="53" t="n">
        <v>0</v>
      </c>
      <c r="Z217" s="53" t="n">
        <v>0</v>
      </c>
      <c r="AA217" s="53" t="n">
        <v>-264.88</v>
      </c>
      <c r="AB217" s="53" t="inlineStr">
        <is>
          <t>FALSE</t>
        </is>
      </c>
      <c r="AC217" s="53" t="inlineStr">
        <is>
          <t>FALSE</t>
        </is>
      </c>
    </row>
    <row r="218">
      <c r="A218" s="53" t="inlineStr">
        <is>
          <t>2026-06-17</t>
        </is>
      </c>
      <c r="B218" s="53" t="inlineStr">
        <is>
          <t>2359929</t>
        </is>
      </c>
      <c r="C218" s="53" t="inlineStr">
        <is>
          <t>DS.2025.2207 Edgebrook Lot 219</t>
        </is>
      </c>
      <c r="D218" s="53" t="inlineStr">
        <is>
          <t>DW</t>
        </is>
      </c>
      <c r="E218" s="53" t="inlineStr">
        <is>
          <t>(Unassigned)</t>
        </is>
      </c>
      <c r="F218" s="53" t="inlineStr">
        <is>
          <t>Pro Fix Drywaller, LLC</t>
        </is>
      </c>
      <c r="G218" s="53" t="inlineStr">
        <is>
          <t>ACTIVE</t>
        </is>
      </c>
      <c r="H218" s="53" t="n">
        <v>7143.52</v>
      </c>
      <c r="I218" s="53" t="n">
        <v>0</v>
      </c>
      <c r="J218" s="53" t="n">
        <v>7143.52</v>
      </c>
      <c r="K218" s="53" t="n">
        <v>7643.57</v>
      </c>
      <c r="L218" s="53" t="n">
        <v>0</v>
      </c>
      <c r="M218" s="53" t="n">
        <v>5405.03</v>
      </c>
      <c r="N218" s="53" t="n">
        <v>0</v>
      </c>
      <c r="O218" s="53" t="n">
        <v>0</v>
      </c>
      <c r="P218" s="53" t="n">
        <v>-7143.52</v>
      </c>
      <c r="Q218" s="53" t="n">
        <v>0</v>
      </c>
      <c r="R218" s="53" t="n">
        <v>7143.52</v>
      </c>
      <c r="S218" s="53" t="n">
        <v>0</v>
      </c>
      <c r="T218" s="53" t="n">
        <v>1738.49</v>
      </c>
      <c r="U218" s="53" t="n">
        <v>0.2434</v>
      </c>
      <c r="V218" s="53" t="n">
        <v>100</v>
      </c>
      <c r="W218" s="53" t="n">
        <v>0.014</v>
      </c>
      <c r="X218" s="53" t="n">
        <v>0</v>
      </c>
      <c r="Y218" s="53" t="n">
        <v>0</v>
      </c>
      <c r="Z218" s="53" t="n">
        <v>0</v>
      </c>
      <c r="AA218" s="53" t="n">
        <v>-500.05</v>
      </c>
      <c r="AB218" s="53" t="inlineStr">
        <is>
          <t>FALSE</t>
        </is>
      </c>
      <c r="AC218" s="53" t="inlineStr">
        <is>
          <t>FALSE</t>
        </is>
      </c>
    </row>
    <row r="219">
      <c r="A219" s="53" t="inlineStr">
        <is>
          <t>2026-06-17</t>
        </is>
      </c>
      <c r="B219" s="53" t="inlineStr">
        <is>
          <t>2354747</t>
        </is>
      </c>
      <c r="C219" s="53" t="inlineStr">
        <is>
          <t>DS.2025.2202 M&amp;M Drywall Pickup 7-29</t>
        </is>
      </c>
      <c r="D219" s="53" t="inlineStr">
        <is>
          <t>DW</t>
        </is>
      </c>
      <c r="E219" s="53" t="inlineStr">
        <is>
          <t>(Unassigned)</t>
        </is>
      </c>
      <c r="F219" s="53" t="inlineStr">
        <is>
          <t>M&amp;M Drywall</t>
        </is>
      </c>
      <c r="G219" s="53" t="inlineStr">
        <is>
          <t>ACTIVE</t>
        </is>
      </c>
      <c r="H219" s="53" t="n">
        <v>70.5</v>
      </c>
      <c r="I219" s="53" t="n">
        <v>0</v>
      </c>
      <c r="J219" s="53" t="n">
        <v>70.5</v>
      </c>
      <c r="K219" s="53" t="n">
        <v>75.44</v>
      </c>
      <c r="L219" s="53" t="n">
        <v>0</v>
      </c>
      <c r="M219" s="53" t="n">
        <v>63.75</v>
      </c>
      <c r="N219" s="53" t="n">
        <v>0</v>
      </c>
      <c r="O219" s="53" t="n">
        <v>0</v>
      </c>
      <c r="P219" s="53" t="n">
        <v>-70.5</v>
      </c>
      <c r="Q219" s="53" t="n">
        <v>0</v>
      </c>
      <c r="R219" s="53" t="n">
        <v>70.5</v>
      </c>
      <c r="S219" s="53" t="n">
        <v>0</v>
      </c>
      <c r="T219" s="53" t="n">
        <v>6.75</v>
      </c>
      <c r="U219" s="53" t="n">
        <v>0.09569999999999999</v>
      </c>
      <c r="V219" s="53" t="n">
        <v>100</v>
      </c>
      <c r="W219" s="53" t="n">
        <v>1.4184</v>
      </c>
      <c r="X219" s="53" t="n">
        <v>0</v>
      </c>
      <c r="Y219" s="53" t="n">
        <v>0</v>
      </c>
      <c r="Z219" s="53" t="n">
        <v>0</v>
      </c>
      <c r="AA219" s="53" t="n">
        <v>-4.94</v>
      </c>
      <c r="AB219" s="53" t="inlineStr">
        <is>
          <t>FALSE</t>
        </is>
      </c>
      <c r="AC219" s="53" t="inlineStr">
        <is>
          <t>FALSE</t>
        </is>
      </c>
    </row>
    <row r="220">
      <c r="A220" s="53" t="inlineStr">
        <is>
          <t>2026-06-17</t>
        </is>
      </c>
      <c r="B220" s="53" t="inlineStr">
        <is>
          <t>2350460</t>
        </is>
      </c>
      <c r="C220" s="53" t="inlineStr">
        <is>
          <t>DS.2025.2197 Edgebrook Lot 199</t>
        </is>
      </c>
      <c r="D220" s="53" t="inlineStr">
        <is>
          <t>DW</t>
        </is>
      </c>
      <c r="E220" s="53" t="inlineStr">
        <is>
          <t>(Unassigned)</t>
        </is>
      </c>
      <c r="F220" s="53" t="inlineStr">
        <is>
          <t>Pro Fix Drywaller, LLC</t>
        </is>
      </c>
      <c r="G220" s="53" t="inlineStr">
        <is>
          <t>ACTIVE</t>
        </is>
      </c>
      <c r="H220" s="53" t="n">
        <v>6807.24</v>
      </c>
      <c r="I220" s="53" t="n">
        <v>0</v>
      </c>
      <c r="J220" s="53" t="n">
        <v>6807.24</v>
      </c>
      <c r="K220" s="53" t="n">
        <v>7283.75</v>
      </c>
      <c r="L220" s="53" t="n">
        <v>0</v>
      </c>
      <c r="M220" s="53" t="n">
        <v>5249.46</v>
      </c>
      <c r="N220" s="53" t="n">
        <v>0</v>
      </c>
      <c r="O220" s="53" t="n">
        <v>0</v>
      </c>
      <c r="P220" s="53" t="n">
        <v>-6807.24</v>
      </c>
      <c r="Q220" s="53" t="n">
        <v>0</v>
      </c>
      <c r="R220" s="53" t="n">
        <v>6807.24</v>
      </c>
      <c r="S220" s="53" t="n">
        <v>0</v>
      </c>
      <c r="T220" s="53" t="n">
        <v>1557.78</v>
      </c>
      <c r="U220" s="53" t="n">
        <v>0.2288</v>
      </c>
      <c r="V220" s="53" t="n">
        <v>100</v>
      </c>
      <c r="W220" s="53" t="n">
        <v>0.0147</v>
      </c>
      <c r="X220" s="53" t="n">
        <v>0</v>
      </c>
      <c r="Y220" s="53" t="n">
        <v>0</v>
      </c>
      <c r="Z220" s="53" t="n">
        <v>0</v>
      </c>
      <c r="AA220" s="53" t="n">
        <v>-476.51</v>
      </c>
      <c r="AB220" s="53" t="inlineStr">
        <is>
          <t>FALSE</t>
        </is>
      </c>
      <c r="AC220" s="53" t="inlineStr">
        <is>
          <t>FALSE</t>
        </is>
      </c>
    </row>
    <row r="221">
      <c r="A221" s="53" t="inlineStr">
        <is>
          <t>2026-06-17</t>
        </is>
      </c>
      <c r="B221" s="53" t="inlineStr">
        <is>
          <t>2350360</t>
        </is>
      </c>
      <c r="C221" s="53" t="inlineStr">
        <is>
          <t>DS.2025.2196 1718 Bellefontaine St</t>
        </is>
      </c>
      <c r="D221" s="53" t="inlineStr">
        <is>
          <t>DW</t>
        </is>
      </c>
      <c r="E221" s="53" t="inlineStr">
        <is>
          <t>(Unassigned)</t>
        </is>
      </c>
      <c r="F221" s="53" t="inlineStr">
        <is>
          <t>Pro Fix Drywaller, LLC</t>
        </is>
      </c>
      <c r="G221" s="53" t="inlineStr">
        <is>
          <t>ACTIVE</t>
        </is>
      </c>
      <c r="H221" s="53" t="n">
        <v>5731.96</v>
      </c>
      <c r="I221" s="53" t="n">
        <v>0</v>
      </c>
      <c r="J221" s="53" t="n">
        <v>5731.96</v>
      </c>
      <c r="K221" s="53" t="n">
        <v>6133.2</v>
      </c>
      <c r="L221" s="53" t="n">
        <v>0</v>
      </c>
      <c r="M221" s="53" t="n">
        <v>4347.15</v>
      </c>
      <c r="N221" s="53" t="n">
        <v>0</v>
      </c>
      <c r="O221" s="53" t="n">
        <v>0</v>
      </c>
      <c r="P221" s="53" t="n">
        <v>-5731.96</v>
      </c>
      <c r="Q221" s="53" t="n">
        <v>0</v>
      </c>
      <c r="R221" s="53" t="n">
        <v>5731.96</v>
      </c>
      <c r="S221" s="53" t="n">
        <v>0</v>
      </c>
      <c r="T221" s="53" t="n">
        <v>1384.81</v>
      </c>
      <c r="U221" s="53" t="n">
        <v>0.2416</v>
      </c>
      <c r="V221" s="53" t="n">
        <v>100</v>
      </c>
      <c r="W221" s="53" t="n">
        <v>0.0174</v>
      </c>
      <c r="X221" s="53" t="n">
        <v>0</v>
      </c>
      <c r="Y221" s="53" t="n">
        <v>0</v>
      </c>
      <c r="Z221" s="53" t="n">
        <v>0</v>
      </c>
      <c r="AA221" s="53" t="n">
        <v>-401.24</v>
      </c>
      <c r="AB221" s="53" t="inlineStr">
        <is>
          <t>FALSE</t>
        </is>
      </c>
      <c r="AC221" s="53" t="inlineStr">
        <is>
          <t>FALSE</t>
        </is>
      </c>
    </row>
    <row r="222">
      <c r="A222" s="53" t="inlineStr">
        <is>
          <t>2026-06-17</t>
        </is>
      </c>
      <c r="B222" s="53" t="inlineStr">
        <is>
          <t>2349208</t>
        </is>
      </c>
      <c r="C222" s="53" t="inlineStr">
        <is>
          <t>DS.2025.2194 GSI House 10</t>
        </is>
      </c>
      <c r="D222" s="53" t="inlineStr">
        <is>
          <t>DW</t>
        </is>
      </c>
      <c r="E222" s="53" t="inlineStr">
        <is>
          <t>(Unassigned)</t>
        </is>
      </c>
      <c r="F222" s="53" t="inlineStr">
        <is>
          <t>GSI - Gregory Scott Inabnit LLC</t>
        </is>
      </c>
      <c r="G222" s="53" t="inlineStr">
        <is>
          <t>ACTIVE</t>
        </is>
      </c>
      <c r="H222" s="53" t="n">
        <v>4071.34</v>
      </c>
      <c r="I222" s="53" t="n">
        <v>0</v>
      </c>
      <c r="J222" s="53" t="n">
        <v>4071.34</v>
      </c>
      <c r="K222" s="53" t="n">
        <v>4356.33</v>
      </c>
      <c r="L222" s="53" t="n">
        <v>0</v>
      </c>
      <c r="M222" s="53" t="n">
        <v>2729</v>
      </c>
      <c r="N222" s="53" t="n">
        <v>0</v>
      </c>
      <c r="O222" s="53" t="n">
        <v>0</v>
      </c>
      <c r="P222" s="53" t="n">
        <v>-4071.34</v>
      </c>
      <c r="Q222" s="53" t="n">
        <v>0</v>
      </c>
      <c r="R222" s="53" t="n">
        <v>4071.34</v>
      </c>
      <c r="S222" s="53" t="n">
        <v>0</v>
      </c>
      <c r="T222" s="53" t="n">
        <v>1342.34</v>
      </c>
      <c r="U222" s="53" t="n">
        <v>0.3297</v>
      </c>
      <c r="V222" s="53" t="n">
        <v>100</v>
      </c>
      <c r="W222" s="53" t="n">
        <v>0.0246</v>
      </c>
      <c r="X222" s="53" t="n">
        <v>0</v>
      </c>
      <c r="Y222" s="53" t="n">
        <v>0</v>
      </c>
      <c r="Z222" s="53" t="n">
        <v>0</v>
      </c>
      <c r="AA222" s="53" t="n">
        <v>-284.99</v>
      </c>
      <c r="AB222" s="53" t="inlineStr">
        <is>
          <t>FALSE</t>
        </is>
      </c>
      <c r="AC222" s="53" t="inlineStr">
        <is>
          <t>FALSE</t>
        </is>
      </c>
    </row>
    <row r="223">
      <c r="A223" s="53" t="inlineStr">
        <is>
          <t>2026-06-17</t>
        </is>
      </c>
      <c r="B223" s="53" t="inlineStr">
        <is>
          <t>2346918</t>
        </is>
      </c>
      <c r="C223" s="53" t="inlineStr">
        <is>
          <t>DS.2025.2191 Edgebrook Lot 192</t>
        </is>
      </c>
      <c r="D223" s="53" t="inlineStr">
        <is>
          <t>DW</t>
        </is>
      </c>
      <c r="E223" s="53" t="inlineStr">
        <is>
          <t>(Unassigned)</t>
        </is>
      </c>
      <c r="F223" s="53" t="inlineStr">
        <is>
          <t>Pro Fix Drywaller, LLC</t>
        </is>
      </c>
      <c r="G223" s="53" t="inlineStr">
        <is>
          <t>ACTIVE</t>
        </is>
      </c>
      <c r="H223" s="53" t="n">
        <v>7167.06</v>
      </c>
      <c r="I223" s="53" t="n">
        <v>0</v>
      </c>
      <c r="J223" s="53" t="n">
        <v>7167.06</v>
      </c>
      <c r="K223" s="53" t="n">
        <v>7668.75</v>
      </c>
      <c r="L223" s="53" t="n">
        <v>0</v>
      </c>
      <c r="M223" s="53" t="n">
        <v>5419.06</v>
      </c>
      <c r="N223" s="53" t="n">
        <v>0</v>
      </c>
      <c r="O223" s="53" t="n">
        <v>0</v>
      </c>
      <c r="P223" s="53" t="n">
        <v>-7167.06</v>
      </c>
      <c r="Q223" s="53" t="n">
        <v>0</v>
      </c>
      <c r="R223" s="53" t="n">
        <v>7167.06</v>
      </c>
      <c r="S223" s="53" t="n">
        <v>0</v>
      </c>
      <c r="T223" s="53" t="n">
        <v>1748</v>
      </c>
      <c r="U223" s="53" t="n">
        <v>0.2439</v>
      </c>
      <c r="V223" s="53" t="n">
        <v>100</v>
      </c>
      <c r="W223" s="53" t="n">
        <v>0.014</v>
      </c>
      <c r="X223" s="53" t="n">
        <v>0</v>
      </c>
      <c r="Y223" s="53" t="n">
        <v>0</v>
      </c>
      <c r="Z223" s="53" t="n">
        <v>0</v>
      </c>
      <c r="AA223" s="53" t="n">
        <v>-501.69</v>
      </c>
      <c r="AB223" s="53" t="inlineStr">
        <is>
          <t>FALSE</t>
        </is>
      </c>
      <c r="AC223" s="53" t="inlineStr">
        <is>
          <t>FALSE</t>
        </is>
      </c>
    </row>
    <row r="224">
      <c r="A224" s="53" t="inlineStr">
        <is>
          <t>2026-06-17</t>
        </is>
      </c>
      <c r="B224" s="53" t="inlineStr">
        <is>
          <t>2343287</t>
        </is>
      </c>
      <c r="C224" s="53" t="inlineStr">
        <is>
          <t>DS.2025.2189 1022 E 3rd Bloomington</t>
        </is>
      </c>
      <c r="D224" s="53" t="inlineStr">
        <is>
          <t>DW</t>
        </is>
      </c>
      <c r="E224" s="53" t="inlineStr">
        <is>
          <t>(Unassigned)</t>
        </is>
      </c>
      <c r="F224" s="53" t="inlineStr">
        <is>
          <t>Kjt General Construction</t>
        </is>
      </c>
      <c r="G224" s="53" t="inlineStr">
        <is>
          <t>ACTIVE</t>
        </is>
      </c>
      <c r="H224" s="53" t="n">
        <v>3332.7</v>
      </c>
      <c r="I224" s="53" t="n">
        <v>0</v>
      </c>
      <c r="J224" s="53" t="n">
        <v>3332.7</v>
      </c>
      <c r="K224" s="53" t="n">
        <v>0</v>
      </c>
      <c r="L224" s="53" t="n">
        <v>0</v>
      </c>
      <c r="M224" s="53" t="n">
        <v>2406.3</v>
      </c>
      <c r="N224" s="53" t="n">
        <v>0</v>
      </c>
      <c r="O224" s="53" t="n">
        <v>0</v>
      </c>
      <c r="P224" s="53" t="n">
        <v>-3332.7</v>
      </c>
      <c r="Q224" s="53" t="n">
        <v>0</v>
      </c>
      <c r="R224" s="53" t="n">
        <v>3332.7</v>
      </c>
      <c r="S224" s="53" t="n">
        <v>0</v>
      </c>
      <c r="T224" s="53" t="n">
        <v>926.4</v>
      </c>
      <c r="U224" s="53" t="n">
        <v>0.278</v>
      </c>
      <c r="V224" s="53" t="n">
        <v>100</v>
      </c>
      <c r="W224" s="53" t="n">
        <v>0.03</v>
      </c>
      <c r="X224" s="53" t="n">
        <v>0</v>
      </c>
      <c r="Y224" s="53" t="n">
        <v>0</v>
      </c>
      <c r="Z224" s="53" t="n">
        <v>0</v>
      </c>
      <c r="AA224" s="53" t="n">
        <v>3332.7</v>
      </c>
      <c r="AB224" s="53" t="inlineStr">
        <is>
          <t>FALSE</t>
        </is>
      </c>
      <c r="AC224" s="53" t="inlineStr">
        <is>
          <t>FALSE</t>
        </is>
      </c>
    </row>
    <row r="225">
      <c r="A225" s="53" t="inlineStr">
        <is>
          <t>2026-06-17</t>
        </is>
      </c>
      <c r="B225" s="53" t="inlineStr">
        <is>
          <t>2340132</t>
        </is>
      </c>
      <c r="C225" s="53" t="inlineStr">
        <is>
          <t>DS.2025.2187 Crawford Res, 880 Baywood Court</t>
        </is>
      </c>
      <c r="D225" s="53" t="inlineStr">
        <is>
          <t>DW</t>
        </is>
      </c>
      <c r="E225" s="53" t="inlineStr">
        <is>
          <t>(Unassigned)</t>
        </is>
      </c>
      <c r="F225" s="53" t="inlineStr">
        <is>
          <t>Flores Drywall and Remodeling LLC</t>
        </is>
      </c>
      <c r="G225" s="53" t="inlineStr">
        <is>
          <t>ACTIVE</t>
        </is>
      </c>
      <c r="H225" s="53" t="n">
        <v>7213</v>
      </c>
      <c r="I225" s="53" t="n">
        <v>0</v>
      </c>
      <c r="J225" s="53" t="n">
        <v>7213</v>
      </c>
      <c r="K225" s="53" t="n">
        <v>7717.91</v>
      </c>
      <c r="L225" s="53" t="n">
        <v>0</v>
      </c>
      <c r="M225" s="53" t="n">
        <v>4224.42</v>
      </c>
      <c r="N225" s="53" t="n">
        <v>0</v>
      </c>
      <c r="O225" s="53" t="n">
        <v>0</v>
      </c>
      <c r="P225" s="53" t="n">
        <v>-7213</v>
      </c>
      <c r="Q225" s="53" t="n">
        <v>0</v>
      </c>
      <c r="R225" s="53" t="n">
        <v>7213</v>
      </c>
      <c r="S225" s="53" t="n">
        <v>0</v>
      </c>
      <c r="T225" s="53" t="n">
        <v>2988.58</v>
      </c>
      <c r="U225" s="53" t="n">
        <v>0.4143</v>
      </c>
      <c r="V225" s="53" t="n">
        <v>100</v>
      </c>
      <c r="W225" s="53" t="n">
        <v>0.0139</v>
      </c>
      <c r="X225" s="53" t="n">
        <v>0</v>
      </c>
      <c r="Y225" s="53" t="n">
        <v>0</v>
      </c>
      <c r="Z225" s="53" t="n">
        <v>0</v>
      </c>
      <c r="AA225" s="53" t="n">
        <v>-504.91</v>
      </c>
      <c r="AB225" s="53" t="inlineStr">
        <is>
          <t>FALSE</t>
        </is>
      </c>
      <c r="AC225" s="53" t="inlineStr">
        <is>
          <t>FALSE</t>
        </is>
      </c>
    </row>
    <row r="226">
      <c r="A226" s="53" t="inlineStr">
        <is>
          <t>2026-06-17</t>
        </is>
      </c>
      <c r="B226" s="53" t="inlineStr">
        <is>
          <t>2340035</t>
        </is>
      </c>
      <c r="C226" s="53" t="inlineStr">
        <is>
          <t>DS.2025.2186 Bloomington Triplex Unit 3</t>
        </is>
      </c>
      <c r="D226" s="53" t="inlineStr">
        <is>
          <t>DW</t>
        </is>
      </c>
      <c r="E226" s="53" t="inlineStr">
        <is>
          <t>(Unassigned)</t>
        </is>
      </c>
      <c r="F226" s="53" t="inlineStr">
        <is>
          <t>GSI - Gregory Scott Inabnit LLC</t>
        </is>
      </c>
      <c r="G226" s="53" t="inlineStr">
        <is>
          <t>ACTIVE</t>
        </is>
      </c>
      <c r="H226" s="53" t="n">
        <v>6148.53</v>
      </c>
      <c r="I226" s="53" t="n">
        <v>0</v>
      </c>
      <c r="J226" s="53" t="n">
        <v>6148.53</v>
      </c>
      <c r="K226" s="53" t="n">
        <v>6578.93</v>
      </c>
      <c r="L226" s="53" t="n">
        <v>0</v>
      </c>
      <c r="M226" s="53" t="n">
        <v>4331.05</v>
      </c>
      <c r="N226" s="53" t="n">
        <v>0</v>
      </c>
      <c r="O226" s="53" t="n">
        <v>0</v>
      </c>
      <c r="P226" s="53" t="n">
        <v>-6148.53</v>
      </c>
      <c r="Q226" s="53" t="n">
        <v>0</v>
      </c>
      <c r="R226" s="53" t="n">
        <v>6148.53</v>
      </c>
      <c r="S226" s="53" t="n">
        <v>0</v>
      </c>
      <c r="T226" s="53" t="n">
        <v>1817.48</v>
      </c>
      <c r="U226" s="53" t="n">
        <v>0.2956</v>
      </c>
      <c r="V226" s="53" t="n">
        <v>100</v>
      </c>
      <c r="W226" s="53" t="n">
        <v>0.0163</v>
      </c>
      <c r="X226" s="53" t="n">
        <v>0</v>
      </c>
      <c r="Y226" s="53" t="n">
        <v>0</v>
      </c>
      <c r="Z226" s="53" t="n">
        <v>0</v>
      </c>
      <c r="AA226" s="53" t="n">
        <v>-430.4</v>
      </c>
      <c r="AB226" s="53" t="inlineStr">
        <is>
          <t>FALSE</t>
        </is>
      </c>
      <c r="AC226" s="53" t="inlineStr">
        <is>
          <t>FALSE</t>
        </is>
      </c>
    </row>
    <row r="227">
      <c r="A227" s="53" t="inlineStr">
        <is>
          <t>2026-06-17</t>
        </is>
      </c>
      <c r="B227" s="53" t="inlineStr">
        <is>
          <t>2340013</t>
        </is>
      </c>
      <c r="C227" s="53" t="inlineStr">
        <is>
          <t>DS.2025.2185 Bloomington Triplex Middle Unit</t>
        </is>
      </c>
      <c r="D227" s="53" t="inlineStr">
        <is>
          <t>DW</t>
        </is>
      </c>
      <c r="E227" s="53" t="inlineStr">
        <is>
          <t>(Unassigned)</t>
        </is>
      </c>
      <c r="F227" s="53" t="inlineStr">
        <is>
          <t>GSI - Gregory Scott Inabnit LLC</t>
        </is>
      </c>
      <c r="G227" s="53" t="inlineStr">
        <is>
          <t>ACTIVE</t>
        </is>
      </c>
      <c r="H227" s="53" t="n">
        <v>3935.7</v>
      </c>
      <c r="I227" s="53" t="n">
        <v>0</v>
      </c>
      <c r="J227" s="53" t="n">
        <v>3935.7</v>
      </c>
      <c r="K227" s="53" t="n">
        <v>4211.2</v>
      </c>
      <c r="L227" s="53" t="n">
        <v>0</v>
      </c>
      <c r="M227" s="53" t="n">
        <v>2826.14</v>
      </c>
      <c r="N227" s="53" t="n">
        <v>0</v>
      </c>
      <c r="O227" s="53" t="n">
        <v>0</v>
      </c>
      <c r="P227" s="53" t="n">
        <v>-3935.7</v>
      </c>
      <c r="Q227" s="53" t="n">
        <v>0</v>
      </c>
      <c r="R227" s="53" t="n">
        <v>3935.7</v>
      </c>
      <c r="S227" s="53" t="n">
        <v>0</v>
      </c>
      <c r="T227" s="53" t="n">
        <v>1109.56</v>
      </c>
      <c r="U227" s="53" t="n">
        <v>0.2819</v>
      </c>
      <c r="V227" s="53" t="n">
        <v>100</v>
      </c>
      <c r="W227" s="53" t="n">
        <v>0.0254</v>
      </c>
      <c r="X227" s="53" t="n">
        <v>0</v>
      </c>
      <c r="Y227" s="53" t="n">
        <v>0</v>
      </c>
      <c r="Z227" s="53" t="n">
        <v>0</v>
      </c>
      <c r="AA227" s="53" t="n">
        <v>-275.5</v>
      </c>
      <c r="AB227" s="53" t="inlineStr">
        <is>
          <t>FALSE</t>
        </is>
      </c>
      <c r="AC227" s="53" t="inlineStr">
        <is>
          <t>FALSE</t>
        </is>
      </c>
    </row>
    <row r="228">
      <c r="A228" s="53" t="inlineStr">
        <is>
          <t>2026-06-17</t>
        </is>
      </c>
      <c r="B228" s="53" t="inlineStr">
        <is>
          <t>2339995</t>
        </is>
      </c>
      <c r="C228" s="53" t="inlineStr">
        <is>
          <t>DS.2025.2184 Bloomington Triplex Unit 1</t>
        </is>
      </c>
      <c r="D228" s="53" t="inlineStr">
        <is>
          <t>DW</t>
        </is>
      </c>
      <c r="E228" s="53" t="inlineStr">
        <is>
          <t>(Unassigned)</t>
        </is>
      </c>
      <c r="F228" s="53" t="inlineStr">
        <is>
          <t>GSI - Gregory Scott Inabnit LLC</t>
        </is>
      </c>
      <c r="G228" s="53" t="inlineStr">
        <is>
          <t>ACTIVE</t>
        </is>
      </c>
      <c r="H228" s="53" t="n">
        <v>5737.8</v>
      </c>
      <c r="I228" s="53" t="n">
        <v>0</v>
      </c>
      <c r="J228" s="53" t="n">
        <v>5737.8</v>
      </c>
      <c r="K228" s="53" t="n">
        <v>6139.45</v>
      </c>
      <c r="L228" s="53" t="n">
        <v>0</v>
      </c>
      <c r="M228" s="53" t="n">
        <v>4054.36</v>
      </c>
      <c r="N228" s="53" t="n">
        <v>0</v>
      </c>
      <c r="O228" s="53" t="n">
        <v>0</v>
      </c>
      <c r="P228" s="53" t="n">
        <v>-5737.8</v>
      </c>
      <c r="Q228" s="53" t="n">
        <v>0</v>
      </c>
      <c r="R228" s="53" t="n">
        <v>5737.8</v>
      </c>
      <c r="S228" s="53" t="n">
        <v>0</v>
      </c>
      <c r="T228" s="53" t="n">
        <v>1683.44</v>
      </c>
      <c r="U228" s="53" t="n">
        <v>0.2934</v>
      </c>
      <c r="V228" s="53" t="n">
        <v>100</v>
      </c>
      <c r="W228" s="53" t="n">
        <v>0.0174</v>
      </c>
      <c r="X228" s="53" t="n">
        <v>0</v>
      </c>
      <c r="Y228" s="53" t="n">
        <v>0</v>
      </c>
      <c r="Z228" s="53" t="n">
        <v>0</v>
      </c>
      <c r="AA228" s="53" t="n">
        <v>-401.65</v>
      </c>
      <c r="AB228" s="53" t="inlineStr">
        <is>
          <t>FALSE</t>
        </is>
      </c>
      <c r="AC228" s="53" t="inlineStr">
        <is>
          <t>FALSE</t>
        </is>
      </c>
    </row>
    <row r="229">
      <c r="A229" s="53" t="inlineStr">
        <is>
          <t>2026-06-17</t>
        </is>
      </c>
      <c r="B229" s="53" t="inlineStr">
        <is>
          <t>2339243</t>
        </is>
      </c>
      <c r="C229" s="53" t="inlineStr">
        <is>
          <t>DS.2025.2182 9220 Tower Rd</t>
        </is>
      </c>
      <c r="D229" s="53" t="inlineStr">
        <is>
          <t>DW</t>
        </is>
      </c>
      <c r="E229" s="53" t="inlineStr">
        <is>
          <t>(Unassigned)</t>
        </is>
      </c>
      <c r="F229" s="53" t="inlineStr">
        <is>
          <t>Solano Masonry, Inc.</t>
        </is>
      </c>
      <c r="G229" s="53" t="inlineStr">
        <is>
          <t>ACTIVE</t>
        </is>
      </c>
      <c r="H229" s="53" t="n">
        <v>2697.75</v>
      </c>
      <c r="I229" s="53" t="n">
        <v>0</v>
      </c>
      <c r="J229" s="53" t="n">
        <v>2697.75</v>
      </c>
      <c r="K229" s="53" t="n">
        <v>2886.59</v>
      </c>
      <c r="L229" s="53" t="n">
        <v>0</v>
      </c>
      <c r="M229" s="53" t="n">
        <v>1993.95</v>
      </c>
      <c r="N229" s="53" t="n">
        <v>0</v>
      </c>
      <c r="O229" s="53" t="n">
        <v>0</v>
      </c>
      <c r="P229" s="53" t="n">
        <v>-2697.75</v>
      </c>
      <c r="Q229" s="53" t="n">
        <v>0</v>
      </c>
      <c r="R229" s="53" t="n">
        <v>2697.75</v>
      </c>
      <c r="S229" s="53" t="n">
        <v>0</v>
      </c>
      <c r="T229" s="53" t="n">
        <v>703.8</v>
      </c>
      <c r="U229" s="53" t="n">
        <v>0.2609</v>
      </c>
      <c r="V229" s="53" t="n">
        <v>100</v>
      </c>
      <c r="W229" s="53" t="n">
        <v>0.0371</v>
      </c>
      <c r="X229" s="53" t="n">
        <v>0</v>
      </c>
      <c r="Y229" s="53" t="n">
        <v>0</v>
      </c>
      <c r="Z229" s="53" t="n">
        <v>0</v>
      </c>
      <c r="AA229" s="53" t="n">
        <v>-188.84</v>
      </c>
      <c r="AB229" s="53" t="inlineStr">
        <is>
          <t>FALSE</t>
        </is>
      </c>
      <c r="AC229" s="53" t="inlineStr">
        <is>
          <t>FALSE</t>
        </is>
      </c>
    </row>
    <row r="230">
      <c r="A230" s="53" t="inlineStr">
        <is>
          <t>2026-06-17</t>
        </is>
      </c>
      <c r="B230" s="53" t="inlineStr">
        <is>
          <t>2337339</t>
        </is>
      </c>
      <c r="C230" s="53" t="inlineStr">
        <is>
          <t>DS.2025.2175 6891 State Road 257</t>
        </is>
      </c>
      <c r="D230" s="53" t="inlineStr">
        <is>
          <t>DW</t>
        </is>
      </c>
      <c r="E230" s="53" t="inlineStr">
        <is>
          <t>(Unassigned)</t>
        </is>
      </c>
      <c r="F230" s="53" t="inlineStr">
        <is>
          <t>Total Drywall Solutions Inc</t>
        </is>
      </c>
      <c r="G230" s="53" t="inlineStr">
        <is>
          <t>ACTIVE</t>
        </is>
      </c>
      <c r="H230" s="53" t="n">
        <v>316</v>
      </c>
      <c r="I230" s="53" t="n">
        <v>0</v>
      </c>
      <c r="J230" s="53" t="n">
        <v>316</v>
      </c>
      <c r="K230" s="53" t="n">
        <v>0</v>
      </c>
      <c r="L230" s="53" t="n">
        <v>0</v>
      </c>
      <c r="M230" s="53" t="n">
        <v>145.8</v>
      </c>
      <c r="N230" s="53" t="n">
        <v>0</v>
      </c>
      <c r="O230" s="53" t="n">
        <v>0</v>
      </c>
      <c r="P230" s="53" t="n">
        <v>-316</v>
      </c>
      <c r="Q230" s="53" t="n">
        <v>0</v>
      </c>
      <c r="R230" s="53" t="n">
        <v>316</v>
      </c>
      <c r="S230" s="53" t="n">
        <v>0</v>
      </c>
      <c r="T230" s="53" t="n">
        <v>170.2</v>
      </c>
      <c r="U230" s="53" t="n">
        <v>0.5386</v>
      </c>
      <c r="V230" s="53" t="n">
        <v>100</v>
      </c>
      <c r="W230" s="53" t="n">
        <v>0.3165</v>
      </c>
      <c r="X230" s="53" t="n">
        <v>0</v>
      </c>
      <c r="Y230" s="53" t="n">
        <v>0</v>
      </c>
      <c r="Z230" s="53" t="n">
        <v>0</v>
      </c>
      <c r="AA230" s="53" t="n">
        <v>316</v>
      </c>
      <c r="AB230" s="53" t="inlineStr">
        <is>
          <t>FALSE</t>
        </is>
      </c>
      <c r="AC230" s="53" t="inlineStr">
        <is>
          <t>FALSE</t>
        </is>
      </c>
    </row>
    <row r="231">
      <c r="A231" s="53" t="inlineStr">
        <is>
          <t>2026-06-17</t>
        </is>
      </c>
      <c r="B231" s="53" t="inlineStr">
        <is>
          <t>2327047</t>
        </is>
      </c>
      <c r="C231" s="53" t="inlineStr">
        <is>
          <t>DS.2025.2169 Abbey Place 311</t>
        </is>
      </c>
      <c r="D231" s="53" t="inlineStr">
        <is>
          <t>DW</t>
        </is>
      </c>
      <c r="E231" s="53" t="inlineStr">
        <is>
          <t>(Unassigned)</t>
        </is>
      </c>
      <c r="F231" s="53" t="inlineStr">
        <is>
          <t>Flores Drywall and Remodeling LLC</t>
        </is>
      </c>
      <c r="G231" s="53" t="inlineStr">
        <is>
          <t>ACTIVE</t>
        </is>
      </c>
      <c r="H231" s="53" t="n">
        <v>5048.01</v>
      </c>
      <c r="I231" s="53" t="n">
        <v>0</v>
      </c>
      <c r="J231" s="53" t="n">
        <v>5048.01</v>
      </c>
      <c r="K231" s="53" t="n">
        <v>5401.37</v>
      </c>
      <c r="L231" s="53" t="n">
        <v>0</v>
      </c>
      <c r="M231" s="53" t="n">
        <v>3652.08</v>
      </c>
      <c r="N231" s="53" t="n">
        <v>0</v>
      </c>
      <c r="O231" s="53" t="n">
        <v>0</v>
      </c>
      <c r="P231" s="53" t="n">
        <v>-5048.01</v>
      </c>
      <c r="Q231" s="53" t="n">
        <v>0</v>
      </c>
      <c r="R231" s="53" t="n">
        <v>5048.01</v>
      </c>
      <c r="S231" s="53" t="n">
        <v>0</v>
      </c>
      <c r="T231" s="53" t="n">
        <v>1395.93</v>
      </c>
      <c r="U231" s="53" t="n">
        <v>0.2765</v>
      </c>
      <c r="V231" s="53" t="n">
        <v>100</v>
      </c>
      <c r="W231" s="53" t="n">
        <v>0.0198</v>
      </c>
      <c r="X231" s="53" t="n">
        <v>0</v>
      </c>
      <c r="Y231" s="53" t="n">
        <v>0</v>
      </c>
      <c r="Z231" s="53" t="n">
        <v>0</v>
      </c>
      <c r="AA231" s="53" t="n">
        <v>-353.36</v>
      </c>
      <c r="AB231" s="53" t="inlineStr">
        <is>
          <t>FALSE</t>
        </is>
      </c>
      <c r="AC231" s="53" t="inlineStr">
        <is>
          <t>FALSE</t>
        </is>
      </c>
    </row>
    <row r="232">
      <c r="A232" s="53" t="inlineStr">
        <is>
          <t>2026-06-17</t>
        </is>
      </c>
      <c r="B232" s="53" t="inlineStr">
        <is>
          <t>2304400</t>
        </is>
      </c>
      <c r="C232" s="53" t="inlineStr">
        <is>
          <t>DS.2025.2150 V3 Holiday Farms</t>
        </is>
      </c>
      <c r="D232" s="53" t="inlineStr">
        <is>
          <t>DW</t>
        </is>
      </c>
      <c r="E232" s="53" t="inlineStr">
        <is>
          <t>(Unassigned)</t>
        </is>
      </c>
      <c r="F232" s="53" t="inlineStr">
        <is>
          <t>Flores Drywall and Remodeling LLC</t>
        </is>
      </c>
      <c r="G232" s="53" t="inlineStr">
        <is>
          <t>ACTIVE</t>
        </is>
      </c>
      <c r="H232" s="53" t="n">
        <v>11827.1</v>
      </c>
      <c r="I232" s="53" t="n">
        <v>0</v>
      </c>
      <c r="J232" s="53" t="n">
        <v>0</v>
      </c>
      <c r="K232" s="53" t="n">
        <v>0</v>
      </c>
      <c r="L232" s="53" t="n">
        <v>0</v>
      </c>
      <c r="M232" s="53" t="n">
        <v>15224.85</v>
      </c>
      <c r="N232" s="53" t="n">
        <v>0</v>
      </c>
      <c r="O232" s="53" t="n">
        <v>0</v>
      </c>
      <c r="P232" s="53" t="n">
        <v>0</v>
      </c>
      <c r="Q232" s="53" t="n">
        <v>0</v>
      </c>
      <c r="R232" s="53" t="n">
        <v>0</v>
      </c>
      <c r="S232" s="53" t="n">
        <v>0</v>
      </c>
      <c r="T232" s="53" t="n">
        <v>-15224.85</v>
      </c>
      <c r="U232" s="53" t="n">
        <v>0</v>
      </c>
      <c r="V232" s="53" t="n">
        <v>100</v>
      </c>
      <c r="W232" s="53" t="n">
        <v>0.008500000000000001</v>
      </c>
      <c r="X232" s="53" t="n">
        <v>0</v>
      </c>
      <c r="Y232" s="53" t="n">
        <v>0</v>
      </c>
      <c r="Z232" s="53" t="n">
        <v>0</v>
      </c>
      <c r="AA232" s="53" t="n">
        <v>0</v>
      </c>
      <c r="AB232" s="53" t="inlineStr">
        <is>
          <t>FALSE</t>
        </is>
      </c>
      <c r="AC232" s="53" t="inlineStr">
        <is>
          <t>FALSE</t>
        </is>
      </c>
    </row>
    <row r="233">
      <c r="A233" s="53" t="inlineStr">
        <is>
          <t>2026-06-17</t>
        </is>
      </c>
      <c r="B233" s="53" t="inlineStr">
        <is>
          <t>2303764</t>
        </is>
      </c>
      <c r="C233" s="53" t="inlineStr">
        <is>
          <t>2025.1021 Convivio</t>
        </is>
      </c>
      <c r="D233" s="53" t="inlineStr">
        <is>
          <t>TI</t>
        </is>
      </c>
      <c r="E233" s="53" t="inlineStr">
        <is>
          <t>Shawn Welcher</t>
        </is>
      </c>
      <c r="F233" s="53" t="inlineStr">
        <is>
          <t>The Peterson Company, LLC</t>
        </is>
      </c>
      <c r="G233" s="53" t="inlineStr">
        <is>
          <t>ACTIVE</t>
        </is>
      </c>
      <c r="H233" s="53" t="n">
        <v>87788.25999999999</v>
      </c>
      <c r="I233" s="53" t="n">
        <v>15788.26</v>
      </c>
      <c r="J233" s="53" t="n">
        <v>87788.25999999999</v>
      </c>
      <c r="K233" s="53" t="n">
        <v>87788.25999999999</v>
      </c>
      <c r="L233" s="53" t="n">
        <v>63124.37</v>
      </c>
      <c r="M233" s="53" t="n">
        <v>63124.37</v>
      </c>
      <c r="N233" s="53" t="n">
        <v>1</v>
      </c>
      <c r="O233" s="53" t="n">
        <v>87788.25999999999</v>
      </c>
      <c r="P233" s="53" t="n">
        <v>0</v>
      </c>
      <c r="Q233" s="53" t="n">
        <v>-0</v>
      </c>
      <c r="R233" s="53" t="n">
        <v>0</v>
      </c>
      <c r="S233" s="53" t="n">
        <v>0</v>
      </c>
      <c r="T233" s="53" t="n">
        <v>24663.89</v>
      </c>
      <c r="U233" s="53" t="n">
        <v>0.2809</v>
      </c>
      <c r="V233" s="53" t="n">
        <v>28.09</v>
      </c>
      <c r="W233" s="53" t="n">
        <v>0.0003</v>
      </c>
      <c r="X233" s="53" t="n">
        <v>0.2809</v>
      </c>
      <c r="Y233" s="53" t="n">
        <v>-0.2806</v>
      </c>
      <c r="Z233" s="53" t="n">
        <v>0</v>
      </c>
      <c r="AA233" s="53" t="n">
        <v>0</v>
      </c>
      <c r="AB233" s="53" t="inlineStr">
        <is>
          <t>TRUE</t>
        </is>
      </c>
      <c r="AC233" s="53" t="inlineStr">
        <is>
          <t>TRUE</t>
        </is>
      </c>
    </row>
    <row r="234">
      <c r="A234" s="53" t="inlineStr">
        <is>
          <t>2026-06-17</t>
        </is>
      </c>
      <c r="B234" s="53" t="inlineStr">
        <is>
          <t>2303466</t>
        </is>
      </c>
      <c r="C234" s="53" t="inlineStr">
        <is>
          <t>2025.999 Romet PWSI</t>
        </is>
      </c>
      <c r="D234" s="53" t="inlineStr">
        <is>
          <t>TI</t>
        </is>
      </c>
      <c r="E234" s="53" t="inlineStr">
        <is>
          <t>Tommy Cohoat</t>
        </is>
      </c>
      <c r="F234" s="53" t="inlineStr">
        <is>
          <t>The Peterson Company, LLC</t>
        </is>
      </c>
      <c r="G234" s="53" t="inlineStr">
        <is>
          <t>ACTIVE</t>
        </is>
      </c>
      <c r="H234" s="53" t="n">
        <v>372490</v>
      </c>
      <c r="I234" s="53" t="n">
        <v>14740</v>
      </c>
      <c r="J234" s="53" t="n">
        <v>372490</v>
      </c>
      <c r="K234" s="53" t="n">
        <v>372490</v>
      </c>
      <c r="L234" s="53" t="n">
        <v>189800</v>
      </c>
      <c r="M234" s="53" t="n">
        <v>190491.63</v>
      </c>
      <c r="N234" s="53" t="n">
        <v>1.0036</v>
      </c>
      <c r="O234" s="53" t="n">
        <v>373830.96</v>
      </c>
      <c r="P234" s="53" t="n">
        <v>1340.96</v>
      </c>
      <c r="Q234" s="53" t="n">
        <v>0</v>
      </c>
      <c r="R234" s="53" t="n">
        <v>0</v>
      </c>
      <c r="S234" s="53" t="n">
        <v>1340.96</v>
      </c>
      <c r="T234" s="53" t="n">
        <v>181998.37</v>
      </c>
      <c r="U234" s="53" t="n">
        <v>0.4886</v>
      </c>
      <c r="V234" s="53" t="n">
        <v>49.05</v>
      </c>
      <c r="W234" s="53" t="n">
        <v>0.0001</v>
      </c>
      <c r="X234" s="53" t="n">
        <v>0.4905</v>
      </c>
      <c r="Y234" s="53" t="n">
        <v>-0.4903</v>
      </c>
      <c r="Z234" s="53" t="n">
        <v>0</v>
      </c>
      <c r="AA234" s="53" t="n">
        <v>0</v>
      </c>
      <c r="AB234" s="53" t="inlineStr">
        <is>
          <t>TRUE</t>
        </is>
      </c>
      <c r="AC234" s="53" t="inlineStr">
        <is>
          <t>TRUE</t>
        </is>
      </c>
    </row>
    <row r="235">
      <c r="A235" s="53" t="inlineStr">
        <is>
          <t>2026-06-17</t>
        </is>
      </c>
      <c r="B235" s="53" t="inlineStr">
        <is>
          <t>2302121</t>
        </is>
      </c>
      <c r="C235" s="53" t="inlineStr">
        <is>
          <t>DS.2025.2143 GSI Ranch</t>
        </is>
      </c>
      <c r="D235" s="53" t="inlineStr">
        <is>
          <t>DW</t>
        </is>
      </c>
      <c r="E235" s="53" t="inlineStr">
        <is>
          <t>(Unassigned)</t>
        </is>
      </c>
      <c r="F235" s="53" t="inlineStr">
        <is>
          <t>GSI - Gregory Scott Inabnit LLC</t>
        </is>
      </c>
      <c r="G235" s="53" t="inlineStr">
        <is>
          <t>ACTIVE</t>
        </is>
      </c>
      <c r="H235" s="53" t="n">
        <v>5864.13</v>
      </c>
      <c r="I235" s="53" t="n">
        <v>0</v>
      </c>
      <c r="J235" s="53" t="n">
        <v>5864.13</v>
      </c>
      <c r="K235" s="53" t="n">
        <v>6274.62</v>
      </c>
      <c r="L235" s="53" t="n">
        <v>0</v>
      </c>
      <c r="M235" s="53" t="n">
        <v>4106.76</v>
      </c>
      <c r="N235" s="53" t="n">
        <v>0</v>
      </c>
      <c r="O235" s="53" t="n">
        <v>0</v>
      </c>
      <c r="P235" s="53" t="n">
        <v>-5864.13</v>
      </c>
      <c r="Q235" s="53" t="n">
        <v>0</v>
      </c>
      <c r="R235" s="53" t="n">
        <v>5864.13</v>
      </c>
      <c r="S235" s="53" t="n">
        <v>0</v>
      </c>
      <c r="T235" s="53" t="n">
        <v>1757.37</v>
      </c>
      <c r="U235" s="53" t="n">
        <v>0.2997</v>
      </c>
      <c r="V235" s="53" t="n">
        <v>100</v>
      </c>
      <c r="W235" s="53" t="n">
        <v>0.0171</v>
      </c>
      <c r="X235" s="53" t="n">
        <v>0</v>
      </c>
      <c r="Y235" s="53" t="n">
        <v>0</v>
      </c>
      <c r="Z235" s="53" t="n">
        <v>0</v>
      </c>
      <c r="AA235" s="53" t="n">
        <v>-410.49</v>
      </c>
      <c r="AB235" s="53" t="inlineStr">
        <is>
          <t>FALSE</t>
        </is>
      </c>
      <c r="AC235" s="53" t="inlineStr">
        <is>
          <t>FALSE</t>
        </is>
      </c>
    </row>
    <row r="236">
      <c r="A236" s="53" t="inlineStr">
        <is>
          <t>2026-06-17</t>
        </is>
      </c>
      <c r="B236" s="53" t="inlineStr">
        <is>
          <t>2301410</t>
        </is>
      </c>
      <c r="C236" s="53" t="inlineStr">
        <is>
          <t>DS.2025.2138 51 Preserve</t>
        </is>
      </c>
      <c r="D236" s="53" t="inlineStr">
        <is>
          <t>DW</t>
        </is>
      </c>
      <c r="E236" s="53" t="inlineStr">
        <is>
          <t>(Unassigned)</t>
        </is>
      </c>
      <c r="F236" s="53" t="inlineStr">
        <is>
          <t>Flores Drywall and Remodeling LLC</t>
        </is>
      </c>
      <c r="G236" s="53" t="inlineStr">
        <is>
          <t>ACTIVE</t>
        </is>
      </c>
      <c r="H236" s="53" t="n">
        <v>5783.87</v>
      </c>
      <c r="I236" s="53" t="n">
        <v>0</v>
      </c>
      <c r="J236" s="53" t="n">
        <v>5783.87</v>
      </c>
      <c r="K236" s="53" t="n">
        <v>6188.74</v>
      </c>
      <c r="L236" s="53" t="n">
        <v>0</v>
      </c>
      <c r="M236" s="53" t="n">
        <v>4328.55</v>
      </c>
      <c r="N236" s="53" t="n">
        <v>0</v>
      </c>
      <c r="O236" s="53" t="n">
        <v>0</v>
      </c>
      <c r="P236" s="53" t="n">
        <v>-5783.87</v>
      </c>
      <c r="Q236" s="53" t="n">
        <v>0</v>
      </c>
      <c r="R236" s="53" t="n">
        <v>5783.87</v>
      </c>
      <c r="S236" s="53" t="n">
        <v>0</v>
      </c>
      <c r="T236" s="53" t="n">
        <v>1455.32</v>
      </c>
      <c r="U236" s="53" t="n">
        <v>0.2516</v>
      </c>
      <c r="V236" s="53" t="n">
        <v>100</v>
      </c>
      <c r="W236" s="53" t="n">
        <v>0.0173</v>
      </c>
      <c r="X236" s="53" t="n">
        <v>0</v>
      </c>
      <c r="Y236" s="53" t="n">
        <v>0</v>
      </c>
      <c r="Z236" s="53" t="n">
        <v>0</v>
      </c>
      <c r="AA236" s="53" t="n">
        <v>-404.87</v>
      </c>
      <c r="AB236" s="53" t="inlineStr">
        <is>
          <t>FALSE</t>
        </is>
      </c>
      <c r="AC236" s="53" t="inlineStr">
        <is>
          <t>FALSE</t>
        </is>
      </c>
    </row>
    <row r="237">
      <c r="A237" s="53" t="inlineStr">
        <is>
          <t>2026-06-17</t>
        </is>
      </c>
      <c r="B237" s="53" t="inlineStr">
        <is>
          <t>2296704</t>
        </is>
      </c>
      <c r="C237" s="53" t="inlineStr">
        <is>
          <t>DS.2025.2118 House 6</t>
        </is>
      </c>
      <c r="D237" s="53" t="inlineStr">
        <is>
          <t>DW</t>
        </is>
      </c>
      <c r="E237" s="53" t="inlineStr">
        <is>
          <t>(Unassigned)</t>
        </is>
      </c>
      <c r="F237" s="53" t="inlineStr">
        <is>
          <t>GSI - Gregory Scott Inabnit LLC</t>
        </is>
      </c>
      <c r="G237" s="53" t="inlineStr">
        <is>
          <t>ACTIVE</t>
        </is>
      </c>
      <c r="H237" s="53" t="n">
        <v>3565.84</v>
      </c>
      <c r="I237" s="53" t="n">
        <v>0</v>
      </c>
      <c r="J237" s="53" t="n">
        <v>3565.84</v>
      </c>
      <c r="K237" s="53" t="n">
        <v>3815.45</v>
      </c>
      <c r="L237" s="53" t="n">
        <v>0</v>
      </c>
      <c r="M237" s="53" t="n">
        <v>2398.54</v>
      </c>
      <c r="N237" s="53" t="n">
        <v>0</v>
      </c>
      <c r="O237" s="53" t="n">
        <v>0</v>
      </c>
      <c r="P237" s="53" t="n">
        <v>-3565.84</v>
      </c>
      <c r="Q237" s="53" t="n">
        <v>0</v>
      </c>
      <c r="R237" s="53" t="n">
        <v>3565.84</v>
      </c>
      <c r="S237" s="53" t="n">
        <v>0</v>
      </c>
      <c r="T237" s="53" t="n">
        <v>1167.3</v>
      </c>
      <c r="U237" s="53" t="n">
        <v>0.3274</v>
      </c>
      <c r="V237" s="53" t="n">
        <v>100</v>
      </c>
      <c r="W237" s="53" t="n">
        <v>0.028</v>
      </c>
      <c r="X237" s="53" t="n">
        <v>0</v>
      </c>
      <c r="Y237" s="53" t="n">
        <v>0</v>
      </c>
      <c r="Z237" s="53" t="n">
        <v>0</v>
      </c>
      <c r="AA237" s="53" t="n">
        <v>-249.61</v>
      </c>
      <c r="AB237" s="53" t="inlineStr">
        <is>
          <t>FALSE</t>
        </is>
      </c>
      <c r="AC237" s="53" t="inlineStr">
        <is>
          <t>FALSE</t>
        </is>
      </c>
    </row>
    <row r="238">
      <c r="A238" s="53" t="inlineStr">
        <is>
          <t>2026-06-17</t>
        </is>
      </c>
      <c r="B238" s="53" t="inlineStr">
        <is>
          <t>2282848</t>
        </is>
      </c>
      <c r="C238" s="53" t="inlineStr">
        <is>
          <t>2025.997 Belmont St Warehouse Clear Out 250-408</t>
        </is>
      </c>
      <c r="D238" s="53" t="inlineStr">
        <is>
          <t>TI</t>
        </is>
      </c>
      <c r="E238" s="53" t="inlineStr">
        <is>
          <t>Spencer Anderson</t>
        </is>
      </c>
      <c r="F238" s="53" t="inlineStr">
        <is>
          <t>DEEM, LLC</t>
        </is>
      </c>
      <c r="G238" s="53" t="inlineStr">
        <is>
          <t>ACTIVE</t>
        </is>
      </c>
      <c r="H238" s="53" t="n">
        <v>54090</v>
      </c>
      <c r="I238" s="53" t="n">
        <v>38090</v>
      </c>
      <c r="J238" s="53" t="n">
        <v>54090</v>
      </c>
      <c r="K238" s="53" t="n">
        <v>54090</v>
      </c>
      <c r="L238" s="53" t="n">
        <v>10911.31</v>
      </c>
      <c r="M238" s="53" t="n">
        <v>23635.43</v>
      </c>
      <c r="N238" s="53" t="n">
        <v>2.1661</v>
      </c>
      <c r="O238" s="53" t="n">
        <v>117164.35</v>
      </c>
      <c r="P238" s="53" t="n">
        <v>63074.35</v>
      </c>
      <c r="Q238" s="53" t="n">
        <v>0</v>
      </c>
      <c r="R238" s="53" t="n">
        <v>0</v>
      </c>
      <c r="S238" s="53" t="n">
        <v>63074.35</v>
      </c>
      <c r="T238" s="53" t="n">
        <v>30454.57</v>
      </c>
      <c r="U238" s="53" t="n">
        <v>0.5629999999999999</v>
      </c>
      <c r="V238" s="53" t="n">
        <v>79.83</v>
      </c>
      <c r="W238" s="53" t="n">
        <v>0.0015</v>
      </c>
      <c r="X238" s="53" t="n">
        <v>0.7983</v>
      </c>
      <c r="Y238" s="53" t="n">
        <v>-0.7968</v>
      </c>
      <c r="Z238" s="53" t="n">
        <v>0</v>
      </c>
      <c r="AA238" s="53" t="n">
        <v>0</v>
      </c>
      <c r="AB238" s="53" t="inlineStr">
        <is>
          <t>TRUE</t>
        </is>
      </c>
      <c r="AC238" s="53" t="inlineStr">
        <is>
          <t>TRUE</t>
        </is>
      </c>
    </row>
    <row r="239">
      <c r="A239" s="53" t="inlineStr">
        <is>
          <t>2026-06-17</t>
        </is>
      </c>
      <c r="B239" s="53" t="inlineStr">
        <is>
          <t>2261041</t>
        </is>
      </c>
      <c r="C239" s="53" t="inlineStr">
        <is>
          <t>DS.2025.2072 Tom Carter Prince's Lake</t>
        </is>
      </c>
      <c r="D239" s="53" t="inlineStr">
        <is>
          <t>DW</t>
        </is>
      </c>
      <c r="E239" s="53" t="inlineStr">
        <is>
          <t>(Unassigned)</t>
        </is>
      </c>
      <c r="F239" s="53" t="inlineStr">
        <is>
          <t>TC Indy</t>
        </is>
      </c>
      <c r="G239" s="53" t="inlineStr">
        <is>
          <t>ACTIVE</t>
        </is>
      </c>
      <c r="H239" s="53" t="n">
        <v>10104.28</v>
      </c>
      <c r="I239" s="53" t="n">
        <v>1410.4</v>
      </c>
      <c r="J239" s="53" t="n">
        <v>10104.28</v>
      </c>
      <c r="K239" s="53" t="n">
        <v>10811.58</v>
      </c>
      <c r="L239" s="53" t="n">
        <v>0</v>
      </c>
      <c r="M239" s="53" t="n">
        <v>5309.73</v>
      </c>
      <c r="N239" s="53" t="n">
        <v>0</v>
      </c>
      <c r="O239" s="53" t="n">
        <v>0</v>
      </c>
      <c r="P239" s="53" t="n">
        <v>-10104.28</v>
      </c>
      <c r="Q239" s="53" t="n">
        <v>0</v>
      </c>
      <c r="R239" s="53" t="n">
        <v>10104.28</v>
      </c>
      <c r="S239" s="53" t="n">
        <v>0</v>
      </c>
      <c r="T239" s="53" t="n">
        <v>4794.55</v>
      </c>
      <c r="U239" s="53" t="n">
        <v>0.4745</v>
      </c>
      <c r="V239" s="53" t="n">
        <v>100</v>
      </c>
      <c r="W239" s="53" t="n">
        <v>0.009900000000000001</v>
      </c>
      <c r="X239" s="53" t="n">
        <v>0</v>
      </c>
      <c r="Y239" s="53" t="n">
        <v>0</v>
      </c>
      <c r="Z239" s="53" t="n">
        <v>0</v>
      </c>
      <c r="AA239" s="53" t="n">
        <v>-707.3</v>
      </c>
      <c r="AB239" s="53" t="inlineStr">
        <is>
          <t>FALSE</t>
        </is>
      </c>
      <c r="AC239" s="53" t="inlineStr">
        <is>
          <t>FALSE</t>
        </is>
      </c>
    </row>
    <row r="240">
      <c r="A240" s="53" t="inlineStr">
        <is>
          <t>2026-06-17</t>
        </is>
      </c>
      <c r="B240" s="53" t="inlineStr">
        <is>
          <t>2250539</t>
        </is>
      </c>
      <c r="C240" s="53" t="inlineStr">
        <is>
          <t>2025.1032 65 Commerce Park Building 7</t>
        </is>
      </c>
      <c r="D240" s="53" t="inlineStr">
        <is>
          <t>TI</t>
        </is>
      </c>
      <c r="E240" s="53" t="inlineStr">
        <is>
          <t>Trevor Anderson</t>
        </is>
      </c>
      <c r="F240" s="53" t="inlineStr">
        <is>
          <t>Compass Commercial Construction Group</t>
        </is>
      </c>
      <c r="G240" s="53" t="inlineStr">
        <is>
          <t>ACTIVE</t>
        </is>
      </c>
      <c r="H240" s="53" t="n">
        <v>133900</v>
      </c>
      <c r="I240" s="53" t="n">
        <v>0</v>
      </c>
      <c r="J240" s="53" t="n">
        <v>71314.2</v>
      </c>
      <c r="K240" s="53" t="n">
        <v>0</v>
      </c>
      <c r="L240" s="53" t="n">
        <v>92029.78999999999</v>
      </c>
      <c r="M240" s="53" t="n">
        <v>81690.55</v>
      </c>
      <c r="N240" s="53" t="n">
        <v>0.8877</v>
      </c>
      <c r="O240" s="53" t="n">
        <v>118863.03</v>
      </c>
      <c r="P240" s="53" t="n">
        <v>47548.83</v>
      </c>
      <c r="Q240" s="53" t="n">
        <v>39618.78</v>
      </c>
      <c r="R240" s="53" t="n">
        <v>0</v>
      </c>
      <c r="S240" s="53" t="n">
        <v>47548.83</v>
      </c>
      <c r="T240" s="53" t="n">
        <v>-2452.55</v>
      </c>
      <c r="U240" s="53" t="n">
        <v>-0.031</v>
      </c>
      <c r="V240" s="53" t="n">
        <v>31.27</v>
      </c>
      <c r="W240" s="53" t="n">
        <v>0.0002</v>
      </c>
      <c r="X240" s="53" t="n">
        <v>0.3127</v>
      </c>
      <c r="Y240" s="53" t="n">
        <v>-0.3125</v>
      </c>
      <c r="Z240" s="53" t="n">
        <v>7923.8</v>
      </c>
      <c r="AA240" s="53" t="n">
        <v>71314.2</v>
      </c>
      <c r="AB240" s="53" t="inlineStr">
        <is>
          <t>TRUE</t>
        </is>
      </c>
      <c r="AC240" s="53" t="inlineStr">
        <is>
          <t>TRUE</t>
        </is>
      </c>
    </row>
    <row r="241">
      <c r="A241" s="53" t="inlineStr">
        <is>
          <t>2026-06-17</t>
        </is>
      </c>
      <c r="B241" s="53" t="inlineStr">
        <is>
          <t>2248156</t>
        </is>
      </c>
      <c r="C241" s="53" t="inlineStr">
        <is>
          <t>2025.994 Stotan Port Laredo Spec Offices</t>
        </is>
      </c>
      <c r="D241" s="53" t="inlineStr">
        <is>
          <t>TI</t>
        </is>
      </c>
      <c r="E241" s="53" t="inlineStr">
        <is>
          <t>Ben Garza</t>
        </is>
      </c>
      <c r="F241" s="53" t="inlineStr">
        <is>
          <t>ARCO Design/Build</t>
        </is>
      </c>
      <c r="G241" s="53" t="inlineStr">
        <is>
          <t>ACTIVE</t>
        </is>
      </c>
      <c r="H241" s="53" t="n">
        <v>699328</v>
      </c>
      <c r="I241" s="53" t="n">
        <v>121328</v>
      </c>
      <c r="J241" s="53" t="n">
        <v>699328</v>
      </c>
      <c r="K241" s="53" t="n">
        <v>584395.2</v>
      </c>
      <c r="L241" s="53" t="n">
        <v>454026.48</v>
      </c>
      <c r="M241" s="53" t="n">
        <v>454026.48</v>
      </c>
      <c r="N241" s="53" t="n">
        <v>1</v>
      </c>
      <c r="O241" s="53" t="n">
        <v>699328</v>
      </c>
      <c r="P241" s="53" t="n">
        <v>0</v>
      </c>
      <c r="Q241" s="53" t="n">
        <v>0</v>
      </c>
      <c r="R241" s="53" t="n">
        <v>0</v>
      </c>
      <c r="S241" s="53" t="n">
        <v>0</v>
      </c>
      <c r="T241" s="53" t="n">
        <v>245301.52</v>
      </c>
      <c r="U241" s="53" t="n">
        <v>0.3508</v>
      </c>
      <c r="V241" s="53" t="n">
        <v>35.08</v>
      </c>
      <c r="W241" s="53" t="n">
        <v>0.0001</v>
      </c>
      <c r="X241" s="53" t="n">
        <v>0.3508</v>
      </c>
      <c r="Y241" s="53" t="n">
        <v>-0.3507</v>
      </c>
      <c r="Z241" s="53" t="n">
        <v>0</v>
      </c>
      <c r="AA241" s="53" t="n">
        <v>114932.8</v>
      </c>
      <c r="AB241" s="53" t="inlineStr">
        <is>
          <t>TRUE</t>
        </is>
      </c>
      <c r="AC241" s="53" t="inlineStr">
        <is>
          <t>TRUE</t>
        </is>
      </c>
    </row>
    <row r="242">
      <c r="A242" s="53" t="inlineStr">
        <is>
          <t>2026-06-17</t>
        </is>
      </c>
      <c r="B242" s="53" t="inlineStr">
        <is>
          <t>2242353</t>
        </is>
      </c>
      <c r="C242" s="53" t="inlineStr">
        <is>
          <t>DS.2025.2045 Old Town Pickup</t>
        </is>
      </c>
      <c r="D242" s="53" t="inlineStr">
        <is>
          <t>DW</t>
        </is>
      </c>
      <c r="E242" s="53" t="inlineStr">
        <is>
          <t>(Unassigned)</t>
        </is>
      </c>
      <c r="F242" s="53" t="inlineStr">
        <is>
          <t>Old Town Design Group</t>
        </is>
      </c>
      <c r="G242" s="53" t="inlineStr">
        <is>
          <t>ACTIVE</t>
        </is>
      </c>
      <c r="H242" s="53" t="n">
        <v>121.08</v>
      </c>
      <c r="I242" s="53" t="n">
        <v>0</v>
      </c>
      <c r="J242" s="53" t="n">
        <v>121.08</v>
      </c>
      <c r="K242" s="53" t="n">
        <v>129.56</v>
      </c>
      <c r="L242" s="53" t="n">
        <v>0</v>
      </c>
      <c r="M242" s="53" t="n">
        <v>94.08</v>
      </c>
      <c r="N242" s="53" t="n">
        <v>0</v>
      </c>
      <c r="O242" s="53" t="n">
        <v>0</v>
      </c>
      <c r="P242" s="53" t="n">
        <v>-121.08</v>
      </c>
      <c r="Q242" s="53" t="n">
        <v>0</v>
      </c>
      <c r="R242" s="53" t="n">
        <v>121.08</v>
      </c>
      <c r="S242" s="53" t="n">
        <v>0</v>
      </c>
      <c r="T242" s="53" t="n">
        <v>27</v>
      </c>
      <c r="U242" s="53" t="n">
        <v>0.223</v>
      </c>
      <c r="V242" s="53" t="n">
        <v>100</v>
      </c>
      <c r="W242" s="53" t="n">
        <v>0.8259</v>
      </c>
      <c r="X242" s="53" t="n">
        <v>0</v>
      </c>
      <c r="Y242" s="53" t="n">
        <v>0</v>
      </c>
      <c r="Z242" s="53" t="n">
        <v>0</v>
      </c>
      <c r="AA242" s="53" t="n">
        <v>-8.48</v>
      </c>
      <c r="AB242" s="53" t="inlineStr">
        <is>
          <t>FALSE</t>
        </is>
      </c>
      <c r="AC242" s="53" t="inlineStr">
        <is>
          <t>FALSE</t>
        </is>
      </c>
    </row>
    <row r="243">
      <c r="A243" s="53" t="inlineStr">
        <is>
          <t>2026-06-17</t>
        </is>
      </c>
      <c r="B243" s="53" t="inlineStr">
        <is>
          <t>2225641</t>
        </is>
      </c>
      <c r="C243" s="53" t="inlineStr">
        <is>
          <t>MF.2026.1050 AC Hotel</t>
        </is>
      </c>
      <c r="D243" s="53" t="inlineStr">
        <is>
          <t>MF</t>
        </is>
      </c>
      <c r="E243" s="53" t="inlineStr">
        <is>
          <t>Ben Garza</t>
        </is>
      </c>
      <c r="F243" s="53" t="inlineStr">
        <is>
          <t>Holladay Construction Group</t>
        </is>
      </c>
      <c r="G243" s="53" t="inlineStr">
        <is>
          <t>ACTIVE</t>
        </is>
      </c>
      <c r="H243" s="53" t="n">
        <v>1244040</v>
      </c>
      <c r="I243" s="53" t="n">
        <v>0</v>
      </c>
      <c r="J243" s="53" t="n">
        <v>202650.67</v>
      </c>
      <c r="K243" s="53" t="n">
        <v>0</v>
      </c>
      <c r="L243" s="53" t="n">
        <v>837300</v>
      </c>
      <c r="M243" s="53" t="n">
        <v>175699.76</v>
      </c>
      <c r="N243" s="53" t="n">
        <v>0.2098</v>
      </c>
      <c r="O243" s="53" t="n">
        <v>260999.59</v>
      </c>
      <c r="P243" s="53" t="n">
        <v>58348.92</v>
      </c>
      <c r="Q243" s="53" t="n">
        <v>35883.03</v>
      </c>
      <c r="R243" s="53" t="n">
        <v>0</v>
      </c>
      <c r="S243" s="53" t="n">
        <v>58348.92</v>
      </c>
      <c r="T243" s="53" t="n">
        <v>49467.65</v>
      </c>
      <c r="U243" s="53" t="n">
        <v>0.2197</v>
      </c>
      <c r="V243" s="53" t="n">
        <v>32.7</v>
      </c>
      <c r="W243" s="53" t="n">
        <v>0</v>
      </c>
      <c r="X243" s="53" t="n">
        <v>0.327</v>
      </c>
      <c r="Y243" s="53" t="n">
        <v>-0.3269</v>
      </c>
      <c r="Z243" s="53" t="n">
        <v>22516.74</v>
      </c>
      <c r="AA243" s="53" t="n">
        <v>202650.67</v>
      </c>
      <c r="AB243" s="53" t="inlineStr">
        <is>
          <t>TRUE</t>
        </is>
      </c>
      <c r="AC243" s="53" t="inlineStr">
        <is>
          <t>TRUE</t>
        </is>
      </c>
    </row>
    <row r="244">
      <c r="A244" s="53" t="inlineStr">
        <is>
          <t>2026-06-17</t>
        </is>
      </c>
      <c r="B244" s="53" t="inlineStr">
        <is>
          <t>2223116</t>
        </is>
      </c>
      <c r="C244" s="53" t="inlineStr">
        <is>
          <t>2025.986 FedEx Hub</t>
        </is>
      </c>
      <c r="D244" s="53" t="inlineStr">
        <is>
          <t>TI</t>
        </is>
      </c>
      <c r="E244" s="53" t="inlineStr">
        <is>
          <t>Tommy Cohoat</t>
        </is>
      </c>
      <c r="F244" s="53" t="inlineStr">
        <is>
          <t>Dalmatian Fire</t>
        </is>
      </c>
      <c r="G244" s="53" t="inlineStr">
        <is>
          <t>ACTIVE</t>
        </is>
      </c>
      <c r="H244" s="53" t="n">
        <v>6000</v>
      </c>
      <c r="I244" s="53" t="n">
        <v>0</v>
      </c>
      <c r="J244" s="53" t="n">
        <v>6000</v>
      </c>
      <c r="K244" s="53" t="n">
        <v>6000</v>
      </c>
      <c r="L244" s="53" t="n">
        <v>700</v>
      </c>
      <c r="M244" s="53" t="n">
        <v>118.93</v>
      </c>
      <c r="N244" s="53" t="n">
        <v>0.1699</v>
      </c>
      <c r="O244" s="53" t="n">
        <v>1019.4</v>
      </c>
      <c r="P244" s="53" t="n">
        <v>-4980.6</v>
      </c>
      <c r="Q244" s="53" t="n">
        <v>-4980.6</v>
      </c>
      <c r="R244" s="53" t="n">
        <v>4980.6</v>
      </c>
      <c r="S244" s="53" t="n">
        <v>0</v>
      </c>
      <c r="T244" s="53" t="n">
        <v>5881.07</v>
      </c>
      <c r="U244" s="53" t="n">
        <v>0.9802</v>
      </c>
      <c r="V244" s="53" t="n">
        <v>88.33</v>
      </c>
      <c r="W244" s="53" t="n">
        <v>0.0147</v>
      </c>
      <c r="X244" s="53" t="n">
        <v>0.8833</v>
      </c>
      <c r="Y244" s="53" t="n">
        <v>-0.8686</v>
      </c>
      <c r="Z244" s="53" t="n">
        <v>0</v>
      </c>
      <c r="AA244" s="53" t="n">
        <v>0</v>
      </c>
      <c r="AB244" s="53" t="inlineStr">
        <is>
          <t>TRUE</t>
        </is>
      </c>
      <c r="AC244" s="53" t="inlineStr">
        <is>
          <t>TRUE</t>
        </is>
      </c>
    </row>
    <row r="245">
      <c r="A245" s="53" t="inlineStr">
        <is>
          <t>2026-06-17</t>
        </is>
      </c>
      <c r="B245" s="53" t="inlineStr">
        <is>
          <t>2205083</t>
        </is>
      </c>
      <c r="C245" s="53" t="inlineStr">
        <is>
          <t>DS.2025.1967 MN - H2S</t>
        </is>
      </c>
      <c r="D245" s="53" t="inlineStr">
        <is>
          <t>DW</t>
        </is>
      </c>
      <c r="E245" s="53" t="inlineStr">
        <is>
          <t>(Unassigned)</t>
        </is>
      </c>
      <c r="F245" s="53" t="inlineStr">
        <is>
          <t>Meyer Najem</t>
        </is>
      </c>
      <c r="G245" s="53" t="inlineStr">
        <is>
          <t>ACTIVE</t>
        </is>
      </c>
      <c r="H245" s="53" t="n">
        <v>11836.8</v>
      </c>
      <c r="I245" s="53" t="n">
        <v>0</v>
      </c>
      <c r="J245" s="53" t="n">
        <v>11836.8</v>
      </c>
      <c r="K245" s="53" t="n">
        <v>0</v>
      </c>
      <c r="L245" s="53" t="n">
        <v>0</v>
      </c>
      <c r="M245" s="53" t="n">
        <v>8635.52</v>
      </c>
      <c r="N245" s="53" t="n">
        <v>0</v>
      </c>
      <c r="O245" s="53" t="n">
        <v>0</v>
      </c>
      <c r="P245" s="53" t="n">
        <v>-11836.8</v>
      </c>
      <c r="Q245" s="53" t="n">
        <v>0</v>
      </c>
      <c r="R245" s="53" t="n">
        <v>11836.8</v>
      </c>
      <c r="S245" s="53" t="n">
        <v>0</v>
      </c>
      <c r="T245" s="53" t="n">
        <v>3201.28</v>
      </c>
      <c r="U245" s="53" t="n">
        <v>0.2705</v>
      </c>
      <c r="V245" s="53" t="n">
        <v>100</v>
      </c>
      <c r="W245" s="53" t="n">
        <v>0.008399999999999999</v>
      </c>
      <c r="X245" s="53" t="n">
        <v>0</v>
      </c>
      <c r="Y245" s="53" t="n">
        <v>0</v>
      </c>
      <c r="Z245" s="53" t="n">
        <v>0</v>
      </c>
      <c r="AA245" s="53" t="n">
        <v>11836.8</v>
      </c>
      <c r="AB245" s="53" t="inlineStr">
        <is>
          <t>FALSE</t>
        </is>
      </c>
      <c r="AC245" s="53" t="inlineStr">
        <is>
          <t>FALSE</t>
        </is>
      </c>
    </row>
    <row r="246">
      <c r="A246" s="53" t="inlineStr">
        <is>
          <t>2026-06-17</t>
        </is>
      </c>
      <c r="B246" s="53" t="inlineStr">
        <is>
          <t>2196541</t>
        </is>
      </c>
      <c r="C246" s="53" t="inlineStr">
        <is>
          <t>2025.1015 WBP Lot 4</t>
        </is>
      </c>
      <c r="D246" s="53" t="inlineStr">
        <is>
          <t>TI</t>
        </is>
      </c>
      <c r="E246" s="53" t="inlineStr">
        <is>
          <t>Tommy Cohoat</t>
        </is>
      </c>
      <c r="F246" s="53" t="inlineStr">
        <is>
          <t>Patch Development</t>
        </is>
      </c>
      <c r="G246" s="53" t="inlineStr">
        <is>
          <t>ACTIVE</t>
        </is>
      </c>
      <c r="H246" s="53" t="n">
        <v>175400</v>
      </c>
      <c r="I246" s="53" t="n">
        <v>19500</v>
      </c>
      <c r="J246" s="53" t="n">
        <v>175400</v>
      </c>
      <c r="K246" s="53" t="n">
        <v>175400</v>
      </c>
      <c r="L246" s="53" t="n">
        <v>73600</v>
      </c>
      <c r="M246" s="53" t="n">
        <v>72620.14999999999</v>
      </c>
      <c r="N246" s="53" t="n">
        <v>0.9867</v>
      </c>
      <c r="O246" s="53" t="n">
        <v>173067.18</v>
      </c>
      <c r="P246" s="53" t="n">
        <v>-2332.82</v>
      </c>
      <c r="Q246" s="53" t="n">
        <v>-2335.13</v>
      </c>
      <c r="R246" s="53" t="n">
        <v>2332.82</v>
      </c>
      <c r="S246" s="53" t="n">
        <v>0</v>
      </c>
      <c r="T246" s="53" t="n">
        <v>102779.85</v>
      </c>
      <c r="U246" s="53" t="n">
        <v>0.586</v>
      </c>
      <c r="V246" s="53" t="n">
        <v>58.04</v>
      </c>
      <c r="W246" s="53" t="n">
        <v>0.0003</v>
      </c>
      <c r="X246" s="53" t="n">
        <v>0.5804</v>
      </c>
      <c r="Y246" s="53" t="n">
        <v>-0.5800999999999999</v>
      </c>
      <c r="Z246" s="53" t="n">
        <v>0</v>
      </c>
      <c r="AA246" s="53" t="n">
        <v>0</v>
      </c>
      <c r="AB246" s="53" t="inlineStr">
        <is>
          <t>TRUE</t>
        </is>
      </c>
      <c r="AC246" s="53" t="inlineStr">
        <is>
          <t>TRUE</t>
        </is>
      </c>
    </row>
    <row r="247">
      <c r="A247" s="53" t="inlineStr">
        <is>
          <t>2026-06-17</t>
        </is>
      </c>
      <c r="B247" s="53" t="inlineStr">
        <is>
          <t>2174851</t>
        </is>
      </c>
      <c r="C247" s="53" t="inlineStr">
        <is>
          <t>2025.1001 Evolve Transporters</t>
        </is>
      </c>
      <c r="D247" s="53" t="inlineStr">
        <is>
          <t>TI</t>
        </is>
      </c>
      <c r="E247" s="53" t="inlineStr">
        <is>
          <t>Cole Garriott</t>
        </is>
      </c>
      <c r="F247" s="53" t="inlineStr">
        <is>
          <t>Compass Commercial Construction Group</t>
        </is>
      </c>
      <c r="G247" s="53" t="inlineStr">
        <is>
          <t>ACTIVE</t>
        </is>
      </c>
      <c r="H247" s="53" t="n">
        <v>1317620</v>
      </c>
      <c r="I247" s="53" t="n">
        <v>277640</v>
      </c>
      <c r="J247" s="53" t="n">
        <v>1317620</v>
      </c>
      <c r="K247" s="53" t="n">
        <v>1184517</v>
      </c>
      <c r="L247" s="53" t="n">
        <v>787696.54</v>
      </c>
      <c r="M247" s="53" t="n">
        <v>795731.39</v>
      </c>
      <c r="N247" s="53" t="n">
        <v>1.0102</v>
      </c>
      <c r="O247" s="53" t="n">
        <v>1331059.72</v>
      </c>
      <c r="P247" s="53" t="n">
        <v>13439.72</v>
      </c>
      <c r="Q247" s="53" t="n">
        <v>0</v>
      </c>
      <c r="R247" s="53" t="n">
        <v>0</v>
      </c>
      <c r="S247" s="53" t="n">
        <v>13439.72</v>
      </c>
      <c r="T247" s="53" t="n">
        <v>521888.61</v>
      </c>
      <c r="U247" s="53" t="n">
        <v>0.3961</v>
      </c>
      <c r="V247" s="53" t="n">
        <v>40.22</v>
      </c>
      <c r="W247" s="53" t="n">
        <v>0</v>
      </c>
      <c r="X247" s="53" t="n">
        <v>0.4022</v>
      </c>
      <c r="Y247" s="53" t="n">
        <v>-0.4022</v>
      </c>
      <c r="Z247" s="53" t="n">
        <v>0</v>
      </c>
      <c r="AA247" s="53" t="n">
        <v>133103</v>
      </c>
      <c r="AB247" s="53" t="inlineStr">
        <is>
          <t>TRUE</t>
        </is>
      </c>
      <c r="AC247" s="53" t="inlineStr">
        <is>
          <t>TRUE</t>
        </is>
      </c>
    </row>
    <row r="248">
      <c r="A248" s="53" t="inlineStr">
        <is>
          <t>2026-06-17</t>
        </is>
      </c>
      <c r="B248" s="53" t="inlineStr">
        <is>
          <t>2160928</t>
        </is>
      </c>
      <c r="C248" s="53" t="inlineStr">
        <is>
          <t>DS.2025.1895 IFD Pickup 3/25/25</t>
        </is>
      </c>
      <c r="D248" s="53" t="inlineStr">
        <is>
          <t>DW</t>
        </is>
      </c>
      <c r="E248" s="53" t="inlineStr">
        <is>
          <t>(Unassigned)</t>
        </is>
      </c>
      <c r="F248" s="53" t="inlineStr">
        <is>
          <t>Indianapolis Fire Department</t>
        </is>
      </c>
      <c r="G248" s="53" t="inlineStr">
        <is>
          <t>ACTIVE</t>
        </is>
      </c>
      <c r="H248" s="53" t="n">
        <v>718.08</v>
      </c>
      <c r="I248" s="53" t="n">
        <v>0</v>
      </c>
      <c r="J248" s="53" t="n">
        <v>718.08</v>
      </c>
      <c r="K248" s="53" t="n">
        <v>0</v>
      </c>
      <c r="L248" s="53" t="n">
        <v>0</v>
      </c>
      <c r="M248" s="53" t="n">
        <v>587.52</v>
      </c>
      <c r="N248" s="53" t="n">
        <v>0</v>
      </c>
      <c r="O248" s="53" t="n">
        <v>0</v>
      </c>
      <c r="P248" s="53" t="n">
        <v>-718.08</v>
      </c>
      <c r="Q248" s="53" t="n">
        <v>0</v>
      </c>
      <c r="R248" s="53" t="n">
        <v>718.08</v>
      </c>
      <c r="S248" s="53" t="n">
        <v>0</v>
      </c>
      <c r="T248" s="53" t="n">
        <v>130.56</v>
      </c>
      <c r="U248" s="53" t="n">
        <v>0.1818</v>
      </c>
      <c r="V248" s="53" t="n">
        <v>100</v>
      </c>
      <c r="W248" s="53" t="n">
        <v>0.1393</v>
      </c>
      <c r="X248" s="53" t="n">
        <v>0</v>
      </c>
      <c r="Y248" s="53" t="n">
        <v>0</v>
      </c>
      <c r="Z248" s="53" t="n">
        <v>0</v>
      </c>
      <c r="AA248" s="53" t="n">
        <v>718.08</v>
      </c>
      <c r="AB248" s="53" t="inlineStr">
        <is>
          <t>FALSE</t>
        </is>
      </c>
      <c r="AC248" s="53" t="inlineStr">
        <is>
          <t>FALSE</t>
        </is>
      </c>
    </row>
    <row r="249">
      <c r="A249" s="53" t="inlineStr">
        <is>
          <t>2026-06-17</t>
        </is>
      </c>
      <c r="B249" s="53" t="inlineStr">
        <is>
          <t>2157624</t>
        </is>
      </c>
      <c r="C249" s="53" t="inlineStr">
        <is>
          <t>2025.980 Avon Bldg. 1 Canopies &amp; Pavilion</t>
        </is>
      </c>
      <c r="D249" s="53" t="inlineStr">
        <is>
          <t>TI</t>
        </is>
      </c>
      <c r="E249" s="53" t="inlineStr">
        <is>
          <t>Spencer Anderson</t>
        </is>
      </c>
      <c r="F249" s="53" t="inlineStr">
        <is>
          <t>The Peterson Company, LLC</t>
        </is>
      </c>
      <c r="G249" s="53" t="inlineStr">
        <is>
          <t>ACTIVE</t>
        </is>
      </c>
      <c r="H249" s="53" t="n">
        <v>116280</v>
      </c>
      <c r="I249" s="53" t="n">
        <v>0</v>
      </c>
      <c r="J249" s="53" t="n">
        <v>116280</v>
      </c>
      <c r="K249" s="53" t="n">
        <v>116280</v>
      </c>
      <c r="L249" s="53" t="n">
        <v>40262.24</v>
      </c>
      <c r="M249" s="53" t="n">
        <v>40530.89</v>
      </c>
      <c r="N249" s="53" t="n">
        <v>1.0067</v>
      </c>
      <c r="O249" s="53" t="n">
        <v>117059.08</v>
      </c>
      <c r="P249" s="53" t="n">
        <v>779.08</v>
      </c>
      <c r="Q249" s="53" t="n">
        <v>0</v>
      </c>
      <c r="R249" s="53" t="n">
        <v>0</v>
      </c>
      <c r="S249" s="53" t="n">
        <v>779.08</v>
      </c>
      <c r="T249" s="53" t="n">
        <v>75749.11</v>
      </c>
      <c r="U249" s="53" t="n">
        <v>0.6514</v>
      </c>
      <c r="V249" s="53" t="n">
        <v>65.37</v>
      </c>
      <c r="W249" s="53" t="n">
        <v>0.0005999999999999999</v>
      </c>
      <c r="X249" s="53" t="n">
        <v>0.6536999999999999</v>
      </c>
      <c r="Y249" s="53" t="n">
        <v>-0.6532</v>
      </c>
      <c r="Z249" s="53" t="n">
        <v>0</v>
      </c>
      <c r="AA249" s="53" t="n">
        <v>0</v>
      </c>
      <c r="AB249" s="53" t="inlineStr">
        <is>
          <t>TRUE</t>
        </is>
      </c>
      <c r="AC249" s="53" t="inlineStr">
        <is>
          <t>TRUE</t>
        </is>
      </c>
    </row>
    <row r="250">
      <c r="A250" s="53" t="inlineStr">
        <is>
          <t>2026-06-17</t>
        </is>
      </c>
      <c r="B250" s="53" t="inlineStr">
        <is>
          <t>2152299</t>
        </is>
      </c>
      <c r="C250" s="53" t="inlineStr">
        <is>
          <t>DS.2025.1882 Alexandria Building 24</t>
        </is>
      </c>
      <c r="D250" s="53" t="inlineStr">
        <is>
          <t>DW</t>
        </is>
      </c>
      <c r="E250" s="53" t="inlineStr">
        <is>
          <t>(Unassigned)</t>
        </is>
      </c>
      <c r="F250" s="53" t="inlineStr">
        <is>
          <t>Precision Dry Wall</t>
        </is>
      </c>
      <c r="G250" s="53" t="inlineStr">
        <is>
          <t>ACTIVE</t>
        </is>
      </c>
      <c r="H250" s="53" t="n">
        <v>2829.01</v>
      </c>
      <c r="I250" s="53" t="n">
        <v>0</v>
      </c>
      <c r="J250" s="53" t="n">
        <v>0</v>
      </c>
      <c r="K250" s="53" t="n">
        <v>0</v>
      </c>
      <c r="L250" s="53" t="n">
        <v>0</v>
      </c>
      <c r="M250" s="53" t="n">
        <v>2100.41</v>
      </c>
      <c r="N250" s="53" t="n">
        <v>0</v>
      </c>
      <c r="O250" s="53" t="n">
        <v>0</v>
      </c>
      <c r="P250" s="53" t="n">
        <v>0</v>
      </c>
      <c r="Q250" s="53" t="n">
        <v>0</v>
      </c>
      <c r="R250" s="53" t="n">
        <v>0</v>
      </c>
      <c r="S250" s="53" t="n">
        <v>0</v>
      </c>
      <c r="T250" s="53" t="n">
        <v>-2100.41</v>
      </c>
      <c r="U250" s="53" t="n">
        <v>0</v>
      </c>
      <c r="V250" s="53" t="n">
        <v>100</v>
      </c>
      <c r="W250" s="53" t="n">
        <v>0.0353</v>
      </c>
      <c r="X250" s="53" t="n">
        <v>0</v>
      </c>
      <c r="Y250" s="53" t="n">
        <v>0</v>
      </c>
      <c r="Z250" s="53" t="n">
        <v>0</v>
      </c>
      <c r="AA250" s="53" t="n">
        <v>0</v>
      </c>
      <c r="AB250" s="53" t="inlineStr">
        <is>
          <t>FALSE</t>
        </is>
      </c>
      <c r="AC250" s="53" t="inlineStr">
        <is>
          <t>FALSE</t>
        </is>
      </c>
    </row>
    <row r="251">
      <c r="A251" s="53" t="inlineStr">
        <is>
          <t>2026-06-17</t>
        </is>
      </c>
      <c r="B251" s="53" t="inlineStr">
        <is>
          <t>2117526</t>
        </is>
      </c>
      <c r="C251" s="53" t="inlineStr">
        <is>
          <t>2025.993 Batesville Public Library</t>
        </is>
      </c>
      <c r="D251" s="53" t="inlineStr">
        <is>
          <t>TI</t>
        </is>
      </c>
      <c r="E251" s="53" t="inlineStr">
        <is>
          <t>Shawn Welcher</t>
        </is>
      </c>
      <c r="F251" s="53" t="inlineStr">
        <is>
          <t>Meyer Najem</t>
        </is>
      </c>
      <c r="G251" s="53" t="inlineStr">
        <is>
          <t>ACTIVE</t>
        </is>
      </c>
      <c r="H251" s="53" t="n">
        <v>63852.15</v>
      </c>
      <c r="I251" s="53" t="n">
        <v>1177.15</v>
      </c>
      <c r="J251" s="53" t="n">
        <v>62675</v>
      </c>
      <c r="K251" s="53" t="n">
        <v>2147</v>
      </c>
      <c r="L251" s="53" t="n">
        <v>74275.84</v>
      </c>
      <c r="M251" s="53" t="n">
        <v>74275.84</v>
      </c>
      <c r="N251" s="53" t="n">
        <v>1</v>
      </c>
      <c r="O251" s="53" t="n">
        <v>63852.15</v>
      </c>
      <c r="P251" s="53" t="n">
        <v>1177.15</v>
      </c>
      <c r="Q251" s="53" t="n">
        <v>1177.15</v>
      </c>
      <c r="R251" s="53" t="n">
        <v>0</v>
      </c>
      <c r="S251" s="53" t="n">
        <v>1177.15</v>
      </c>
      <c r="T251" s="53" t="n">
        <v>-11600.84</v>
      </c>
      <c r="U251" s="53" t="n">
        <v>-0.1851</v>
      </c>
      <c r="V251" s="53" t="n">
        <v>-16.32</v>
      </c>
      <c r="W251" s="53" t="n">
        <v>-0.0003</v>
      </c>
      <c r="X251" s="53" t="n">
        <v>-0.1632</v>
      </c>
      <c r="Y251" s="53" t="n">
        <v>0.163</v>
      </c>
      <c r="Z251" s="53" t="n">
        <v>0</v>
      </c>
      <c r="AA251" s="53" t="n">
        <v>60528</v>
      </c>
      <c r="AB251" s="53" t="inlineStr">
        <is>
          <t>TRUE</t>
        </is>
      </c>
      <c r="AC251" s="53" t="inlineStr">
        <is>
          <t>TRUE</t>
        </is>
      </c>
    </row>
    <row r="252">
      <c r="A252" s="53" t="inlineStr">
        <is>
          <t>2026-06-17</t>
        </is>
      </c>
      <c r="B252" s="53" t="inlineStr">
        <is>
          <t>2108038</t>
        </is>
      </c>
      <c r="C252" s="53" t="inlineStr">
        <is>
          <t>2025.979 Groundbreakers</t>
        </is>
      </c>
      <c r="D252" s="53" t="inlineStr">
        <is>
          <t>TI</t>
        </is>
      </c>
      <c r="E252" s="53" t="inlineStr">
        <is>
          <t>Trevor Anderson</t>
        </is>
      </c>
      <c r="F252" s="53" t="inlineStr">
        <is>
          <t>Patch Development</t>
        </is>
      </c>
      <c r="G252" s="53" t="inlineStr">
        <is>
          <t>ACTIVE</t>
        </is>
      </c>
      <c r="H252" s="53" t="n">
        <v>288504.91</v>
      </c>
      <c r="I252" s="53" t="n">
        <v>65984.91</v>
      </c>
      <c r="J252" s="53" t="n">
        <v>287665.4</v>
      </c>
      <c r="K252" s="53" t="n">
        <v>287665.4</v>
      </c>
      <c r="L252" s="53" t="n">
        <v>162334.99</v>
      </c>
      <c r="M252" s="53" t="n">
        <v>162334.99</v>
      </c>
      <c r="N252" s="53" t="n">
        <v>1</v>
      </c>
      <c r="O252" s="53" t="n">
        <v>288504.91</v>
      </c>
      <c r="P252" s="53" t="n">
        <v>839.51</v>
      </c>
      <c r="Q252" s="53" t="n">
        <v>839.51</v>
      </c>
      <c r="R252" s="53" t="n">
        <v>0</v>
      </c>
      <c r="S252" s="53" t="n">
        <v>839.51</v>
      </c>
      <c r="T252" s="53" t="n">
        <v>125330.41</v>
      </c>
      <c r="U252" s="53" t="n">
        <v>0.4357</v>
      </c>
      <c r="V252" s="53" t="n">
        <v>43.73</v>
      </c>
      <c r="W252" s="53" t="n">
        <v>0.0002</v>
      </c>
      <c r="X252" s="53" t="n">
        <v>0.4373</v>
      </c>
      <c r="Y252" s="53" t="n">
        <v>-0.4372</v>
      </c>
      <c r="Z252" s="53" t="n">
        <v>0</v>
      </c>
      <c r="AA252" s="53" t="n">
        <v>0</v>
      </c>
      <c r="AB252" s="53" t="inlineStr">
        <is>
          <t>TRUE</t>
        </is>
      </c>
      <c r="AC252" s="53" t="inlineStr">
        <is>
          <t>TRUE</t>
        </is>
      </c>
    </row>
    <row r="253">
      <c r="A253" s="53" t="inlineStr">
        <is>
          <t>2026-06-17</t>
        </is>
      </c>
      <c r="B253" s="53" t="inlineStr">
        <is>
          <t>2098776</t>
        </is>
      </c>
      <c r="C253" s="53" t="inlineStr">
        <is>
          <t>2025.969 Carson</t>
        </is>
      </c>
      <c r="D253" s="53" t="inlineStr">
        <is>
          <t>TI</t>
        </is>
      </c>
      <c r="E253" s="53" t="inlineStr">
        <is>
          <t>Spencer Anderson</t>
        </is>
      </c>
      <c r="F253" s="53" t="inlineStr">
        <is>
          <t>DEEM, LLC</t>
        </is>
      </c>
      <c r="G253" s="53" t="inlineStr">
        <is>
          <t>ACTIVE</t>
        </is>
      </c>
      <c r="H253" s="53" t="n">
        <v>287418</v>
      </c>
      <c r="I253" s="53" t="n">
        <v>163418</v>
      </c>
      <c r="J253" s="53" t="n">
        <v>287418</v>
      </c>
      <c r="K253" s="53" t="n">
        <v>287418</v>
      </c>
      <c r="L253" s="53" t="n">
        <v>155989.46</v>
      </c>
      <c r="M253" s="53" t="n">
        <v>155814.41</v>
      </c>
      <c r="N253" s="53" t="n">
        <v>0.9989</v>
      </c>
      <c r="O253" s="53" t="n">
        <v>287101.84</v>
      </c>
      <c r="P253" s="53" t="n">
        <v>-316.16</v>
      </c>
      <c r="Q253" s="53" t="n">
        <v>-322.54</v>
      </c>
      <c r="R253" s="53" t="n">
        <v>316.16</v>
      </c>
      <c r="S253" s="53" t="n">
        <v>0</v>
      </c>
      <c r="T253" s="53" t="n">
        <v>131603.59</v>
      </c>
      <c r="U253" s="53" t="n">
        <v>0.4579</v>
      </c>
      <c r="V253" s="53" t="n">
        <v>45.73</v>
      </c>
      <c r="W253" s="53" t="n">
        <v>0.0002</v>
      </c>
      <c r="X253" s="53" t="n">
        <v>0.4573</v>
      </c>
      <c r="Y253" s="53" t="n">
        <v>-0.4571</v>
      </c>
      <c r="Z253" s="53" t="n">
        <v>0</v>
      </c>
      <c r="AA253" s="53" t="n">
        <v>0</v>
      </c>
      <c r="AB253" s="53" t="inlineStr">
        <is>
          <t>TRUE</t>
        </is>
      </c>
      <c r="AC253" s="53" t="inlineStr">
        <is>
          <t>TRUE</t>
        </is>
      </c>
    </row>
    <row r="254">
      <c r="A254" s="53" t="inlineStr">
        <is>
          <t>2026-06-17</t>
        </is>
      </c>
      <c r="B254" s="53" t="inlineStr">
        <is>
          <t>2092684</t>
        </is>
      </c>
      <c r="C254" s="53" t="inlineStr">
        <is>
          <t>MF.2025.992 Young's Creek Apartments</t>
        </is>
      </c>
      <c r="D254" s="53" t="inlineStr">
        <is>
          <t>MF</t>
        </is>
      </c>
      <c r="E254" s="53" t="inlineStr">
        <is>
          <t>Kelden Tyson</t>
        </is>
      </c>
      <c r="F254" s="53" t="inlineStr">
        <is>
          <t>Shiel Sexton</t>
        </is>
      </c>
      <c r="G254" s="53" t="inlineStr">
        <is>
          <t>ACTIVE</t>
        </is>
      </c>
      <c r="H254" s="53" t="n">
        <v>488752.35</v>
      </c>
      <c r="I254" s="53" t="n">
        <v>-308847.65</v>
      </c>
      <c r="J254" s="53" t="n">
        <v>488752.35</v>
      </c>
      <c r="K254" s="53" t="n">
        <v>216259.24</v>
      </c>
      <c r="L254" s="53" t="n">
        <v>340853.31</v>
      </c>
      <c r="M254" s="53" t="n">
        <v>340853.31</v>
      </c>
      <c r="N254" s="53" t="n">
        <v>1</v>
      </c>
      <c r="O254" s="53" t="n">
        <v>488752.35</v>
      </c>
      <c r="P254" s="53" t="n">
        <v>0</v>
      </c>
      <c r="Q254" s="53" t="n">
        <v>0</v>
      </c>
      <c r="R254" s="53" t="n">
        <v>0</v>
      </c>
      <c r="S254" s="53" t="n">
        <v>0</v>
      </c>
      <c r="T254" s="53" t="n">
        <v>147899.04</v>
      </c>
      <c r="U254" s="53" t="n">
        <v>0.3026</v>
      </c>
      <c r="V254" s="53" t="n">
        <v>30.26</v>
      </c>
      <c r="W254" s="53" t="n">
        <v>0.0001</v>
      </c>
      <c r="X254" s="53" t="n">
        <v>0.3026</v>
      </c>
      <c r="Y254" s="53" t="n">
        <v>-0.3025</v>
      </c>
      <c r="Z254" s="53" t="n">
        <v>0</v>
      </c>
      <c r="AA254" s="53" t="n">
        <v>272493.11</v>
      </c>
      <c r="AB254" s="53" t="inlineStr">
        <is>
          <t>TRUE</t>
        </is>
      </c>
      <c r="AC254" s="53" t="inlineStr">
        <is>
          <t>TRUE</t>
        </is>
      </c>
    </row>
    <row r="255">
      <c r="A255" s="53" t="inlineStr">
        <is>
          <t>2026-06-17</t>
        </is>
      </c>
      <c r="B255" s="53" t="inlineStr">
        <is>
          <t>2087575</t>
        </is>
      </c>
      <c r="C255" s="53" t="inlineStr">
        <is>
          <t>MF.2025.976 Firefly Youth Housing</t>
        </is>
      </c>
      <c r="D255" s="53" t="inlineStr">
        <is>
          <t>MF</t>
        </is>
      </c>
      <c r="E255" s="53" t="inlineStr">
        <is>
          <t>Spencer Anderson</t>
        </is>
      </c>
      <c r="F255" s="53" t="inlineStr">
        <is>
          <t>Stenz Corp</t>
        </is>
      </c>
      <c r="G255" s="53" t="inlineStr">
        <is>
          <t>ACTIVE</t>
        </is>
      </c>
      <c r="H255" s="53" t="n">
        <v>250736.11</v>
      </c>
      <c r="I255" s="53" t="n">
        <v>27736.11</v>
      </c>
      <c r="J255" s="53" t="n">
        <v>225662.5</v>
      </c>
      <c r="K255" s="53" t="n">
        <v>152537.5</v>
      </c>
      <c r="L255" s="53" t="n">
        <v>180171.84</v>
      </c>
      <c r="M255" s="53" t="n">
        <v>180171.84</v>
      </c>
      <c r="N255" s="53" t="n">
        <v>1</v>
      </c>
      <c r="O255" s="53" t="n">
        <v>250736.11</v>
      </c>
      <c r="P255" s="53" t="n">
        <v>25073.61</v>
      </c>
      <c r="Q255" s="53" t="n">
        <v>-0</v>
      </c>
      <c r="R255" s="53" t="n">
        <v>0</v>
      </c>
      <c r="S255" s="53" t="n">
        <v>25073.61</v>
      </c>
      <c r="T255" s="53" t="n">
        <v>70564.27</v>
      </c>
      <c r="U255" s="53" t="n">
        <v>0.2814</v>
      </c>
      <c r="V255" s="53" t="n">
        <v>28.14</v>
      </c>
      <c r="W255" s="53" t="n">
        <v>0.0001</v>
      </c>
      <c r="X255" s="53" t="n">
        <v>0.2814</v>
      </c>
      <c r="Y255" s="53" t="n">
        <v>-0.2813</v>
      </c>
      <c r="Z255" s="53" t="n">
        <v>25073.61</v>
      </c>
      <c r="AA255" s="53" t="n">
        <v>73125</v>
      </c>
      <c r="AB255" s="53" t="inlineStr">
        <is>
          <t>TRUE</t>
        </is>
      </c>
      <c r="AC255" s="53" t="inlineStr">
        <is>
          <t>TRUE</t>
        </is>
      </c>
    </row>
    <row r="256">
      <c r="A256" s="53" t="inlineStr">
        <is>
          <t>2026-06-17</t>
        </is>
      </c>
      <c r="B256" s="53" t="inlineStr">
        <is>
          <t>2087565</t>
        </is>
      </c>
      <c r="C256" s="53" t="inlineStr">
        <is>
          <t>2026.1052 Project Panther</t>
        </is>
      </c>
      <c r="D256" s="53" t="inlineStr">
        <is>
          <t>TI</t>
        </is>
      </c>
      <c r="E256" s="53" t="inlineStr">
        <is>
          <t>Spencer Anderson</t>
        </is>
      </c>
      <c r="F256" s="53" t="inlineStr">
        <is>
          <t>ARCO Design/Build</t>
        </is>
      </c>
      <c r="G256" s="53" t="inlineStr">
        <is>
          <t>ACTIVE</t>
        </is>
      </c>
      <c r="H256" s="53" t="n">
        <v>900893</v>
      </c>
      <c r="I256" s="53" t="n">
        <v>0</v>
      </c>
      <c r="J256" s="53" t="n">
        <v>0</v>
      </c>
      <c r="K256" s="53" t="n">
        <v>0</v>
      </c>
      <c r="L256" s="53" t="n">
        <v>442417.21</v>
      </c>
      <c r="M256" s="53" t="n">
        <v>24806.55</v>
      </c>
      <c r="N256" s="53" t="n">
        <v>0.0561</v>
      </c>
      <c r="O256" s="53" t="n">
        <v>50540.1</v>
      </c>
      <c r="P256" s="53" t="n">
        <v>50540.1</v>
      </c>
      <c r="Q256" s="53" t="n">
        <v>50513.51</v>
      </c>
      <c r="R256" s="53" t="n">
        <v>0</v>
      </c>
      <c r="S256" s="53" t="n">
        <v>50540.1</v>
      </c>
      <c r="T256" s="53" t="n">
        <v>-24806.55</v>
      </c>
      <c r="U256" s="53" t="n">
        <v>0</v>
      </c>
      <c r="V256" s="53" t="n">
        <v>50.89</v>
      </c>
      <c r="W256" s="53" t="n">
        <v>0.0001</v>
      </c>
      <c r="X256" s="53" t="n">
        <v>0.5089</v>
      </c>
      <c r="Y256" s="53" t="n">
        <v>-0.5089</v>
      </c>
      <c r="Z256" s="53" t="n">
        <v>0</v>
      </c>
      <c r="AA256" s="53" t="n">
        <v>0</v>
      </c>
      <c r="AB256" s="53" t="inlineStr">
        <is>
          <t>TRUE</t>
        </is>
      </c>
      <c r="AC256" s="53" t="inlineStr">
        <is>
          <t>TRUE</t>
        </is>
      </c>
    </row>
    <row r="257">
      <c r="A257" s="53" t="inlineStr">
        <is>
          <t>2026-06-17</t>
        </is>
      </c>
      <c r="B257" s="53" t="inlineStr">
        <is>
          <t>2067674</t>
        </is>
      </c>
      <c r="C257" s="53" t="inlineStr">
        <is>
          <t>DS.2025.1762 Jeff West Builders for Steve Raker</t>
        </is>
      </c>
      <c r="D257" s="53" t="inlineStr">
        <is>
          <t>DW</t>
        </is>
      </c>
      <c r="E257" s="53" t="inlineStr">
        <is>
          <t>(Unassigned)</t>
        </is>
      </c>
      <c r="F257" s="53" t="inlineStr">
        <is>
          <t>Jeff West Homes</t>
        </is>
      </c>
      <c r="G257" s="53" t="inlineStr">
        <is>
          <t>ACTIVE</t>
        </is>
      </c>
      <c r="H257" s="53" t="n">
        <v>3911.43</v>
      </c>
      <c r="I257" s="53" t="n">
        <v>84</v>
      </c>
      <c r="J257" s="53" t="n">
        <v>3911.43</v>
      </c>
      <c r="K257" s="53" t="n">
        <v>4185.23</v>
      </c>
      <c r="L257" s="53" t="n">
        <v>0</v>
      </c>
      <c r="M257" s="53" t="n">
        <v>2903.12</v>
      </c>
      <c r="N257" s="53" t="n">
        <v>0</v>
      </c>
      <c r="O257" s="53" t="n">
        <v>0</v>
      </c>
      <c r="P257" s="53" t="n">
        <v>-3911.43</v>
      </c>
      <c r="Q257" s="53" t="n">
        <v>0</v>
      </c>
      <c r="R257" s="53" t="n">
        <v>3911.43</v>
      </c>
      <c r="S257" s="53" t="n">
        <v>0</v>
      </c>
      <c r="T257" s="53" t="n">
        <v>1008.31</v>
      </c>
      <c r="U257" s="53" t="n">
        <v>0.2578</v>
      </c>
      <c r="V257" s="53" t="n">
        <v>100</v>
      </c>
      <c r="W257" s="53" t="n">
        <v>0.0256</v>
      </c>
      <c r="X257" s="53" t="n">
        <v>0</v>
      </c>
      <c r="Y257" s="53" t="n">
        <v>0</v>
      </c>
      <c r="Z257" s="53" t="n">
        <v>0</v>
      </c>
      <c r="AA257" s="53" t="n">
        <v>-273.8</v>
      </c>
      <c r="AB257" s="53" t="inlineStr">
        <is>
          <t>FALSE</t>
        </is>
      </c>
      <c r="AC257" s="53" t="inlineStr">
        <is>
          <t>FALSE</t>
        </is>
      </c>
    </row>
    <row r="258">
      <c r="A258" s="53" t="inlineStr">
        <is>
          <t>2026-06-17</t>
        </is>
      </c>
      <c r="B258" s="53" t="inlineStr">
        <is>
          <t>2061037</t>
        </is>
      </c>
      <c r="C258" s="53" t="inlineStr">
        <is>
          <t>DS.2025.1759 Juan Lugo NC 01-22</t>
        </is>
      </c>
      <c r="D258" s="53" t="inlineStr">
        <is>
          <t>DW</t>
        </is>
      </c>
      <c r="E258" s="53" t="inlineStr">
        <is>
          <t>(Unassigned)</t>
        </is>
      </c>
      <c r="F258" s="53" t="inlineStr">
        <is>
          <t>Lugo Contracting, LLC</t>
        </is>
      </c>
      <c r="G258" s="53" t="inlineStr">
        <is>
          <t>ACTIVE</t>
        </is>
      </c>
      <c r="H258" s="53" t="n">
        <v>128322.88</v>
      </c>
      <c r="I258" s="53" t="n">
        <v>0</v>
      </c>
      <c r="J258" s="53" t="n">
        <v>128322.88</v>
      </c>
      <c r="K258" s="53" t="n">
        <v>137305.48</v>
      </c>
      <c r="L258" s="53" t="n">
        <v>0</v>
      </c>
      <c r="M258" s="53" t="n">
        <v>100104.05</v>
      </c>
      <c r="N258" s="53" t="n">
        <v>0</v>
      </c>
      <c r="O258" s="53" t="n">
        <v>0</v>
      </c>
      <c r="P258" s="53" t="n">
        <v>-128322.88</v>
      </c>
      <c r="Q258" s="53" t="n">
        <v>0</v>
      </c>
      <c r="R258" s="53" t="n">
        <v>128322.88</v>
      </c>
      <c r="S258" s="53" t="n">
        <v>0</v>
      </c>
      <c r="T258" s="53" t="n">
        <v>28218.83</v>
      </c>
      <c r="U258" s="53" t="n">
        <v>0.2199</v>
      </c>
      <c r="V258" s="53" t="n">
        <v>100</v>
      </c>
      <c r="W258" s="53" t="n">
        <v>0.0008</v>
      </c>
      <c r="X258" s="53" t="n">
        <v>0</v>
      </c>
      <c r="Y258" s="53" t="n">
        <v>0</v>
      </c>
      <c r="Z258" s="53" t="n">
        <v>0</v>
      </c>
      <c r="AA258" s="53" t="n">
        <v>-8982.6</v>
      </c>
      <c r="AB258" s="53" t="inlineStr">
        <is>
          <t>FALSE</t>
        </is>
      </c>
      <c r="AC258" s="53" t="inlineStr">
        <is>
          <t>FALSE</t>
        </is>
      </c>
    </row>
    <row r="259">
      <c r="A259" s="53" t="inlineStr">
        <is>
          <t>2026-06-17</t>
        </is>
      </c>
      <c r="B259" s="53" t="inlineStr">
        <is>
          <t>2040900</t>
        </is>
      </c>
      <c r="C259" s="53" t="inlineStr">
        <is>
          <t>MF.2025.977 Civic Square Condos</t>
        </is>
      </c>
      <c r="D259" s="53" t="inlineStr">
        <is>
          <t>MF</t>
        </is>
      </c>
      <c r="E259" s="53" t="inlineStr">
        <is>
          <t>Trevor Anderson</t>
        </is>
      </c>
      <c r="F259" s="53" t="inlineStr">
        <is>
          <t>Novo Development Group, LLC</t>
        </is>
      </c>
      <c r="G259" s="53" t="inlineStr">
        <is>
          <t>ACTIVE</t>
        </is>
      </c>
      <c r="H259" s="53" t="n">
        <v>603098</v>
      </c>
      <c r="I259" s="53" t="n">
        <v>35098</v>
      </c>
      <c r="J259" s="53" t="n">
        <v>603098</v>
      </c>
      <c r="K259" s="53" t="n">
        <v>542788.2</v>
      </c>
      <c r="L259" s="53" t="n">
        <v>454386.68</v>
      </c>
      <c r="M259" s="53" t="n">
        <v>453638.15</v>
      </c>
      <c r="N259" s="53" t="n">
        <v>0.9984</v>
      </c>
      <c r="O259" s="53" t="n">
        <v>602133.04</v>
      </c>
      <c r="P259" s="53" t="n">
        <v>-964.96</v>
      </c>
      <c r="Q259" s="53" t="n">
        <v>-993.51</v>
      </c>
      <c r="R259" s="53" t="n">
        <v>964.96</v>
      </c>
      <c r="S259" s="53" t="n">
        <v>0</v>
      </c>
      <c r="T259" s="53" t="n">
        <v>149459.85</v>
      </c>
      <c r="U259" s="53" t="n">
        <v>0.2478</v>
      </c>
      <c r="V259" s="53" t="n">
        <v>24.66</v>
      </c>
      <c r="W259" s="53" t="n">
        <v>0</v>
      </c>
      <c r="X259" s="53" t="n">
        <v>0.2466</v>
      </c>
      <c r="Y259" s="53" t="n">
        <v>-0.2465</v>
      </c>
      <c r="Z259" s="53" t="n">
        <v>0</v>
      </c>
      <c r="AA259" s="53" t="n">
        <v>60309.8</v>
      </c>
      <c r="AB259" s="53" t="inlineStr">
        <is>
          <t>TRUE</t>
        </is>
      </c>
      <c r="AC259" s="53" t="inlineStr">
        <is>
          <t>TRUE</t>
        </is>
      </c>
    </row>
    <row r="260">
      <c r="A260" s="53" t="inlineStr">
        <is>
          <t>2026-06-17</t>
        </is>
      </c>
      <c r="B260" s="53" t="inlineStr">
        <is>
          <t>2037261</t>
        </is>
      </c>
      <c r="C260" s="53" t="inlineStr">
        <is>
          <t>2025.966 C5 Bullitt III Logistics Center Warehouse</t>
        </is>
      </c>
      <c r="D260" s="53" t="inlineStr">
        <is>
          <t>TI</t>
        </is>
      </c>
      <c r="E260" s="53" t="inlineStr">
        <is>
          <t>Trevor Anderson</t>
        </is>
      </c>
      <c r="F260" s="53" t="inlineStr">
        <is>
          <t>The Peterson Company, LLC</t>
        </is>
      </c>
      <c r="G260" s="53" t="inlineStr">
        <is>
          <t>ACTIVE</t>
        </is>
      </c>
      <c r="H260" s="53" t="n">
        <v>415930</v>
      </c>
      <c r="I260" s="53" t="n">
        <v>32099</v>
      </c>
      <c r="J260" s="53" t="n">
        <v>415930</v>
      </c>
      <c r="K260" s="53" t="n">
        <v>415930</v>
      </c>
      <c r="L260" s="53" t="n">
        <v>253086.48</v>
      </c>
      <c r="M260" s="53" t="n">
        <v>253397.03</v>
      </c>
      <c r="N260" s="53" t="n">
        <v>1.0012</v>
      </c>
      <c r="O260" s="53" t="n">
        <v>416429.12</v>
      </c>
      <c r="P260" s="53" t="n">
        <v>499.12</v>
      </c>
      <c r="Q260" s="53" t="n">
        <v>0</v>
      </c>
      <c r="R260" s="53" t="n">
        <v>0</v>
      </c>
      <c r="S260" s="53" t="n">
        <v>499.12</v>
      </c>
      <c r="T260" s="53" t="n">
        <v>162532.97</v>
      </c>
      <c r="U260" s="53" t="n">
        <v>0.3908</v>
      </c>
      <c r="V260" s="53" t="n">
        <v>39.15</v>
      </c>
      <c r="W260" s="53" t="n">
        <v>0.0001</v>
      </c>
      <c r="X260" s="53" t="n">
        <v>0.3915</v>
      </c>
      <c r="Y260" s="53" t="n">
        <v>-0.3914</v>
      </c>
      <c r="Z260" s="53" t="n">
        <v>0</v>
      </c>
      <c r="AA260" s="53" t="n">
        <v>0</v>
      </c>
      <c r="AB260" s="53" t="inlineStr">
        <is>
          <t>TRUE</t>
        </is>
      </c>
      <c r="AC260" s="53" t="inlineStr">
        <is>
          <t>TRUE</t>
        </is>
      </c>
    </row>
    <row r="261">
      <c r="A261" s="53" t="inlineStr">
        <is>
          <t>2026-06-17</t>
        </is>
      </c>
      <c r="B261" s="53" t="inlineStr">
        <is>
          <t>2028240</t>
        </is>
      </c>
      <c r="C261" s="53" t="inlineStr">
        <is>
          <t>2025.960 Langham Whiteland South Lockers</t>
        </is>
      </c>
      <c r="D261" s="53" t="inlineStr">
        <is>
          <t>TI</t>
        </is>
      </c>
      <c r="E261" s="53" t="inlineStr">
        <is>
          <t>Spencer Anderson</t>
        </is>
      </c>
      <c r="F261" s="53" t="inlineStr">
        <is>
          <t>DEEM, LLC</t>
        </is>
      </c>
      <c r="G261" s="53" t="inlineStr">
        <is>
          <t>ACTIVE</t>
        </is>
      </c>
      <c r="H261" s="53" t="n">
        <v>72797</v>
      </c>
      <c r="I261" s="53" t="n">
        <v>0</v>
      </c>
      <c r="J261" s="53" t="n">
        <v>72797</v>
      </c>
      <c r="K261" s="53" t="n">
        <v>72797</v>
      </c>
      <c r="L261" s="53" t="n">
        <v>53046.04</v>
      </c>
      <c r="M261" s="53" t="n">
        <v>53580.36</v>
      </c>
      <c r="N261" s="53" t="n">
        <v>1.0101</v>
      </c>
      <c r="O261" s="53" t="n">
        <v>73532.25</v>
      </c>
      <c r="P261" s="53" t="n">
        <v>735.25</v>
      </c>
      <c r="Q261" s="53" t="n">
        <v>0</v>
      </c>
      <c r="R261" s="53" t="n">
        <v>0</v>
      </c>
      <c r="S261" s="53" t="n">
        <v>735.25</v>
      </c>
      <c r="T261" s="53" t="n">
        <v>19216.64</v>
      </c>
      <c r="U261" s="53" t="n">
        <v>0.264</v>
      </c>
      <c r="V261" s="53" t="n">
        <v>27.13</v>
      </c>
      <c r="W261" s="53" t="n">
        <v>0.0004</v>
      </c>
      <c r="X261" s="53" t="n">
        <v>0.2713</v>
      </c>
      <c r="Y261" s="53" t="n">
        <v>-0.2709</v>
      </c>
      <c r="Z261" s="53" t="n">
        <v>0</v>
      </c>
      <c r="AA261" s="53" t="n">
        <v>0</v>
      </c>
      <c r="AB261" s="53" t="inlineStr">
        <is>
          <t>TRUE</t>
        </is>
      </c>
      <c r="AC261" s="53" t="inlineStr">
        <is>
          <t>TRUE</t>
        </is>
      </c>
    </row>
    <row r="262">
      <c r="A262" s="53" t="inlineStr">
        <is>
          <t>2026-06-17</t>
        </is>
      </c>
      <c r="B262" s="53" t="inlineStr">
        <is>
          <t>2025315</t>
        </is>
      </c>
      <c r="C262" s="53" t="inlineStr">
        <is>
          <t>2024.957 SanMar AWR</t>
        </is>
      </c>
      <c r="D262" s="53" t="inlineStr">
        <is>
          <t>TI</t>
        </is>
      </c>
      <c r="E262" s="53" t="inlineStr">
        <is>
          <t>Cole Garriott</t>
        </is>
      </c>
      <c r="F262" s="53" t="inlineStr">
        <is>
          <t>The Peterson Company, LLC</t>
        </is>
      </c>
      <c r="G262" s="53" t="inlineStr">
        <is>
          <t>ACTIVE</t>
        </is>
      </c>
      <c r="H262" s="53" t="n">
        <v>34964</v>
      </c>
      <c r="I262" s="53" t="n">
        <v>10398</v>
      </c>
      <c r="J262" s="53" t="n">
        <v>34964</v>
      </c>
      <c r="K262" s="53" t="n">
        <v>34964</v>
      </c>
      <c r="L262" s="53" t="n">
        <v>17925.48</v>
      </c>
      <c r="M262" s="53" t="n">
        <v>17925.48</v>
      </c>
      <c r="N262" s="53" t="n">
        <v>1</v>
      </c>
      <c r="O262" s="53" t="n">
        <v>34964</v>
      </c>
      <c r="P262" s="53" t="n">
        <v>0</v>
      </c>
      <c r="Q262" s="53" t="n">
        <v>0</v>
      </c>
      <c r="R262" s="53" t="n">
        <v>0</v>
      </c>
      <c r="S262" s="53" t="n">
        <v>0</v>
      </c>
      <c r="T262" s="53" t="n">
        <v>17038.52</v>
      </c>
      <c r="U262" s="53" t="n">
        <v>0.4873</v>
      </c>
      <c r="V262" s="53" t="n">
        <v>48.73</v>
      </c>
      <c r="W262" s="53" t="n">
        <v>0.0014</v>
      </c>
      <c r="X262" s="53" t="n">
        <v>0.4873</v>
      </c>
      <c r="Y262" s="53" t="n">
        <v>-0.4859</v>
      </c>
      <c r="Z262" s="53" t="n">
        <v>0</v>
      </c>
      <c r="AA262" s="53" t="n">
        <v>0</v>
      </c>
      <c r="AB262" s="53" t="inlineStr">
        <is>
          <t>TRUE</t>
        </is>
      </c>
      <c r="AC262" s="53" t="inlineStr">
        <is>
          <t>TRUE</t>
        </is>
      </c>
    </row>
    <row r="263">
      <c r="A263" s="53" t="inlineStr">
        <is>
          <t>2026-06-17</t>
        </is>
      </c>
      <c r="B263" s="53" t="inlineStr">
        <is>
          <t>2012203</t>
        </is>
      </c>
      <c r="C263" s="53" t="inlineStr">
        <is>
          <t>2024.953 Motorworks</t>
        </is>
      </c>
      <c r="D263" s="53" t="inlineStr">
        <is>
          <t>TI</t>
        </is>
      </c>
      <c r="E263" s="53" t="inlineStr">
        <is>
          <t>Tommy Cohoat</t>
        </is>
      </c>
      <c r="F263" s="53" t="inlineStr">
        <is>
          <t>Precision Dry Wall</t>
        </is>
      </c>
      <c r="G263" s="53" t="inlineStr">
        <is>
          <t>ACTIVE</t>
        </is>
      </c>
      <c r="H263" s="53" t="n">
        <v>2605.74</v>
      </c>
      <c r="I263" s="53" t="n">
        <v>405.74</v>
      </c>
      <c r="J263" s="53" t="n">
        <v>2605.74</v>
      </c>
      <c r="K263" s="53" t="n">
        <v>2605.74</v>
      </c>
      <c r="L263" s="53" t="n">
        <v>1364.98</v>
      </c>
      <c r="M263" s="53" t="n">
        <v>1364.98</v>
      </c>
      <c r="N263" s="53" t="n">
        <v>1</v>
      </c>
      <c r="O263" s="53" t="n">
        <v>2605.74</v>
      </c>
      <c r="P263" s="53" t="n">
        <v>0</v>
      </c>
      <c r="Q263" s="53" t="n">
        <v>0</v>
      </c>
      <c r="R263" s="53" t="n">
        <v>0</v>
      </c>
      <c r="S263" s="53" t="n">
        <v>0</v>
      </c>
      <c r="T263" s="53" t="n">
        <v>1240.76</v>
      </c>
      <c r="U263" s="53" t="n">
        <v>0.4762</v>
      </c>
      <c r="V263" s="53" t="n">
        <v>47.62</v>
      </c>
      <c r="W263" s="53" t="n">
        <v>0.0183</v>
      </c>
      <c r="X263" s="53" t="n">
        <v>0.4762</v>
      </c>
      <c r="Y263" s="53" t="n">
        <v>-0.4579</v>
      </c>
      <c r="Z263" s="53" t="n">
        <v>0</v>
      </c>
      <c r="AA263" s="53" t="n">
        <v>0</v>
      </c>
      <c r="AB263" s="53" t="inlineStr">
        <is>
          <t>TRUE</t>
        </is>
      </c>
      <c r="AC263" s="53" t="inlineStr">
        <is>
          <t>TRUE</t>
        </is>
      </c>
    </row>
    <row r="264">
      <c r="A264" s="53" t="inlineStr">
        <is>
          <t>2026-06-17</t>
        </is>
      </c>
      <c r="B264" s="53" t="inlineStr">
        <is>
          <t>2009228</t>
        </is>
      </c>
      <c r="C264" s="53" t="inlineStr">
        <is>
          <t>MF.2025.963 Home 2 Suites</t>
        </is>
      </c>
      <c r="D264" s="53" t="inlineStr">
        <is>
          <t>MF</t>
        </is>
      </c>
      <c r="E264" s="53" t="inlineStr">
        <is>
          <t>Kelden Tyson</t>
        </is>
      </c>
      <c r="F264" s="53" t="inlineStr">
        <is>
          <t>Meyer Najem</t>
        </is>
      </c>
      <c r="G264" s="53" t="inlineStr">
        <is>
          <t>ACTIVE</t>
        </is>
      </c>
      <c r="H264" s="53" t="n">
        <v>580227.88</v>
      </c>
      <c r="I264" s="53" t="n">
        <v>5227.88</v>
      </c>
      <c r="J264" s="53" t="n">
        <v>580227.88</v>
      </c>
      <c r="K264" s="53" t="n">
        <v>522205.09</v>
      </c>
      <c r="L264" s="53" t="n">
        <v>408243.32</v>
      </c>
      <c r="M264" s="53" t="n">
        <v>408243.32</v>
      </c>
      <c r="N264" s="53" t="n">
        <v>1</v>
      </c>
      <c r="O264" s="53" t="n">
        <v>580227.88</v>
      </c>
      <c r="P264" s="53" t="n">
        <v>0</v>
      </c>
      <c r="Q264" s="53" t="n">
        <v>-0</v>
      </c>
      <c r="R264" s="53" t="n">
        <v>0</v>
      </c>
      <c r="S264" s="53" t="n">
        <v>0</v>
      </c>
      <c r="T264" s="53" t="n">
        <v>171984.56</v>
      </c>
      <c r="U264" s="53" t="n">
        <v>0.2964</v>
      </c>
      <c r="V264" s="53" t="n">
        <v>29.64</v>
      </c>
      <c r="W264" s="53" t="n">
        <v>0.0001</v>
      </c>
      <c r="X264" s="53" t="n">
        <v>0.2964</v>
      </c>
      <c r="Y264" s="53" t="n">
        <v>-0.2964</v>
      </c>
      <c r="Z264" s="53" t="n">
        <v>0</v>
      </c>
      <c r="AA264" s="53" t="n">
        <v>58022.79</v>
      </c>
      <c r="AB264" s="53" t="inlineStr">
        <is>
          <t>TRUE</t>
        </is>
      </c>
      <c r="AC264" s="53" t="inlineStr">
        <is>
          <t>TRUE</t>
        </is>
      </c>
    </row>
    <row r="265">
      <c r="A265" s="53" t="inlineStr">
        <is>
          <t>2026-06-17</t>
        </is>
      </c>
      <c r="B265" s="53" t="inlineStr">
        <is>
          <t>1989297</t>
        </is>
      </c>
      <c r="C265" s="53" t="inlineStr">
        <is>
          <t>DS.2024.1656 Juan Lugo 1202 NC</t>
        </is>
      </c>
      <c r="D265" s="53" t="inlineStr">
        <is>
          <t>DW</t>
        </is>
      </c>
      <c r="E265" s="53" t="inlineStr">
        <is>
          <t>(Unassigned)</t>
        </is>
      </c>
      <c r="F265" s="53" t="inlineStr">
        <is>
          <t>Lugo Contracting, LLC</t>
        </is>
      </c>
      <c r="G265" s="53" t="inlineStr">
        <is>
          <t>ACTIVE</t>
        </is>
      </c>
      <c r="H265" s="53" t="n">
        <v>83195.75</v>
      </c>
      <c r="I265" s="53" t="n">
        <v>0</v>
      </c>
      <c r="J265" s="53" t="n">
        <v>83195.75</v>
      </c>
      <c r="K265" s="53" t="n">
        <v>89019.45</v>
      </c>
      <c r="L265" s="53" t="n">
        <v>0</v>
      </c>
      <c r="M265" s="53" t="n">
        <v>67140.53</v>
      </c>
      <c r="N265" s="53" t="n">
        <v>0</v>
      </c>
      <c r="O265" s="53" t="n">
        <v>0</v>
      </c>
      <c r="P265" s="53" t="n">
        <v>-83195.75</v>
      </c>
      <c r="Q265" s="53" t="n">
        <v>0</v>
      </c>
      <c r="R265" s="53" t="n">
        <v>83195.75</v>
      </c>
      <c r="S265" s="53" t="n">
        <v>0</v>
      </c>
      <c r="T265" s="53" t="n">
        <v>16055.22</v>
      </c>
      <c r="U265" s="53" t="n">
        <v>0.193</v>
      </c>
      <c r="V265" s="53" t="n">
        <v>100</v>
      </c>
      <c r="W265" s="53" t="n">
        <v>0.0012</v>
      </c>
      <c r="X265" s="53" t="n">
        <v>0</v>
      </c>
      <c r="Y265" s="53" t="n">
        <v>0</v>
      </c>
      <c r="Z265" s="53" t="n">
        <v>0</v>
      </c>
      <c r="AA265" s="53" t="n">
        <v>-5823.7</v>
      </c>
      <c r="AB265" s="53" t="inlineStr">
        <is>
          <t>FALSE</t>
        </is>
      </c>
      <c r="AC265" s="53" t="inlineStr">
        <is>
          <t>FALSE</t>
        </is>
      </c>
    </row>
    <row r="266">
      <c r="A266" s="53" t="inlineStr">
        <is>
          <t>2026-06-17</t>
        </is>
      </c>
      <c r="B266" s="53" t="inlineStr">
        <is>
          <t>1956827</t>
        </is>
      </c>
      <c r="C266" s="53" t="inlineStr">
        <is>
          <t>MF.2024.941 Oak Trace</t>
        </is>
      </c>
      <c r="D266" s="53" t="inlineStr">
        <is>
          <t>MF</t>
        </is>
      </c>
      <c r="E266" s="53" t="inlineStr">
        <is>
          <t>Dustin Hurt</t>
        </is>
      </c>
      <c r="F266" s="53" t="inlineStr">
        <is>
          <t>Westfield Community Management, LLC</t>
        </is>
      </c>
      <c r="G266" s="53" t="inlineStr">
        <is>
          <t>ACTIVE</t>
        </is>
      </c>
      <c r="H266" s="53" t="n">
        <v>76730</v>
      </c>
      <c r="I266" s="53" t="n">
        <v>15200</v>
      </c>
      <c r="J266" s="53" t="n">
        <v>76730</v>
      </c>
      <c r="K266" s="53" t="n">
        <v>76730</v>
      </c>
      <c r="L266" s="53" t="n">
        <v>59188.79</v>
      </c>
      <c r="M266" s="53" t="n">
        <v>59237.53</v>
      </c>
      <c r="N266" s="53" t="n">
        <v>1.0008</v>
      </c>
      <c r="O266" s="53" t="n">
        <v>76791.38</v>
      </c>
      <c r="P266" s="53" t="n">
        <v>61.38</v>
      </c>
      <c r="Q266" s="53" t="n">
        <v>0</v>
      </c>
      <c r="R266" s="53" t="n">
        <v>0</v>
      </c>
      <c r="S266" s="53" t="n">
        <v>61.38</v>
      </c>
      <c r="T266" s="53" t="n">
        <v>17492.47</v>
      </c>
      <c r="U266" s="53" t="n">
        <v>0.228</v>
      </c>
      <c r="V266" s="53" t="n">
        <v>22.86</v>
      </c>
      <c r="W266" s="53" t="n">
        <v>0.0003</v>
      </c>
      <c r="X266" s="53" t="n">
        <v>0.2286</v>
      </c>
      <c r="Y266" s="53" t="n">
        <v>-0.2283</v>
      </c>
      <c r="Z266" s="53" t="n">
        <v>0</v>
      </c>
      <c r="AA266" s="53" t="n">
        <v>0</v>
      </c>
      <c r="AB266" s="53" t="inlineStr">
        <is>
          <t>TRUE</t>
        </is>
      </c>
      <c r="AC266" s="53" t="inlineStr">
        <is>
          <t>TRUE</t>
        </is>
      </c>
    </row>
    <row r="267">
      <c r="A267" s="53" t="inlineStr">
        <is>
          <t>2026-06-17</t>
        </is>
      </c>
      <c r="B267" s="53" t="inlineStr">
        <is>
          <t>1900804</t>
        </is>
      </c>
      <c r="C267" s="53" t="inlineStr">
        <is>
          <t>MF.2025.972 Union Flats - Fishers</t>
        </is>
      </c>
      <c r="D267" s="53" t="inlineStr">
        <is>
          <t>MF</t>
        </is>
      </c>
      <c r="E267" s="53" t="inlineStr">
        <is>
          <t>Ben Garza</t>
        </is>
      </c>
      <c r="F267" s="53" t="inlineStr">
        <is>
          <t>Thompson Thrift Construction</t>
        </is>
      </c>
      <c r="G267" s="53" t="inlineStr">
        <is>
          <t>ACTIVE</t>
        </is>
      </c>
      <c r="H267" s="53" t="n">
        <v>3838166</v>
      </c>
      <c r="I267" s="53" t="n">
        <v>-11834</v>
      </c>
      <c r="J267" s="53" t="n">
        <v>2726076.15</v>
      </c>
      <c r="K267" s="53" t="n">
        <v>1584810</v>
      </c>
      <c r="L267" s="53" t="n">
        <v>2682585.85</v>
      </c>
      <c r="M267" s="53" t="n">
        <v>2343618.31</v>
      </c>
      <c r="N267" s="53" t="n">
        <v>0.8736</v>
      </c>
      <c r="O267" s="53" t="n">
        <v>3353021.82</v>
      </c>
      <c r="P267" s="53" t="n">
        <v>626945.67</v>
      </c>
      <c r="Q267" s="53" t="n">
        <v>324207.58</v>
      </c>
      <c r="R267" s="53" t="n">
        <v>0</v>
      </c>
      <c r="S267" s="53" t="n">
        <v>626945.67</v>
      </c>
      <c r="T267" s="53" t="n">
        <v>685355.1899999999</v>
      </c>
      <c r="U267" s="53" t="n">
        <v>0.2263</v>
      </c>
      <c r="V267" s="53" t="n">
        <v>30.11</v>
      </c>
      <c r="W267" s="53" t="n">
        <v>0</v>
      </c>
      <c r="X267" s="53" t="n">
        <v>0.3011</v>
      </c>
      <c r="Y267" s="53" t="n">
        <v>-0.3011</v>
      </c>
      <c r="Z267" s="53" t="n">
        <v>302897.35</v>
      </c>
      <c r="AA267" s="53" t="n">
        <v>1141266.15</v>
      </c>
      <c r="AB267" s="53" t="inlineStr">
        <is>
          <t>TRUE</t>
        </is>
      </c>
      <c r="AC267" s="53" t="inlineStr">
        <is>
          <t>TRUE</t>
        </is>
      </c>
    </row>
    <row r="268">
      <c r="A268" s="53" t="inlineStr">
        <is>
          <t>2026-06-17</t>
        </is>
      </c>
      <c r="B268" s="53" t="inlineStr">
        <is>
          <t>1870076</t>
        </is>
      </c>
      <c r="C268" s="53" t="inlineStr">
        <is>
          <t>2024.929 DEEM Warehouse</t>
        </is>
      </c>
      <c r="D268" s="53" t="inlineStr">
        <is>
          <t>TI</t>
        </is>
      </c>
      <c r="E268" s="53" t="inlineStr">
        <is>
          <t>Tommy Cohoat</t>
        </is>
      </c>
      <c r="F268" s="53" t="inlineStr">
        <is>
          <t>DEEM, LLC</t>
        </is>
      </c>
      <c r="G268" s="53" t="inlineStr">
        <is>
          <t>ACTIVE</t>
        </is>
      </c>
      <c r="H268" s="53" t="n">
        <v>659384.05</v>
      </c>
      <c r="I268" s="53" t="n">
        <v>610634.05</v>
      </c>
      <c r="J268" s="53" t="n">
        <v>659384.05</v>
      </c>
      <c r="K268" s="53" t="n">
        <v>659384.05</v>
      </c>
      <c r="L268" s="53" t="n">
        <v>260000</v>
      </c>
      <c r="M268" s="53" t="n">
        <v>257137.17</v>
      </c>
      <c r="N268" s="53" t="n">
        <v>0.989</v>
      </c>
      <c r="O268" s="53" t="n">
        <v>652130.83</v>
      </c>
      <c r="P268" s="53" t="n">
        <v>-7253.22</v>
      </c>
      <c r="Q268" s="53" t="n">
        <v>-7260.4</v>
      </c>
      <c r="R268" s="53" t="n">
        <v>7253.22</v>
      </c>
      <c r="S268" s="53" t="n">
        <v>0</v>
      </c>
      <c r="T268" s="53" t="n">
        <v>402246.88</v>
      </c>
      <c r="U268" s="53" t="n">
        <v>0.61</v>
      </c>
      <c r="V268" s="53" t="n">
        <v>60.57</v>
      </c>
      <c r="W268" s="53" t="n">
        <v>0.0001</v>
      </c>
      <c r="X268" s="53" t="n">
        <v>0.6057</v>
      </c>
      <c r="Y268" s="53" t="n">
        <v>-0.6056</v>
      </c>
      <c r="Z268" s="53" t="n">
        <v>0</v>
      </c>
      <c r="AA268" s="53" t="n">
        <v>0</v>
      </c>
      <c r="AB268" s="53" t="inlineStr">
        <is>
          <t>TRUE</t>
        </is>
      </c>
      <c r="AC268" s="53" t="inlineStr">
        <is>
          <t>TRUE</t>
        </is>
      </c>
    </row>
    <row r="269">
      <c r="A269" s="53" t="inlineStr">
        <is>
          <t>2026-06-17</t>
        </is>
      </c>
      <c r="B269" s="53" t="inlineStr">
        <is>
          <t>1854607</t>
        </is>
      </c>
      <c r="C269" s="53" t="inlineStr">
        <is>
          <t>MF.2024.924 Monon Trail Elementary</t>
        </is>
      </c>
      <c r="D269" s="53" t="inlineStr">
        <is>
          <t>MF</t>
        </is>
      </c>
      <c r="E269" s="53" t="inlineStr">
        <is>
          <t>Dustin Hurt</t>
        </is>
      </c>
      <c r="F269" s="53" t="inlineStr">
        <is>
          <t>LTB Construction, Inc.</t>
        </is>
      </c>
      <c r="G269" s="53" t="inlineStr">
        <is>
          <t>ACTIVE</t>
        </is>
      </c>
      <c r="H269" s="53" t="n">
        <v>4550</v>
      </c>
      <c r="I269" s="53" t="n">
        <v>0</v>
      </c>
      <c r="J269" s="53" t="n">
        <v>4550</v>
      </c>
      <c r="K269" s="53" t="n">
        <v>4550</v>
      </c>
      <c r="L269" s="53" t="n">
        <v>5200</v>
      </c>
      <c r="M269" s="53" t="n">
        <v>1575</v>
      </c>
      <c r="N269" s="53" t="n">
        <v>0.3029</v>
      </c>
      <c r="O269" s="53" t="n">
        <v>1378.19</v>
      </c>
      <c r="P269" s="53" t="n">
        <v>-3171.81</v>
      </c>
      <c r="Q269" s="53" t="n">
        <v>0</v>
      </c>
      <c r="R269" s="53" t="n">
        <v>3171.81</v>
      </c>
      <c r="S269" s="53" t="n">
        <v>0</v>
      </c>
      <c r="T269" s="53" t="n">
        <v>2975</v>
      </c>
      <c r="U269" s="53" t="n">
        <v>0.6538</v>
      </c>
      <c r="V269" s="53" t="n">
        <v>-14.29</v>
      </c>
      <c r="W269" s="53" t="n">
        <v>-0.0031</v>
      </c>
      <c r="X269" s="53" t="n">
        <v>-0.1429</v>
      </c>
      <c r="Y269" s="53" t="n">
        <v>0.1397</v>
      </c>
      <c r="Z269" s="53" t="n">
        <v>0</v>
      </c>
      <c r="AA269" s="53" t="n">
        <v>0</v>
      </c>
      <c r="AB269" s="53" t="inlineStr">
        <is>
          <t>TRUE</t>
        </is>
      </c>
      <c r="AC269" s="53" t="inlineStr">
        <is>
          <t>TRUE</t>
        </is>
      </c>
    </row>
    <row r="270">
      <c r="A270" s="53" t="inlineStr">
        <is>
          <t>2026-06-17</t>
        </is>
      </c>
      <c r="B270" s="53" t="inlineStr">
        <is>
          <t>1842206</t>
        </is>
      </c>
      <c r="C270" s="53" t="inlineStr">
        <is>
          <t>2024.920 SMC Mezzanine HVAC</t>
        </is>
      </c>
      <c r="D270" s="53" t="inlineStr">
        <is>
          <t>TI</t>
        </is>
      </c>
      <c r="E270" s="53" t="inlineStr">
        <is>
          <t>Trevor Anderson</t>
        </is>
      </c>
      <c r="F270" s="53" t="inlineStr">
        <is>
          <t>DEEM, LLC</t>
        </is>
      </c>
      <c r="G270" s="53" t="inlineStr">
        <is>
          <t>ACTIVE</t>
        </is>
      </c>
      <c r="H270" s="53" t="n">
        <v>2028</v>
      </c>
      <c r="I270" s="53" t="n">
        <v>0</v>
      </c>
      <c r="J270" s="53" t="n">
        <v>2028</v>
      </c>
      <c r="K270" s="53" t="n">
        <v>2028</v>
      </c>
      <c r="L270" s="53" t="n">
        <v>945.21</v>
      </c>
      <c r="M270" s="53" t="n">
        <v>945.21</v>
      </c>
      <c r="N270" s="53" t="n">
        <v>1</v>
      </c>
      <c r="O270" s="53" t="n">
        <v>2028</v>
      </c>
      <c r="P270" s="53" t="n">
        <v>0</v>
      </c>
      <c r="Q270" s="53" t="n">
        <v>0</v>
      </c>
      <c r="R270" s="53" t="n">
        <v>0</v>
      </c>
      <c r="S270" s="53" t="n">
        <v>0</v>
      </c>
      <c r="T270" s="53" t="n">
        <v>1082.79</v>
      </c>
      <c r="U270" s="53" t="n">
        <v>0.5339</v>
      </c>
      <c r="V270" s="53" t="n">
        <v>53.39</v>
      </c>
      <c r="W270" s="53" t="n">
        <v>0.0263</v>
      </c>
      <c r="X270" s="53" t="n">
        <v>0.5339</v>
      </c>
      <c r="Y270" s="53" t="n">
        <v>-0.5076000000000001</v>
      </c>
      <c r="Z270" s="53" t="n">
        <v>0</v>
      </c>
      <c r="AA270" s="53" t="n">
        <v>0</v>
      </c>
      <c r="AB270" s="53" t="inlineStr">
        <is>
          <t>TRUE</t>
        </is>
      </c>
      <c r="AC270" s="53" t="inlineStr">
        <is>
          <t>TRUE</t>
        </is>
      </c>
    </row>
    <row r="271">
      <c r="A271" s="53" t="inlineStr">
        <is>
          <t>2026-06-17</t>
        </is>
      </c>
      <c r="B271" s="53" t="inlineStr">
        <is>
          <t>1839016</t>
        </is>
      </c>
      <c r="C271" s="53" t="inlineStr">
        <is>
          <t>MF.2025.1007 The Approach</t>
        </is>
      </c>
      <c r="D271" s="53" t="inlineStr">
        <is>
          <t>MF</t>
        </is>
      </c>
      <c r="E271" s="53" t="inlineStr">
        <is>
          <t>Kelden Tyson</t>
        </is>
      </c>
      <c r="F271" s="53" t="inlineStr">
        <is>
          <t>KCG</t>
        </is>
      </c>
      <c r="G271" s="53" t="inlineStr">
        <is>
          <t>ACTIVE</t>
        </is>
      </c>
      <c r="H271" s="53" t="n">
        <v>5643379.34</v>
      </c>
      <c r="I271" s="53" t="n">
        <v>283379.34</v>
      </c>
      <c r="J271" s="53" t="n">
        <v>0</v>
      </c>
      <c r="K271" s="53" t="n">
        <v>0</v>
      </c>
      <c r="L271" s="53" t="n">
        <v>3375843.48</v>
      </c>
      <c r="M271" s="53" t="n">
        <v>2174.78</v>
      </c>
      <c r="N271" s="53" t="n">
        <v>0.0005999999999999999</v>
      </c>
      <c r="O271" s="53" t="n">
        <v>3386.03</v>
      </c>
      <c r="P271" s="53" t="n">
        <v>3386.03</v>
      </c>
      <c r="Q271" s="53" t="n">
        <v>3635.57</v>
      </c>
      <c r="R271" s="53" t="n">
        <v>0</v>
      </c>
      <c r="S271" s="53" t="n">
        <v>3386.03</v>
      </c>
      <c r="T271" s="53" t="n">
        <v>-2174.78</v>
      </c>
      <c r="U271" s="53" t="n">
        <v>0</v>
      </c>
      <c r="V271" s="53" t="n">
        <v>40.18</v>
      </c>
      <c r="W271" s="53" t="n">
        <v>0</v>
      </c>
      <c r="X271" s="53" t="n">
        <v>0.4018</v>
      </c>
      <c r="Y271" s="53" t="n">
        <v>-0.4018</v>
      </c>
      <c r="Z271" s="53" t="n">
        <v>0</v>
      </c>
      <c r="AA271" s="53" t="n">
        <v>0</v>
      </c>
      <c r="AB271" s="53" t="inlineStr">
        <is>
          <t>TRUE</t>
        </is>
      </c>
      <c r="AC271" s="53" t="inlineStr">
        <is>
          <t>TRUE</t>
        </is>
      </c>
    </row>
    <row r="272">
      <c r="A272" s="53" t="inlineStr">
        <is>
          <t>2026-06-17</t>
        </is>
      </c>
      <c r="B272" s="53" t="inlineStr">
        <is>
          <t>1820214</t>
        </is>
      </c>
      <c r="C272" s="53" t="inlineStr">
        <is>
          <t>DS.2024.1378 Ketchum Basement</t>
        </is>
      </c>
      <c r="D272" s="53" t="inlineStr">
        <is>
          <t>DW</t>
        </is>
      </c>
      <c r="E272" s="53" t="inlineStr">
        <is>
          <t>(Unassigned)</t>
        </is>
      </c>
      <c r="F272" s="53" t="inlineStr">
        <is>
          <t>Mendoza</t>
        </is>
      </c>
      <c r="G272" s="53" t="inlineStr">
        <is>
          <t>ACTIVE</t>
        </is>
      </c>
      <c r="H272" s="53" t="n">
        <v>4398.77</v>
      </c>
      <c r="I272" s="53" t="n">
        <v>0</v>
      </c>
      <c r="J272" s="53" t="n">
        <v>4398.77</v>
      </c>
      <c r="K272" s="53" t="n">
        <v>4706.68</v>
      </c>
      <c r="L272" s="53" t="n">
        <v>0</v>
      </c>
      <c r="M272" s="53" t="n">
        <v>2876.96</v>
      </c>
      <c r="N272" s="53" t="n">
        <v>0</v>
      </c>
      <c r="O272" s="53" t="n">
        <v>0</v>
      </c>
      <c r="P272" s="53" t="n">
        <v>-4398.77</v>
      </c>
      <c r="Q272" s="53" t="n">
        <v>0</v>
      </c>
      <c r="R272" s="53" t="n">
        <v>4398.77</v>
      </c>
      <c r="S272" s="53" t="n">
        <v>0</v>
      </c>
      <c r="T272" s="53" t="n">
        <v>1521.81</v>
      </c>
      <c r="U272" s="53" t="n">
        <v>0.346</v>
      </c>
      <c r="V272" s="53" t="n">
        <v>100</v>
      </c>
      <c r="W272" s="53" t="n">
        <v>0.0227</v>
      </c>
      <c r="X272" s="53" t="n">
        <v>0</v>
      </c>
      <c r="Y272" s="53" t="n">
        <v>0</v>
      </c>
      <c r="Z272" s="53" t="n">
        <v>0</v>
      </c>
      <c r="AA272" s="53" t="n">
        <v>-307.91</v>
      </c>
      <c r="AB272" s="53" t="inlineStr">
        <is>
          <t>FALSE</t>
        </is>
      </c>
      <c r="AC272" s="53" t="inlineStr">
        <is>
          <t>FALSE</t>
        </is>
      </c>
    </row>
    <row r="273">
      <c r="A273" s="53" t="inlineStr">
        <is>
          <t>2026-06-17</t>
        </is>
      </c>
      <c r="B273" s="53" t="inlineStr">
        <is>
          <t>1819558</t>
        </is>
      </c>
      <c r="C273" s="53" t="inlineStr">
        <is>
          <t>DS.2024.1377 Warehouse Pickup 0710 - 2824 Sunnyfield Ct</t>
        </is>
      </c>
      <c r="D273" s="53" t="inlineStr">
        <is>
          <t>DW</t>
        </is>
      </c>
      <c r="E273" s="53" t="inlineStr">
        <is>
          <t>(Unassigned)</t>
        </is>
      </c>
      <c r="F273" s="53" t="inlineStr">
        <is>
          <t>Imperial Design</t>
        </is>
      </c>
      <c r="G273" s="53" t="inlineStr">
        <is>
          <t>ACTIVE</t>
        </is>
      </c>
      <c r="H273" s="53" t="n">
        <v>574</v>
      </c>
      <c r="I273" s="53" t="n">
        <v>0</v>
      </c>
      <c r="J273" s="53" t="n">
        <v>574</v>
      </c>
      <c r="K273" s="53" t="n">
        <v>614.1799999999999</v>
      </c>
      <c r="L273" s="53" t="n">
        <v>0</v>
      </c>
      <c r="M273" s="53" t="n">
        <v>392</v>
      </c>
      <c r="N273" s="53" t="n">
        <v>0</v>
      </c>
      <c r="O273" s="53" t="n">
        <v>0</v>
      </c>
      <c r="P273" s="53" t="n">
        <v>-574</v>
      </c>
      <c r="Q273" s="53" t="n">
        <v>0</v>
      </c>
      <c r="R273" s="53" t="n">
        <v>574</v>
      </c>
      <c r="S273" s="53" t="n">
        <v>0</v>
      </c>
      <c r="T273" s="53" t="n">
        <v>182</v>
      </c>
      <c r="U273" s="53" t="n">
        <v>0.3171</v>
      </c>
      <c r="V273" s="53" t="n">
        <v>100</v>
      </c>
      <c r="W273" s="53" t="n">
        <v>0.1742</v>
      </c>
      <c r="X273" s="53" t="n">
        <v>0</v>
      </c>
      <c r="Y273" s="53" t="n">
        <v>0</v>
      </c>
      <c r="Z273" s="53" t="n">
        <v>0</v>
      </c>
      <c r="AA273" s="53" t="n">
        <v>-40.18</v>
      </c>
      <c r="AB273" s="53" t="inlineStr">
        <is>
          <t>FALSE</t>
        </is>
      </c>
      <c r="AC273" s="53" t="inlineStr">
        <is>
          <t>FALSE</t>
        </is>
      </c>
    </row>
    <row r="274">
      <c r="A274" s="53" t="inlineStr">
        <is>
          <t>2026-06-17</t>
        </is>
      </c>
      <c r="B274" s="53" t="inlineStr">
        <is>
          <t>1814679</t>
        </is>
      </c>
      <c r="C274" s="53" t="inlineStr">
        <is>
          <t>2024.913 Walmart Phoenix</t>
        </is>
      </c>
      <c r="D274" s="53" t="inlineStr">
        <is>
          <t>TI</t>
        </is>
      </c>
      <c r="E274" s="53" t="inlineStr">
        <is>
          <t>Cole Garriott</t>
        </is>
      </c>
      <c r="F274" s="53" t="inlineStr">
        <is>
          <t>DEEM, LLC</t>
        </is>
      </c>
      <c r="G274" s="53" t="inlineStr">
        <is>
          <t>ACTIVE</t>
        </is>
      </c>
      <c r="H274" s="53" t="n">
        <v>2945439.34</v>
      </c>
      <c r="I274" s="53" t="n">
        <v>522628.34</v>
      </c>
      <c r="J274" s="53" t="n">
        <v>2532252.91</v>
      </c>
      <c r="K274" s="53" t="n">
        <v>2503340.4</v>
      </c>
      <c r="L274" s="53" t="n">
        <v>1703791.05</v>
      </c>
      <c r="M274" s="53" t="n">
        <v>1611541.57</v>
      </c>
      <c r="N274" s="53" t="n">
        <v>0.9459</v>
      </c>
      <c r="O274" s="53" t="n">
        <v>2786091.07</v>
      </c>
      <c r="P274" s="53" t="n">
        <v>253838.16</v>
      </c>
      <c r="Q274" s="53" t="n">
        <v>-27651.86</v>
      </c>
      <c r="R274" s="53" t="n">
        <v>0</v>
      </c>
      <c r="S274" s="53" t="n">
        <v>253838.16</v>
      </c>
      <c r="T274" s="53" t="n">
        <v>1202072.77</v>
      </c>
      <c r="U274" s="53" t="n">
        <v>0.4272</v>
      </c>
      <c r="V274" s="53" t="n">
        <v>42.15</v>
      </c>
      <c r="W274" s="53" t="n">
        <v>0</v>
      </c>
      <c r="X274" s="53" t="n">
        <v>0.4215</v>
      </c>
      <c r="Y274" s="53" t="n">
        <v>-0.4215</v>
      </c>
      <c r="Z274" s="53" t="n">
        <v>281361.43</v>
      </c>
      <c r="AA274" s="53" t="n">
        <v>28912.51</v>
      </c>
      <c r="AB274" s="53" t="inlineStr">
        <is>
          <t>TRUE</t>
        </is>
      </c>
      <c r="AC274" s="53" t="inlineStr">
        <is>
          <t>TRUE</t>
        </is>
      </c>
    </row>
    <row r="275">
      <c r="A275" s="53" t="inlineStr">
        <is>
          <t>2026-06-17</t>
        </is>
      </c>
      <c r="B275" s="53" t="inlineStr">
        <is>
          <t>1806764</t>
        </is>
      </c>
      <c r="C275" s="53" t="inlineStr">
        <is>
          <t>MF.2025.975 The Eleven - Monon Square</t>
        </is>
      </c>
      <c r="D275" s="53" t="inlineStr">
        <is>
          <t>MF</t>
        </is>
      </c>
      <c r="E275" s="53" t="inlineStr">
        <is>
          <t>Shawn Welcher</t>
        </is>
      </c>
      <c r="F275" s="53" t="inlineStr">
        <is>
          <t>Centric Projects, LLC</t>
        </is>
      </c>
      <c r="G275" s="53" t="inlineStr">
        <is>
          <t>ACTIVE</t>
        </is>
      </c>
      <c r="H275" s="53" t="n">
        <v>465610</v>
      </c>
      <c r="I275" s="53" t="n">
        <v>-4620</v>
      </c>
      <c r="J275" s="53" t="n">
        <v>252211.41</v>
      </c>
      <c r="K275" s="53" t="n">
        <v>0</v>
      </c>
      <c r="L275" s="53" t="n">
        <v>319224.72</v>
      </c>
      <c r="M275" s="53" t="n">
        <v>63773.71</v>
      </c>
      <c r="N275" s="53" t="n">
        <v>0.1998</v>
      </c>
      <c r="O275" s="53" t="n">
        <v>93028.88</v>
      </c>
      <c r="P275" s="53" t="n">
        <v>-159182.53</v>
      </c>
      <c r="Q275" s="53" t="n">
        <v>-172467.59</v>
      </c>
      <c r="R275" s="53" t="n">
        <v>159182.53</v>
      </c>
      <c r="S275" s="53" t="n">
        <v>0</v>
      </c>
      <c r="T275" s="53" t="n">
        <v>201711.98</v>
      </c>
      <c r="U275" s="53" t="n">
        <v>0.7598</v>
      </c>
      <c r="V275" s="53" t="n">
        <v>31.44</v>
      </c>
      <c r="W275" s="53" t="n">
        <v>0.0001</v>
      </c>
      <c r="X275" s="53" t="n">
        <v>0.3144</v>
      </c>
      <c r="Y275" s="53" t="n">
        <v>-0.3143</v>
      </c>
      <c r="Z275" s="53" t="n">
        <v>13274.28</v>
      </c>
      <c r="AA275" s="53" t="n">
        <v>252211.41</v>
      </c>
      <c r="AB275" s="53" t="inlineStr">
        <is>
          <t>TRUE</t>
        </is>
      </c>
      <c r="AC275" s="53" t="inlineStr">
        <is>
          <t>TRUE</t>
        </is>
      </c>
    </row>
    <row r="276">
      <c r="A276" s="53" t="inlineStr">
        <is>
          <t>2026-06-17</t>
        </is>
      </c>
      <c r="B276" s="53" t="inlineStr">
        <is>
          <t>1803611</t>
        </is>
      </c>
      <c r="C276" s="53" t="inlineStr">
        <is>
          <t>MF.2025.989-1 Springdale Cinema - Paint</t>
        </is>
      </c>
      <c r="D276" s="53" t="inlineStr">
        <is>
          <t>MF</t>
        </is>
      </c>
      <c r="E276" s="53" t="inlineStr">
        <is>
          <t>Ben Garza</t>
        </is>
      </c>
      <c r="F276" s="53" t="inlineStr">
        <is>
          <t>MILHAUS Construction</t>
        </is>
      </c>
      <c r="G276" s="53" t="inlineStr">
        <is>
          <t>ACTIVE</t>
        </is>
      </c>
      <c r="H276" s="53" t="n">
        <v>875000</v>
      </c>
      <c r="I276" s="53" t="n">
        <v>0</v>
      </c>
      <c r="J276" s="53" t="n">
        <v>607050</v>
      </c>
      <c r="K276" s="53" t="n">
        <v>55440</v>
      </c>
      <c r="L276" s="53" t="n">
        <v>580310</v>
      </c>
      <c r="M276" s="53" t="n">
        <v>435602.6</v>
      </c>
      <c r="N276" s="53" t="n">
        <v>0.7506</v>
      </c>
      <c r="O276" s="53" t="n">
        <v>656775</v>
      </c>
      <c r="P276" s="53" t="n">
        <v>49725</v>
      </c>
      <c r="Q276" s="53" t="n">
        <v>-17691.96</v>
      </c>
      <c r="R276" s="53" t="n">
        <v>0</v>
      </c>
      <c r="S276" s="53" t="n">
        <v>49725</v>
      </c>
      <c r="T276" s="53" t="n">
        <v>238897.4</v>
      </c>
      <c r="U276" s="53" t="n">
        <v>0.3542</v>
      </c>
      <c r="V276" s="53" t="n">
        <v>33.68</v>
      </c>
      <c r="W276" s="53" t="n">
        <v>0</v>
      </c>
      <c r="X276" s="53" t="n">
        <v>0.3368</v>
      </c>
      <c r="Y276" s="53" t="n">
        <v>-0.3368</v>
      </c>
      <c r="Z276" s="53" t="n">
        <v>67450</v>
      </c>
      <c r="AA276" s="53" t="n">
        <v>551610</v>
      </c>
      <c r="AB276" s="53" t="inlineStr">
        <is>
          <t>TRUE</t>
        </is>
      </c>
      <c r="AC276" s="53" t="inlineStr">
        <is>
          <t>TRUE</t>
        </is>
      </c>
    </row>
    <row r="277">
      <c r="A277" s="53" t="inlineStr">
        <is>
          <t>2026-06-17</t>
        </is>
      </c>
      <c r="B277" s="53" t="inlineStr">
        <is>
          <t>1794757</t>
        </is>
      </c>
      <c r="C277" s="53" t="inlineStr">
        <is>
          <t>MF.2024.906 Shamrock Elementary LGI Classrooms</t>
        </is>
      </c>
      <c r="D277" s="53" t="inlineStr">
        <is>
          <t>MF</t>
        </is>
      </c>
      <c r="E277" s="53" t="inlineStr">
        <is>
          <t>Dustin Hurt</t>
        </is>
      </c>
      <c r="F277" s="53" t="inlineStr">
        <is>
          <t>LTB Construction, Inc.</t>
        </is>
      </c>
      <c r="G277" s="53" t="inlineStr">
        <is>
          <t>ACTIVE</t>
        </is>
      </c>
      <c r="H277" s="53" t="n">
        <v>8830</v>
      </c>
      <c r="I277" s="53" t="n">
        <v>0</v>
      </c>
      <c r="J277" s="53" t="n">
        <v>8830</v>
      </c>
      <c r="K277" s="53" t="n">
        <v>8830</v>
      </c>
      <c r="L277" s="53" t="n">
        <v>6640</v>
      </c>
      <c r="M277" s="53" t="n">
        <v>2612.75</v>
      </c>
      <c r="N277" s="53" t="n">
        <v>0.3935</v>
      </c>
      <c r="O277" s="53" t="n">
        <v>3474.61</v>
      </c>
      <c r="P277" s="53" t="n">
        <v>-5355.4</v>
      </c>
      <c r="Q277" s="53" t="n">
        <v>-5355.51</v>
      </c>
      <c r="R277" s="53" t="n">
        <v>5355.4</v>
      </c>
      <c r="S277" s="53" t="n">
        <v>0</v>
      </c>
      <c r="T277" s="53" t="n">
        <v>6217.25</v>
      </c>
      <c r="U277" s="53" t="n">
        <v>0.7040999999999999</v>
      </c>
      <c r="V277" s="53" t="n">
        <v>24.8</v>
      </c>
      <c r="W277" s="53" t="n">
        <v>0.0028</v>
      </c>
      <c r="X277" s="53" t="n">
        <v>0.248</v>
      </c>
      <c r="Y277" s="53" t="n">
        <v>-0.2452</v>
      </c>
      <c r="Z277" s="53" t="n">
        <v>0</v>
      </c>
      <c r="AA277" s="53" t="n">
        <v>0</v>
      </c>
      <c r="AB277" s="53" t="inlineStr">
        <is>
          <t>TRUE</t>
        </is>
      </c>
      <c r="AC277" s="53" t="inlineStr">
        <is>
          <t>TRUE</t>
        </is>
      </c>
    </row>
    <row r="278">
      <c r="A278" s="53" t="inlineStr">
        <is>
          <t>2026-06-17</t>
        </is>
      </c>
      <c r="B278" s="53" t="inlineStr">
        <is>
          <t>1787241</t>
        </is>
      </c>
      <c r="C278" s="53" t="inlineStr">
        <is>
          <t>DS.2024.1346 10660 Pete Dye Ridge</t>
        </is>
      </c>
      <c r="D278" s="53" t="inlineStr">
        <is>
          <t>DW</t>
        </is>
      </c>
      <c r="E278" s="53" t="inlineStr">
        <is>
          <t>(Unassigned)</t>
        </is>
      </c>
      <c r="F278" s="53" t="inlineStr">
        <is>
          <t>Promasters Drywall and Painting (Brian Figueroa)</t>
        </is>
      </c>
      <c r="G278" s="53" t="inlineStr">
        <is>
          <t>ACTIVE</t>
        </is>
      </c>
      <c r="H278" s="53" t="n">
        <v>1229.28</v>
      </c>
      <c r="I278" s="53" t="n">
        <v>0</v>
      </c>
      <c r="J278" s="53" t="n">
        <v>1229.28</v>
      </c>
      <c r="K278" s="53" t="n">
        <v>1315.33</v>
      </c>
      <c r="L278" s="53" t="n">
        <v>0</v>
      </c>
      <c r="M278" s="53" t="n">
        <v>717.6</v>
      </c>
      <c r="N278" s="53" t="n">
        <v>0</v>
      </c>
      <c r="O278" s="53" t="n">
        <v>0</v>
      </c>
      <c r="P278" s="53" t="n">
        <v>-1229.28</v>
      </c>
      <c r="Q278" s="53" t="n">
        <v>0</v>
      </c>
      <c r="R278" s="53" t="n">
        <v>1229.28</v>
      </c>
      <c r="S278" s="53" t="n">
        <v>0</v>
      </c>
      <c r="T278" s="53" t="n">
        <v>511.68</v>
      </c>
      <c r="U278" s="53" t="n">
        <v>0.4162</v>
      </c>
      <c r="V278" s="53" t="n">
        <v>100</v>
      </c>
      <c r="W278" s="53" t="n">
        <v>0.0813</v>
      </c>
      <c r="X278" s="53" t="n">
        <v>0</v>
      </c>
      <c r="Y278" s="53" t="n">
        <v>0</v>
      </c>
      <c r="Z278" s="53" t="n">
        <v>0</v>
      </c>
      <c r="AA278" s="53" t="n">
        <v>-86.05</v>
      </c>
      <c r="AB278" s="53" t="inlineStr">
        <is>
          <t>FALSE</t>
        </is>
      </c>
      <c r="AC278" s="53" t="inlineStr">
        <is>
          <t>FALSE</t>
        </is>
      </c>
    </row>
    <row r="279">
      <c r="A279" s="53" t="inlineStr">
        <is>
          <t>2026-06-17</t>
        </is>
      </c>
      <c r="B279" s="53" t="inlineStr">
        <is>
          <t>1779490</t>
        </is>
      </c>
      <c r="C279" s="53" t="inlineStr">
        <is>
          <t>MF.2024.903 Mirka Office Buildout</t>
        </is>
      </c>
      <c r="D279" s="53" t="inlineStr">
        <is>
          <t>MF</t>
        </is>
      </c>
      <c r="E279" s="53" t="inlineStr">
        <is>
          <t>Cole Garriott</t>
        </is>
      </c>
      <c r="F279" s="53" t="inlineStr">
        <is>
          <t>DEEM, LLC</t>
        </is>
      </c>
      <c r="G279" s="53" t="inlineStr">
        <is>
          <t>ACTIVE</t>
        </is>
      </c>
      <c r="H279" s="53" t="n">
        <v>175330</v>
      </c>
      <c r="I279" s="53" t="n">
        <v>4930</v>
      </c>
      <c r="J279" s="53" t="n">
        <v>175330</v>
      </c>
      <c r="K279" s="53" t="n">
        <v>175330</v>
      </c>
      <c r="L279" s="53" t="n">
        <v>62924.02</v>
      </c>
      <c r="M279" s="53" t="n">
        <v>62924.02</v>
      </c>
      <c r="N279" s="53" t="n">
        <v>1</v>
      </c>
      <c r="O279" s="53" t="n">
        <v>175330</v>
      </c>
      <c r="P279" s="53" t="n">
        <v>0</v>
      </c>
      <c r="Q279" s="53" t="n">
        <v>0</v>
      </c>
      <c r="R279" s="53" t="n">
        <v>0</v>
      </c>
      <c r="S279" s="53" t="n">
        <v>0</v>
      </c>
      <c r="T279" s="53" t="n">
        <v>112405.98</v>
      </c>
      <c r="U279" s="53" t="n">
        <v>0.6411</v>
      </c>
      <c r="V279" s="53" t="n">
        <v>64.11</v>
      </c>
      <c r="W279" s="53" t="n">
        <v>0.0004</v>
      </c>
      <c r="X279" s="53" t="n">
        <v>0.6411</v>
      </c>
      <c r="Y279" s="53" t="n">
        <v>-0.6407</v>
      </c>
      <c r="Z279" s="53" t="n">
        <v>0</v>
      </c>
      <c r="AA279" s="53" t="n">
        <v>0</v>
      </c>
      <c r="AB279" s="53" t="inlineStr">
        <is>
          <t>TRUE</t>
        </is>
      </c>
      <c r="AC279" s="53" t="inlineStr">
        <is>
          <t>TRUE</t>
        </is>
      </c>
    </row>
    <row r="280">
      <c r="A280" s="53" t="inlineStr">
        <is>
          <t>2026-06-17</t>
        </is>
      </c>
      <c r="B280" s="53" t="inlineStr">
        <is>
          <t>1779189</t>
        </is>
      </c>
      <c r="C280" s="53" t="inlineStr">
        <is>
          <t>MF.2024.927 Jeffersonian Apartments</t>
        </is>
      </c>
      <c r="D280" s="53" t="inlineStr">
        <is>
          <t>MF</t>
        </is>
      </c>
      <c r="E280" s="53" t="inlineStr">
        <is>
          <t>Ben Garza</t>
        </is>
      </c>
      <c r="F280" s="53" t="inlineStr">
        <is>
          <t>Stenz Corp</t>
        </is>
      </c>
      <c r="G280" s="53" t="inlineStr">
        <is>
          <t>ACTIVE</t>
        </is>
      </c>
      <c r="H280" s="53" t="n">
        <v>461337.65</v>
      </c>
      <c r="I280" s="53" t="n">
        <v>6337.65</v>
      </c>
      <c r="J280" s="53" t="n">
        <v>461337.65</v>
      </c>
      <c r="K280" s="53" t="n">
        <v>415203.89</v>
      </c>
      <c r="L280" s="53" t="n">
        <v>337818.47</v>
      </c>
      <c r="M280" s="53" t="n">
        <v>337818.47</v>
      </c>
      <c r="N280" s="53" t="n">
        <v>1</v>
      </c>
      <c r="O280" s="53" t="n">
        <v>461337.65</v>
      </c>
      <c r="P280" s="53" t="n">
        <v>-0</v>
      </c>
      <c r="Q280" s="53" t="n">
        <v>-0</v>
      </c>
      <c r="R280" s="53" t="n">
        <v>0</v>
      </c>
      <c r="S280" s="53" t="n">
        <v>0</v>
      </c>
      <c r="T280" s="53" t="n">
        <v>123519.18</v>
      </c>
      <c r="U280" s="53" t="n">
        <v>0.2677</v>
      </c>
      <c r="V280" s="53" t="n">
        <v>26.77</v>
      </c>
      <c r="W280" s="53" t="n">
        <v>0.0001</v>
      </c>
      <c r="X280" s="53" t="n">
        <v>0.2677</v>
      </c>
      <c r="Y280" s="53" t="n">
        <v>-0.2677</v>
      </c>
      <c r="Z280" s="53" t="n">
        <v>0</v>
      </c>
      <c r="AA280" s="53" t="n">
        <v>46133.76</v>
      </c>
      <c r="AB280" s="53" t="inlineStr">
        <is>
          <t>TRUE</t>
        </is>
      </c>
      <c r="AC280" s="53" t="inlineStr">
        <is>
          <t>TRUE</t>
        </is>
      </c>
    </row>
    <row r="281">
      <c r="A281" s="53" t="inlineStr">
        <is>
          <t>2026-06-17</t>
        </is>
      </c>
      <c r="B281" s="53" t="inlineStr">
        <is>
          <t>1772287</t>
        </is>
      </c>
      <c r="C281" s="53" t="inlineStr">
        <is>
          <t>DS.2024 8503 N 600 W Fountaintown QUOTE</t>
        </is>
      </c>
      <c r="D281" s="53" t="inlineStr">
        <is>
          <t>DW</t>
        </is>
      </c>
      <c r="E281" s="53" t="inlineStr">
        <is>
          <t>(Unassigned)</t>
        </is>
      </c>
      <c r="F281" s="53" t="inlineStr">
        <is>
          <t>TC Indy</t>
        </is>
      </c>
      <c r="G281" s="53" t="inlineStr">
        <is>
          <t>ACTIVE</t>
        </is>
      </c>
      <c r="H281" s="53" t="n">
        <v>2031.12</v>
      </c>
      <c r="I281" s="53" t="n">
        <v>0</v>
      </c>
      <c r="J281" s="53" t="n">
        <v>0</v>
      </c>
      <c r="K281" s="53" t="n">
        <v>0</v>
      </c>
      <c r="L281" s="53" t="n">
        <v>0</v>
      </c>
      <c r="M281" s="53" t="n">
        <v>0</v>
      </c>
      <c r="N281" s="53" t="n">
        <v>0</v>
      </c>
      <c r="O281" s="53" t="n">
        <v>0</v>
      </c>
      <c r="P281" s="53" t="n">
        <v>0</v>
      </c>
      <c r="Q281" s="53" t="n">
        <v>0</v>
      </c>
      <c r="R281" s="53" t="n">
        <v>0</v>
      </c>
      <c r="S281" s="53" t="n">
        <v>0</v>
      </c>
      <c r="T281" s="53" t="n">
        <v>0</v>
      </c>
      <c r="U281" s="53" t="n">
        <v>0</v>
      </c>
      <c r="V281" s="53" t="n">
        <v>100</v>
      </c>
      <c r="W281" s="53" t="n">
        <v>0.0492</v>
      </c>
      <c r="X281" s="53" t="n">
        <v>0</v>
      </c>
      <c r="Y281" s="53" t="n">
        <v>0</v>
      </c>
      <c r="Z281" s="53" t="n">
        <v>0</v>
      </c>
      <c r="AA281" s="53" t="n">
        <v>0</v>
      </c>
      <c r="AB281" s="53" t="inlineStr">
        <is>
          <t>FALSE</t>
        </is>
      </c>
      <c r="AC281" s="53" t="inlineStr">
        <is>
          <t>FALSE</t>
        </is>
      </c>
    </row>
    <row r="282">
      <c r="A282" s="53" t="inlineStr">
        <is>
          <t>2026-06-17</t>
        </is>
      </c>
      <c r="B282" s="53" t="inlineStr">
        <is>
          <t>1735717</t>
        </is>
      </c>
      <c r="C282" s="53" t="inlineStr">
        <is>
          <t>1234.567 Test Job</t>
        </is>
      </c>
      <c r="D282" s="53" t="inlineStr">
        <is>
          <t>UN</t>
        </is>
      </c>
      <c r="E282" s="53" t="inlineStr">
        <is>
          <t>(Unassigned)</t>
        </is>
      </c>
      <c r="F282" s="53" t="inlineStr">
        <is>
          <t>Sample Client</t>
        </is>
      </c>
      <c r="G282" s="53" t="inlineStr">
        <is>
          <t>ACTIVE</t>
        </is>
      </c>
      <c r="H282" s="53" t="n">
        <v>1</v>
      </c>
      <c r="I282" s="53" t="n">
        <v>0</v>
      </c>
      <c r="J282" s="53" t="n">
        <v>0</v>
      </c>
      <c r="K282" s="53" t="n">
        <v>0</v>
      </c>
      <c r="L282" s="53" t="n">
        <v>2</v>
      </c>
      <c r="M282" s="53" t="n">
        <v>10</v>
      </c>
      <c r="N282" s="53" t="n">
        <v>5</v>
      </c>
      <c r="O282" s="53" t="n">
        <v>5</v>
      </c>
      <c r="P282" s="53" t="n">
        <v>5</v>
      </c>
      <c r="Q282" s="53" t="n">
        <v>1</v>
      </c>
      <c r="R282" s="53" t="n">
        <v>0</v>
      </c>
      <c r="S282" s="53" t="n">
        <v>5</v>
      </c>
      <c r="T282" s="53" t="n">
        <v>-10</v>
      </c>
      <c r="U282" s="53" t="n">
        <v>0</v>
      </c>
      <c r="V282" s="53" t="n">
        <v>-100</v>
      </c>
      <c r="W282" s="53" t="n">
        <v>-100</v>
      </c>
      <c r="X282" s="53" t="n">
        <v>-1</v>
      </c>
      <c r="Y282" s="53" t="n">
        <v>-99</v>
      </c>
      <c r="Z282" s="53" t="n">
        <v>0</v>
      </c>
      <c r="AA282" s="53" t="n">
        <v>0</v>
      </c>
      <c r="AB282" s="53" t="inlineStr">
        <is>
          <t>TRUE</t>
        </is>
      </c>
      <c r="AC282" s="53" t="inlineStr">
        <is>
          <t>FALSE</t>
        </is>
      </c>
    </row>
    <row r="283">
      <c r="A283" s="53" t="inlineStr">
        <is>
          <t>2026-06-17</t>
        </is>
      </c>
      <c r="B283" s="53" t="inlineStr">
        <is>
          <t>1724469</t>
        </is>
      </c>
      <c r="C283" s="53" t="inlineStr">
        <is>
          <t>MF.2024.894 Hamilton County Jail Boiler Mechanical Pad</t>
        </is>
      </c>
      <c r="D283" s="53" t="inlineStr">
        <is>
          <t>MF</t>
        </is>
      </c>
      <c r="E283" s="53" t="inlineStr">
        <is>
          <t>Dustin Hurt</t>
        </is>
      </c>
      <c r="F283" s="53" t="inlineStr">
        <is>
          <t>DEEM, LLC</t>
        </is>
      </c>
      <c r="G283" s="53" t="inlineStr">
        <is>
          <t>ACTIVE</t>
        </is>
      </c>
      <c r="H283" s="53" t="n">
        <v>3515</v>
      </c>
      <c r="I283" s="53" t="n">
        <v>0</v>
      </c>
      <c r="J283" s="53" t="n">
        <v>3515</v>
      </c>
      <c r="K283" s="53" t="n">
        <v>3515</v>
      </c>
      <c r="L283" s="53" t="n">
        <v>2600.05</v>
      </c>
      <c r="M283" s="53" t="n">
        <v>2407.26</v>
      </c>
      <c r="N283" s="53" t="n">
        <v>0.9258999999999999</v>
      </c>
      <c r="O283" s="53" t="n">
        <v>3254.54</v>
      </c>
      <c r="P283" s="53" t="n">
        <v>-260.46</v>
      </c>
      <c r="Q283" s="53" t="n">
        <v>-260.63</v>
      </c>
      <c r="R283" s="53" t="n">
        <v>260.46</v>
      </c>
      <c r="S283" s="53" t="n">
        <v>0</v>
      </c>
      <c r="T283" s="53" t="n">
        <v>1107.74</v>
      </c>
      <c r="U283" s="53" t="n">
        <v>0.3151</v>
      </c>
      <c r="V283" s="53" t="n">
        <v>26.03</v>
      </c>
      <c r="W283" s="53" t="n">
        <v>0.0074</v>
      </c>
      <c r="X283" s="53" t="n">
        <v>0.2603</v>
      </c>
      <c r="Y283" s="53" t="n">
        <v>-0.2529</v>
      </c>
      <c r="Z283" s="53" t="n">
        <v>0</v>
      </c>
      <c r="AA283" s="53" t="n">
        <v>0</v>
      </c>
      <c r="AB283" s="53" t="inlineStr">
        <is>
          <t>TRUE</t>
        </is>
      </c>
      <c r="AC283" s="53" t="inlineStr">
        <is>
          <t>TRUE</t>
        </is>
      </c>
    </row>
    <row r="284">
      <c r="A284" s="53" t="inlineStr">
        <is>
          <t>2026-06-17</t>
        </is>
      </c>
      <c r="B284" s="53" t="inlineStr">
        <is>
          <t>1710251</t>
        </is>
      </c>
      <c r="C284" s="53" t="inlineStr">
        <is>
          <t>MF.2024.892 The Lofts at Headwaters Park</t>
        </is>
      </c>
      <c r="D284" s="53" t="inlineStr">
        <is>
          <t>MF</t>
        </is>
      </c>
      <c r="E284" s="53" t="inlineStr">
        <is>
          <t>Ben Garza</t>
        </is>
      </c>
      <c r="F284" s="53" t="inlineStr">
        <is>
          <t>J.C. Hart Company, Inc.</t>
        </is>
      </c>
      <c r="G284" s="53" t="inlineStr">
        <is>
          <t>ACTIVE</t>
        </is>
      </c>
      <c r="H284" s="53" t="n">
        <v>4286845.96</v>
      </c>
      <c r="I284" s="53" t="n">
        <v>232955.96</v>
      </c>
      <c r="J284" s="53" t="n">
        <v>3779782.52</v>
      </c>
      <c r="K284" s="53" t="n">
        <v>3620296.13</v>
      </c>
      <c r="L284" s="53" t="n">
        <v>3615074.96</v>
      </c>
      <c r="M284" s="53" t="n">
        <v>3606896.8</v>
      </c>
      <c r="N284" s="53" t="n">
        <v>0.9977</v>
      </c>
      <c r="O284" s="53" t="n">
        <v>4276986.21</v>
      </c>
      <c r="P284" s="53" t="n">
        <v>497203.69</v>
      </c>
      <c r="Q284" s="53" t="n">
        <v>77389.73</v>
      </c>
      <c r="R284" s="53" t="n">
        <v>0</v>
      </c>
      <c r="S284" s="53" t="n">
        <v>497203.69</v>
      </c>
      <c r="T284" s="53" t="n">
        <v>592861.5600000001</v>
      </c>
      <c r="U284" s="53" t="n">
        <v>0.1412</v>
      </c>
      <c r="V284" s="53" t="n">
        <v>15.67</v>
      </c>
      <c r="W284" s="53" t="n">
        <v>0</v>
      </c>
      <c r="X284" s="53" t="n">
        <v>0.1567</v>
      </c>
      <c r="Y284" s="53" t="n">
        <v>-0.1567</v>
      </c>
      <c r="Z284" s="53" t="n">
        <v>419975.84</v>
      </c>
      <c r="AA284" s="53" t="n">
        <v>159486.39</v>
      </c>
      <c r="AB284" s="53" t="inlineStr">
        <is>
          <t>TRUE</t>
        </is>
      </c>
      <c r="AC284" s="53" t="inlineStr">
        <is>
          <t>TRUE</t>
        </is>
      </c>
    </row>
    <row r="285">
      <c r="A285" s="53" t="inlineStr">
        <is>
          <t>2026-06-17</t>
        </is>
      </c>
      <c r="B285" s="53" t="inlineStr">
        <is>
          <t>1702352</t>
        </is>
      </c>
      <c r="C285" s="53" t="inlineStr">
        <is>
          <t>2025.967 Bunge Project Flex</t>
        </is>
      </c>
      <c r="D285" s="53" t="inlineStr">
        <is>
          <t>TI</t>
        </is>
      </c>
      <c r="E285" s="53" t="inlineStr">
        <is>
          <t>Ben Garza</t>
        </is>
      </c>
      <c r="F285" s="53" t="inlineStr">
        <is>
          <t>Bunge North America (East), LLC</t>
        </is>
      </c>
      <c r="G285" s="53" t="inlineStr">
        <is>
          <t>ACTIVE</t>
        </is>
      </c>
      <c r="H285" s="53" t="n">
        <v>993046</v>
      </c>
      <c r="I285" s="53" t="n">
        <v>23418</v>
      </c>
      <c r="J285" s="53" t="n">
        <v>993046</v>
      </c>
      <c r="K285" s="53" t="n">
        <v>893741.4</v>
      </c>
      <c r="L285" s="53" t="n">
        <v>452407.33</v>
      </c>
      <c r="M285" s="53" t="n">
        <v>452407.33</v>
      </c>
      <c r="N285" s="53" t="n">
        <v>1</v>
      </c>
      <c r="O285" s="53" t="n">
        <v>993046</v>
      </c>
      <c r="P285" s="53" t="n">
        <v>0</v>
      </c>
      <c r="Q285" s="53" t="n">
        <v>-0</v>
      </c>
      <c r="R285" s="53" t="n">
        <v>0</v>
      </c>
      <c r="S285" s="53" t="n">
        <v>0</v>
      </c>
      <c r="T285" s="53" t="n">
        <v>540638.67</v>
      </c>
      <c r="U285" s="53" t="n">
        <v>0.5444</v>
      </c>
      <c r="V285" s="53" t="n">
        <v>54.44</v>
      </c>
      <c r="W285" s="53" t="n">
        <v>0.0001</v>
      </c>
      <c r="X285" s="53" t="n">
        <v>0.5444</v>
      </c>
      <c r="Y285" s="53" t="n">
        <v>-0.5444</v>
      </c>
      <c r="Z285" s="53" t="n">
        <v>0</v>
      </c>
      <c r="AA285" s="53" t="n">
        <v>99304.60000000001</v>
      </c>
      <c r="AB285" s="53" t="inlineStr">
        <is>
          <t>TRUE</t>
        </is>
      </c>
      <c r="AC285" s="53" t="inlineStr">
        <is>
          <t>TRUE</t>
        </is>
      </c>
    </row>
    <row r="286">
      <c r="A286" s="53" t="inlineStr">
        <is>
          <t>2026-06-17</t>
        </is>
      </c>
      <c r="B286" s="53" t="inlineStr">
        <is>
          <t>1683585</t>
        </is>
      </c>
      <c r="C286" s="53" t="inlineStr">
        <is>
          <t>DS.2024.1263 5188 Brighton Dr Whitestown</t>
        </is>
      </c>
      <c r="D286" s="53" t="inlineStr">
        <is>
          <t>DW</t>
        </is>
      </c>
      <c r="E286" s="53" t="inlineStr">
        <is>
          <t>(Unassigned)</t>
        </is>
      </c>
      <c r="F286" s="53" t="inlineStr">
        <is>
          <t>Promasters Drywall and Painting (Brian Figueroa)</t>
        </is>
      </c>
      <c r="G286" s="53" t="inlineStr">
        <is>
          <t>ACTIVE</t>
        </is>
      </c>
      <c r="H286" s="53" t="n">
        <v>1759.2</v>
      </c>
      <c r="I286" s="53" t="n">
        <v>0</v>
      </c>
      <c r="J286" s="53" t="n">
        <v>1759.2</v>
      </c>
      <c r="K286" s="53" t="n">
        <v>1882.34</v>
      </c>
      <c r="L286" s="53" t="n">
        <v>0</v>
      </c>
      <c r="M286" s="53" t="n">
        <v>1068.8</v>
      </c>
      <c r="N286" s="53" t="n">
        <v>0</v>
      </c>
      <c r="O286" s="53" t="n">
        <v>0</v>
      </c>
      <c r="P286" s="53" t="n">
        <v>-1759.2</v>
      </c>
      <c r="Q286" s="53" t="n">
        <v>0</v>
      </c>
      <c r="R286" s="53" t="n">
        <v>1759.2</v>
      </c>
      <c r="S286" s="53" t="n">
        <v>0</v>
      </c>
      <c r="T286" s="53" t="n">
        <v>690.4</v>
      </c>
      <c r="U286" s="53" t="n">
        <v>0.3925</v>
      </c>
      <c r="V286" s="53" t="n">
        <v>100</v>
      </c>
      <c r="W286" s="53" t="n">
        <v>0.0568</v>
      </c>
      <c r="X286" s="53" t="n">
        <v>0</v>
      </c>
      <c r="Y286" s="53" t="n">
        <v>0</v>
      </c>
      <c r="Z286" s="53" t="n">
        <v>0</v>
      </c>
      <c r="AA286" s="53" t="n">
        <v>-123.14</v>
      </c>
      <c r="AB286" s="53" t="inlineStr">
        <is>
          <t>FALSE</t>
        </is>
      </c>
      <c r="AC286" s="53" t="inlineStr">
        <is>
          <t>FALSE</t>
        </is>
      </c>
    </row>
    <row r="287">
      <c r="A287" s="53" t="inlineStr">
        <is>
          <t>2026-06-17</t>
        </is>
      </c>
      <c r="B287" s="53" t="inlineStr">
        <is>
          <t>1669494</t>
        </is>
      </c>
      <c r="C287" s="53" t="inlineStr">
        <is>
          <t>2024.912 Upland Columbus</t>
        </is>
      </c>
      <c r="D287" s="53" t="inlineStr">
        <is>
          <t>TI</t>
        </is>
      </c>
      <c r="E287" s="53" t="inlineStr">
        <is>
          <t>Tommy Cohoat</t>
        </is>
      </c>
      <c r="F287" s="53" t="inlineStr">
        <is>
          <t>Bischoff Construction, LLC</t>
        </is>
      </c>
      <c r="G287" s="53" t="inlineStr">
        <is>
          <t>ACTIVE</t>
        </is>
      </c>
      <c r="H287" s="53" t="n">
        <v>116545</v>
      </c>
      <c r="I287" s="53" t="n">
        <v>10820</v>
      </c>
      <c r="J287" s="53" t="n">
        <v>116545</v>
      </c>
      <c r="K287" s="53" t="n">
        <v>114525</v>
      </c>
      <c r="L287" s="53" t="n">
        <v>73224</v>
      </c>
      <c r="M287" s="53" t="n">
        <v>72786.47</v>
      </c>
      <c r="N287" s="53" t="n">
        <v>0.994</v>
      </c>
      <c r="O287" s="53" t="n">
        <v>115845.73</v>
      </c>
      <c r="P287" s="53" t="n">
        <v>-699.27</v>
      </c>
      <c r="Q287" s="53" t="n">
        <v>-696.38</v>
      </c>
      <c r="R287" s="53" t="n">
        <v>699.27</v>
      </c>
      <c r="S287" s="53" t="n">
        <v>0</v>
      </c>
      <c r="T287" s="53" t="n">
        <v>43758.53</v>
      </c>
      <c r="U287" s="53" t="n">
        <v>0.3755</v>
      </c>
      <c r="V287" s="53" t="n">
        <v>37.17</v>
      </c>
      <c r="W287" s="53" t="n">
        <v>0.0003</v>
      </c>
      <c r="X287" s="53" t="n">
        <v>0.3717</v>
      </c>
      <c r="Y287" s="53" t="n">
        <v>-0.3714</v>
      </c>
      <c r="Z287" s="53" t="n">
        <v>0</v>
      </c>
      <c r="AA287" s="53" t="n">
        <v>2020</v>
      </c>
      <c r="AB287" s="53" t="inlineStr">
        <is>
          <t>TRUE</t>
        </is>
      </c>
      <c r="AC287" s="53" t="inlineStr">
        <is>
          <t>TRUE</t>
        </is>
      </c>
    </row>
    <row r="288">
      <c r="A288" s="53" t="inlineStr">
        <is>
          <t>2026-06-17</t>
        </is>
      </c>
      <c r="B288" s="53" t="inlineStr">
        <is>
          <t>1658900</t>
        </is>
      </c>
      <c r="C288" s="53" t="inlineStr">
        <is>
          <t>DS.2024.1234 Pro Masters</t>
        </is>
      </c>
      <c r="D288" s="53" t="inlineStr">
        <is>
          <t>DW</t>
        </is>
      </c>
      <c r="E288" s="53" t="inlineStr">
        <is>
          <t>(Unassigned)</t>
        </is>
      </c>
      <c r="F288" s="53" t="inlineStr">
        <is>
          <t>Promasters Drywall and Painting (Brian Figueroa)</t>
        </is>
      </c>
      <c r="G288" s="53" t="inlineStr">
        <is>
          <t>ACTIVE</t>
        </is>
      </c>
      <c r="H288" s="53" t="n">
        <v>2590.45</v>
      </c>
      <c r="I288" s="53" t="n">
        <v>0</v>
      </c>
      <c r="J288" s="53" t="n">
        <v>2590.45</v>
      </c>
      <c r="K288" s="53" t="n">
        <v>2771.78</v>
      </c>
      <c r="L288" s="53" t="n">
        <v>0</v>
      </c>
      <c r="M288" s="53" t="n">
        <v>1898.89</v>
      </c>
      <c r="N288" s="53" t="n">
        <v>0</v>
      </c>
      <c r="O288" s="53" t="n">
        <v>0</v>
      </c>
      <c r="P288" s="53" t="n">
        <v>-2590.45</v>
      </c>
      <c r="Q288" s="53" t="n">
        <v>0</v>
      </c>
      <c r="R288" s="53" t="n">
        <v>2590.45</v>
      </c>
      <c r="S288" s="53" t="n">
        <v>0</v>
      </c>
      <c r="T288" s="53" t="n">
        <v>691.5599999999999</v>
      </c>
      <c r="U288" s="53" t="n">
        <v>0.267</v>
      </c>
      <c r="V288" s="53" t="n">
        <v>100</v>
      </c>
      <c r="W288" s="53" t="n">
        <v>0.0386</v>
      </c>
      <c r="X288" s="53" t="n">
        <v>0</v>
      </c>
      <c r="Y288" s="53" t="n">
        <v>0</v>
      </c>
      <c r="Z288" s="53" t="n">
        <v>0</v>
      </c>
      <c r="AA288" s="53" t="n">
        <v>-181.33</v>
      </c>
      <c r="AB288" s="53" t="inlineStr">
        <is>
          <t>FALSE</t>
        </is>
      </c>
      <c r="AC288" s="53" t="inlineStr">
        <is>
          <t>FALSE</t>
        </is>
      </c>
    </row>
    <row r="289">
      <c r="A289" s="53" t="inlineStr">
        <is>
          <t>2026-06-17</t>
        </is>
      </c>
      <c r="B289" s="53" t="inlineStr">
        <is>
          <t>1607003</t>
        </is>
      </c>
      <c r="C289" s="53" t="inlineStr">
        <is>
          <t>MF.2024.928 Holliday Farms Assisted Living - Zionsville</t>
        </is>
      </c>
      <c r="D289" s="53" t="inlineStr">
        <is>
          <t>MF</t>
        </is>
      </c>
      <c r="E289" s="53" t="inlineStr">
        <is>
          <t>Ben Garza</t>
        </is>
      </c>
      <c r="F289" s="53" t="inlineStr">
        <is>
          <t>Avenue Construction, Inc.</t>
        </is>
      </c>
      <c r="G289" s="53" t="inlineStr">
        <is>
          <t>ACTIVE</t>
        </is>
      </c>
      <c r="H289" s="53" t="n">
        <v>2731383.75</v>
      </c>
      <c r="I289" s="53" t="n">
        <v>286258.75</v>
      </c>
      <c r="J289" s="53" t="n">
        <v>2731383.75</v>
      </c>
      <c r="K289" s="53" t="n">
        <v>2339017.44</v>
      </c>
      <c r="L289" s="53" t="n">
        <v>1915724.8</v>
      </c>
      <c r="M289" s="53" t="n">
        <v>1918484.8</v>
      </c>
      <c r="N289" s="53" t="n">
        <v>1.0014</v>
      </c>
      <c r="O289" s="53" t="n">
        <v>2735207.69</v>
      </c>
      <c r="P289" s="53" t="n">
        <v>3823.94</v>
      </c>
      <c r="Q289" s="53" t="n">
        <v>0</v>
      </c>
      <c r="R289" s="53" t="n">
        <v>0</v>
      </c>
      <c r="S289" s="53" t="n">
        <v>3823.94</v>
      </c>
      <c r="T289" s="53" t="n">
        <v>812898.95</v>
      </c>
      <c r="U289" s="53" t="n">
        <v>0.2976</v>
      </c>
      <c r="V289" s="53" t="n">
        <v>29.86</v>
      </c>
      <c r="W289" s="53" t="n">
        <v>0</v>
      </c>
      <c r="X289" s="53" t="n">
        <v>0.2986</v>
      </c>
      <c r="Y289" s="53" t="n">
        <v>-0.2986</v>
      </c>
      <c r="Z289" s="53" t="n">
        <v>0</v>
      </c>
      <c r="AA289" s="53" t="n">
        <v>392366.31</v>
      </c>
      <c r="AB289" s="53" t="inlineStr">
        <is>
          <t>TRUE</t>
        </is>
      </c>
      <c r="AC289" s="53" t="inlineStr">
        <is>
          <t>TRUE</t>
        </is>
      </c>
    </row>
    <row r="290">
      <c r="A290" s="53" t="inlineStr">
        <is>
          <t>2026-06-17</t>
        </is>
      </c>
      <c r="B290" s="53" t="inlineStr">
        <is>
          <t>1577552</t>
        </is>
      </c>
      <c r="C290" s="53" t="inlineStr">
        <is>
          <t>DS.2023.1141 Latitude Apartments</t>
        </is>
      </c>
      <c r="D290" s="53" t="inlineStr">
        <is>
          <t>DW</t>
        </is>
      </c>
      <c r="E290" s="53" t="inlineStr">
        <is>
          <t>(Unassigned)</t>
        </is>
      </c>
      <c r="F290" s="53" t="inlineStr">
        <is>
          <t>Velocity Builders</t>
        </is>
      </c>
      <c r="G290" s="53" t="inlineStr">
        <is>
          <t>ACTIVE</t>
        </is>
      </c>
      <c r="H290" s="53" t="n">
        <v>844352.61</v>
      </c>
      <c r="I290" s="53" t="n">
        <v>0</v>
      </c>
      <c r="J290" s="53" t="n">
        <v>651215.03</v>
      </c>
      <c r="K290" s="53" t="n">
        <v>651215.03</v>
      </c>
      <c r="L290" s="53" t="n">
        <v>0</v>
      </c>
      <c r="M290" s="53" t="n">
        <v>346117.87</v>
      </c>
      <c r="N290" s="53" t="n">
        <v>0</v>
      </c>
      <c r="O290" s="53" t="n">
        <v>0</v>
      </c>
      <c r="P290" s="53" t="n">
        <v>-651215.03</v>
      </c>
      <c r="Q290" s="53" t="n">
        <v>0</v>
      </c>
      <c r="R290" s="53" t="n">
        <v>651215.03</v>
      </c>
      <c r="S290" s="53" t="n">
        <v>0</v>
      </c>
      <c r="T290" s="53" t="n">
        <v>305097.16</v>
      </c>
      <c r="U290" s="53" t="n">
        <v>0.4685</v>
      </c>
      <c r="V290" s="53" t="n">
        <v>100</v>
      </c>
      <c r="W290" s="53" t="n">
        <v>0.0001</v>
      </c>
      <c r="X290" s="53" t="n">
        <v>0</v>
      </c>
      <c r="Y290" s="53" t="n">
        <v>0</v>
      </c>
      <c r="Z290" s="53" t="n">
        <v>0</v>
      </c>
      <c r="AA290" s="53" t="n">
        <v>0</v>
      </c>
      <c r="AB290" s="53" t="inlineStr">
        <is>
          <t>FALSE</t>
        </is>
      </c>
      <c r="AC290" s="53" t="inlineStr">
        <is>
          <t>FALSE</t>
        </is>
      </c>
    </row>
    <row r="291">
      <c r="A291" s="53" t="inlineStr">
        <is>
          <t>2026-06-17</t>
        </is>
      </c>
      <c r="B291" s="53" t="inlineStr">
        <is>
          <t>1551637</t>
        </is>
      </c>
      <c r="C291" s="53" t="inlineStr">
        <is>
          <t>2023.847 Ireland Home</t>
        </is>
      </c>
      <c r="D291" s="53" t="inlineStr">
        <is>
          <t>TI</t>
        </is>
      </c>
      <c r="E291" s="53" t="inlineStr">
        <is>
          <t>Tommy Cohoat</t>
        </is>
      </c>
      <c r="F291" s="53" t="inlineStr">
        <is>
          <t>Bischoff Construction, LLC</t>
        </is>
      </c>
      <c r="G291" s="53" t="inlineStr">
        <is>
          <t>ACTIVE</t>
        </is>
      </c>
      <c r="H291" s="53" t="n">
        <v>52636.92</v>
      </c>
      <c r="I291" s="53" t="n">
        <v>19160</v>
      </c>
      <c r="J291" s="53" t="n">
        <v>52636.92</v>
      </c>
      <c r="K291" s="53" t="n">
        <v>52636.92</v>
      </c>
      <c r="L291" s="53" t="n">
        <v>36345</v>
      </c>
      <c r="M291" s="53" t="n">
        <v>40426.66</v>
      </c>
      <c r="N291" s="53" t="n">
        <v>1.1123</v>
      </c>
      <c r="O291" s="53" t="n">
        <v>58548.05</v>
      </c>
      <c r="P291" s="53" t="n">
        <v>5911.13</v>
      </c>
      <c r="Q291" s="53" t="n">
        <v>0</v>
      </c>
      <c r="R291" s="53" t="n">
        <v>0</v>
      </c>
      <c r="S291" s="53" t="n">
        <v>5911.13</v>
      </c>
      <c r="T291" s="53" t="n">
        <v>12210.26</v>
      </c>
      <c r="U291" s="53" t="n">
        <v>0.232</v>
      </c>
      <c r="V291" s="53" t="n">
        <v>30.95</v>
      </c>
      <c r="W291" s="53" t="n">
        <v>0.0005999999999999999</v>
      </c>
      <c r="X291" s="53" t="n">
        <v>0.3095</v>
      </c>
      <c r="Y291" s="53" t="n">
        <v>-0.3089</v>
      </c>
      <c r="Z291" s="53" t="n">
        <v>0</v>
      </c>
      <c r="AA291" s="53" t="n">
        <v>0</v>
      </c>
      <c r="AB291" s="53" t="inlineStr">
        <is>
          <t>TRUE</t>
        </is>
      </c>
      <c r="AC291" s="53" t="inlineStr">
        <is>
          <t>TRUE</t>
        </is>
      </c>
    </row>
    <row r="292">
      <c r="A292" s="53" t="inlineStr">
        <is>
          <t>2026-06-17</t>
        </is>
      </c>
      <c r="B292" s="53" t="inlineStr">
        <is>
          <t>1539188</t>
        </is>
      </c>
      <c r="C292" s="53" t="inlineStr">
        <is>
          <t>2024.874 Noblesville HS Academic Addition &amp; Renovation</t>
        </is>
      </c>
      <c r="D292" s="53" t="inlineStr">
        <is>
          <t>TI</t>
        </is>
      </c>
      <c r="E292" s="53" t="inlineStr">
        <is>
          <t>Trevor Anderson</t>
        </is>
      </c>
      <c r="F292" s="53" t="inlineStr">
        <is>
          <t>The Peterson Company, LLC</t>
        </is>
      </c>
      <c r="G292" s="53" t="inlineStr">
        <is>
          <t>ACTIVE</t>
        </is>
      </c>
      <c r="H292" s="53" t="n">
        <v>154487</v>
      </c>
      <c r="I292" s="53" t="n">
        <v>-8530</v>
      </c>
      <c r="J292" s="53" t="n">
        <v>154487</v>
      </c>
      <c r="K292" s="53" t="n">
        <v>169451</v>
      </c>
      <c r="L292" s="53" t="n">
        <v>200934.57</v>
      </c>
      <c r="M292" s="53" t="n">
        <v>200934.57</v>
      </c>
      <c r="N292" s="53" t="n">
        <v>1</v>
      </c>
      <c r="O292" s="53" t="n">
        <v>154487</v>
      </c>
      <c r="P292" s="53" t="n">
        <v>0</v>
      </c>
      <c r="Q292" s="53" t="n">
        <v>0</v>
      </c>
      <c r="R292" s="53" t="n">
        <v>0</v>
      </c>
      <c r="S292" s="53" t="n">
        <v>0</v>
      </c>
      <c r="T292" s="53" t="n">
        <v>-46447.57</v>
      </c>
      <c r="U292" s="53" t="n">
        <v>-0.3007</v>
      </c>
      <c r="V292" s="53" t="n">
        <v>-30.07</v>
      </c>
      <c r="W292" s="53" t="n">
        <v>-0.0002</v>
      </c>
      <c r="X292" s="53" t="n">
        <v>-0.3007</v>
      </c>
      <c r="Y292" s="53" t="n">
        <v>0.3005</v>
      </c>
      <c r="Z292" s="53" t="n">
        <v>0</v>
      </c>
      <c r="AA292" s="53" t="n">
        <v>-14964</v>
      </c>
      <c r="AB292" s="53" t="inlineStr">
        <is>
          <t>TRUE</t>
        </is>
      </c>
      <c r="AC292" s="53" t="inlineStr">
        <is>
          <t>TRUE</t>
        </is>
      </c>
    </row>
    <row r="293">
      <c r="A293" s="53" t="inlineStr">
        <is>
          <t>2026-06-17</t>
        </is>
      </c>
      <c r="B293" s="53" t="inlineStr">
        <is>
          <t>1536145</t>
        </is>
      </c>
      <c r="C293" s="53" t="inlineStr">
        <is>
          <t>MF.2023.840 Paint at 804 14th Ave Nashville</t>
        </is>
      </c>
      <c r="D293" s="53" t="inlineStr">
        <is>
          <t>MF</t>
        </is>
      </c>
      <c r="E293" s="53" t="inlineStr">
        <is>
          <t>Kelden Tyson</t>
        </is>
      </c>
      <c r="F293" s="53" t="inlineStr">
        <is>
          <t>ZMX Inc.</t>
        </is>
      </c>
      <c r="G293" s="53" t="inlineStr">
        <is>
          <t>ACTIVE</t>
        </is>
      </c>
      <c r="H293" s="53" t="n">
        <v>280782.67</v>
      </c>
      <c r="I293" s="53" t="n">
        <v>24407.67</v>
      </c>
      <c r="J293" s="53" t="n">
        <v>280782.67</v>
      </c>
      <c r="K293" s="53" t="n">
        <v>300524.51</v>
      </c>
      <c r="L293" s="53" t="n">
        <v>228212.19</v>
      </c>
      <c r="M293" s="53" t="n">
        <v>230735.13</v>
      </c>
      <c r="N293" s="53" t="n">
        <v>1.0111</v>
      </c>
      <c r="O293" s="53" t="n">
        <v>283899.36</v>
      </c>
      <c r="P293" s="53" t="n">
        <v>3116.69</v>
      </c>
      <c r="Q293" s="53" t="n">
        <v>0</v>
      </c>
      <c r="R293" s="53" t="n">
        <v>0</v>
      </c>
      <c r="S293" s="53" t="n">
        <v>3116.69</v>
      </c>
      <c r="T293" s="53" t="n">
        <v>50047.54</v>
      </c>
      <c r="U293" s="53" t="n">
        <v>0.1782</v>
      </c>
      <c r="V293" s="53" t="n">
        <v>18.72</v>
      </c>
      <c r="W293" s="53" t="n">
        <v>0.0001</v>
      </c>
      <c r="X293" s="53" t="n">
        <v>0.1872</v>
      </c>
      <c r="Y293" s="53" t="n">
        <v>-0.1872</v>
      </c>
      <c r="Z293" s="53" t="n">
        <v>0</v>
      </c>
      <c r="AA293" s="53" t="n">
        <v>-19741.84</v>
      </c>
      <c r="AB293" s="53" t="inlineStr">
        <is>
          <t>TRUE</t>
        </is>
      </c>
      <c r="AC293" s="53" t="inlineStr">
        <is>
          <t>TRUE</t>
        </is>
      </c>
    </row>
    <row r="294">
      <c r="A294" s="53" t="inlineStr">
        <is>
          <t>2026-06-17</t>
        </is>
      </c>
      <c r="B294" s="53" t="inlineStr">
        <is>
          <t>1464707</t>
        </is>
      </c>
      <c r="C294" s="53" t="inlineStr">
        <is>
          <t>2023.816 Upland Broad Ripple</t>
        </is>
      </c>
      <c r="D294" s="53" t="inlineStr">
        <is>
          <t>TI</t>
        </is>
      </c>
      <c r="E294" s="53" t="inlineStr">
        <is>
          <t>Tommy Cohoat</t>
        </is>
      </c>
      <c r="F294" s="53" t="inlineStr">
        <is>
          <t>Bischoff Construction, LLC</t>
        </is>
      </c>
      <c r="G294" s="53" t="inlineStr">
        <is>
          <t>ACTIVE</t>
        </is>
      </c>
      <c r="H294" s="53" t="n">
        <v>14450</v>
      </c>
      <c r="I294" s="53" t="n">
        <v>0</v>
      </c>
      <c r="J294" s="53" t="n">
        <v>14450</v>
      </c>
      <c r="K294" s="53" t="n">
        <v>14450</v>
      </c>
      <c r="L294" s="53" t="n">
        <v>6350</v>
      </c>
      <c r="M294" s="53" t="n">
        <v>11521.3</v>
      </c>
      <c r="N294" s="53" t="n">
        <v>1.8144</v>
      </c>
      <c r="O294" s="53" t="n">
        <v>26218.08</v>
      </c>
      <c r="P294" s="53" t="n">
        <v>11768.08</v>
      </c>
      <c r="Q294" s="53" t="n">
        <v>0</v>
      </c>
      <c r="R294" s="53" t="n">
        <v>0</v>
      </c>
      <c r="S294" s="53" t="n">
        <v>11768.08</v>
      </c>
      <c r="T294" s="53" t="n">
        <v>2928.7</v>
      </c>
      <c r="U294" s="53" t="n">
        <v>0.2027</v>
      </c>
      <c r="V294" s="53" t="n">
        <v>56.06</v>
      </c>
      <c r="W294" s="53" t="n">
        <v>0.0039</v>
      </c>
      <c r="X294" s="53" t="n">
        <v>0.5606</v>
      </c>
      <c r="Y294" s="53" t="n">
        <v>-0.5567</v>
      </c>
      <c r="Z294" s="53" t="n">
        <v>0</v>
      </c>
      <c r="AA294" s="53" t="n">
        <v>0</v>
      </c>
      <c r="AB294" s="53" t="inlineStr">
        <is>
          <t>TRUE</t>
        </is>
      </c>
      <c r="AC294" s="53" t="inlineStr">
        <is>
          <t>TRUE</t>
        </is>
      </c>
    </row>
    <row r="295">
      <c r="A295" s="53" t="inlineStr">
        <is>
          <t>2026-06-17</t>
        </is>
      </c>
      <c r="B295" s="53" t="inlineStr">
        <is>
          <t>1461734</t>
        </is>
      </c>
      <c r="C295" s="53" t="inlineStr">
        <is>
          <t>2023.839 Hamilton County National Guard Readiness Center</t>
        </is>
      </c>
      <c r="D295" s="53" t="inlineStr">
        <is>
          <t>TI</t>
        </is>
      </c>
      <c r="E295" s="53" t="inlineStr">
        <is>
          <t>Tommy Cohoat</t>
        </is>
      </c>
      <c r="F295" s="53" t="inlineStr">
        <is>
          <t>Patterson Horth, Inc.</t>
        </is>
      </c>
      <c r="G295" s="53" t="inlineStr">
        <is>
          <t>ACTIVE</t>
        </is>
      </c>
      <c r="H295" s="53" t="n">
        <v>1538998.61</v>
      </c>
      <c r="I295" s="53" t="n">
        <v>19111.61</v>
      </c>
      <c r="J295" s="53" t="n">
        <v>1538998.61</v>
      </c>
      <c r="K295" s="53" t="n">
        <v>1431787.62</v>
      </c>
      <c r="L295" s="53" t="n">
        <v>1340800</v>
      </c>
      <c r="M295" s="53" t="n">
        <v>1462377.28</v>
      </c>
      <c r="N295" s="53" t="n">
        <v>1.0907</v>
      </c>
      <c r="O295" s="53" t="n">
        <v>1678585.78</v>
      </c>
      <c r="P295" s="53" t="n">
        <v>139587.17</v>
      </c>
      <c r="Q295" s="53" t="n">
        <v>0</v>
      </c>
      <c r="R295" s="53" t="n">
        <v>0</v>
      </c>
      <c r="S295" s="53" t="n">
        <v>139587.17</v>
      </c>
      <c r="T295" s="53" t="n">
        <v>76621.33</v>
      </c>
      <c r="U295" s="53" t="n">
        <v>0.0498</v>
      </c>
      <c r="V295" s="53" t="n">
        <v>12.88</v>
      </c>
      <c r="W295" s="53" t="n">
        <v>0</v>
      </c>
      <c r="X295" s="53" t="n">
        <v>0.1288</v>
      </c>
      <c r="Y295" s="53" t="n">
        <v>-0.1288</v>
      </c>
      <c r="Z295" s="53" t="n">
        <v>0</v>
      </c>
      <c r="AA295" s="53" t="n">
        <v>107210.99</v>
      </c>
      <c r="AB295" s="53" t="inlineStr">
        <is>
          <t>TRUE</t>
        </is>
      </c>
      <c r="AC295" s="53" t="inlineStr">
        <is>
          <t>TRUE</t>
        </is>
      </c>
    </row>
    <row r="296">
      <c r="A296" s="53" t="inlineStr">
        <is>
          <t>2026-06-17</t>
        </is>
      </c>
      <c r="B296" s="53" t="inlineStr">
        <is>
          <t>1423094</t>
        </is>
      </c>
      <c r="C296" s="53" t="inlineStr">
        <is>
          <t>2024.869 Prospect Lake Clean Water Center</t>
        </is>
      </c>
      <c r="D296" s="53" t="inlineStr">
        <is>
          <t>TI</t>
        </is>
      </c>
      <c r="E296" s="53" t="inlineStr">
        <is>
          <t>Cole Garriott</t>
        </is>
      </c>
      <c r="F296" s="53" t="inlineStr">
        <is>
          <t>Patterson Horth, Inc.</t>
        </is>
      </c>
      <c r="G296" s="53" t="inlineStr">
        <is>
          <t>ACTIVE</t>
        </is>
      </c>
      <c r="H296" s="53" t="n">
        <v>427542</v>
      </c>
      <c r="I296" s="53" t="n">
        <v>65378</v>
      </c>
      <c r="J296" s="53" t="n">
        <v>427542</v>
      </c>
      <c r="K296" s="53" t="n">
        <v>384787.8</v>
      </c>
      <c r="L296" s="53" t="n">
        <v>279568.91</v>
      </c>
      <c r="M296" s="53" t="n">
        <v>279568.91</v>
      </c>
      <c r="N296" s="53" t="n">
        <v>1</v>
      </c>
      <c r="O296" s="53" t="n">
        <v>427542</v>
      </c>
      <c r="P296" s="53" t="n">
        <v>0</v>
      </c>
      <c r="Q296" s="53" t="n">
        <v>0</v>
      </c>
      <c r="R296" s="53" t="n">
        <v>0</v>
      </c>
      <c r="S296" s="53" t="n">
        <v>0</v>
      </c>
      <c r="T296" s="53" t="n">
        <v>147973.09</v>
      </c>
      <c r="U296" s="53" t="n">
        <v>0.3461</v>
      </c>
      <c r="V296" s="53" t="n">
        <v>34.61</v>
      </c>
      <c r="W296" s="53" t="n">
        <v>0.0001</v>
      </c>
      <c r="X296" s="53" t="n">
        <v>0.3461</v>
      </c>
      <c r="Y296" s="53" t="n">
        <v>-0.346</v>
      </c>
      <c r="Z296" s="53" t="n">
        <v>0</v>
      </c>
      <c r="AA296" s="53" t="n">
        <v>42754.2</v>
      </c>
      <c r="AB296" s="53" t="inlineStr">
        <is>
          <t>TRUE</t>
        </is>
      </c>
      <c r="AC296" s="53" t="inlineStr">
        <is>
          <t>TRUE</t>
        </is>
      </c>
    </row>
    <row r="297">
      <c r="A297" s="53" t="inlineStr">
        <is>
          <t>2026-06-17</t>
        </is>
      </c>
      <c r="B297" s="53" t="inlineStr">
        <is>
          <t>1407590</t>
        </is>
      </c>
      <c r="C297" s="53" t="inlineStr">
        <is>
          <t>2023.795 Upland Brewery Clay Terrace</t>
        </is>
      </c>
      <c r="D297" s="53" t="inlineStr">
        <is>
          <t>TI</t>
        </is>
      </c>
      <c r="E297" s="53" t="inlineStr">
        <is>
          <t>Tommy Cohoat</t>
        </is>
      </c>
      <c r="F297" s="53" t="inlineStr">
        <is>
          <t>Bischoff Construction, LLC</t>
        </is>
      </c>
      <c r="G297" s="53" t="inlineStr">
        <is>
          <t>ACTIVE</t>
        </is>
      </c>
      <c r="H297" s="53" t="n">
        <v>101530</v>
      </c>
      <c r="I297" s="53" t="n">
        <v>23430</v>
      </c>
      <c r="J297" s="53" t="n">
        <v>101530</v>
      </c>
      <c r="K297" s="53" t="n">
        <v>101530</v>
      </c>
      <c r="L297" s="53" t="n">
        <v>41460</v>
      </c>
      <c r="M297" s="53" t="n">
        <v>52294.94</v>
      </c>
      <c r="N297" s="53" t="n">
        <v>1.2613</v>
      </c>
      <c r="O297" s="53" t="n">
        <v>128059.79</v>
      </c>
      <c r="P297" s="53" t="n">
        <v>26529.79</v>
      </c>
      <c r="Q297" s="53" t="n">
        <v>0</v>
      </c>
      <c r="R297" s="53" t="n">
        <v>0</v>
      </c>
      <c r="S297" s="53" t="n">
        <v>26529.79</v>
      </c>
      <c r="T297" s="53" t="n">
        <v>49235.06</v>
      </c>
      <c r="U297" s="53" t="n">
        <v>0.4849</v>
      </c>
      <c r="V297" s="53" t="n">
        <v>59.16</v>
      </c>
      <c r="W297" s="53" t="n">
        <v>0.0005999999999999999</v>
      </c>
      <c r="X297" s="53" t="n">
        <v>0.5916</v>
      </c>
      <c r="Y297" s="53" t="n">
        <v>-0.5911</v>
      </c>
      <c r="Z297" s="53" t="n">
        <v>0</v>
      </c>
      <c r="AA297" s="53" t="n">
        <v>0</v>
      </c>
      <c r="AB297" s="53" t="inlineStr">
        <is>
          <t>TRUE</t>
        </is>
      </c>
      <c r="AC297" s="53" t="inlineStr">
        <is>
          <t>TRUE</t>
        </is>
      </c>
    </row>
    <row r="298">
      <c r="A298" s="53" t="inlineStr">
        <is>
          <t>2026-06-17</t>
        </is>
      </c>
      <c r="B298" s="53" t="inlineStr">
        <is>
          <t>1398846</t>
        </is>
      </c>
      <c r="C298" s="53" t="inlineStr">
        <is>
          <t>2023.843 Walmart Frederick</t>
        </is>
      </c>
      <c r="D298" s="53" t="inlineStr">
        <is>
          <t>TI</t>
        </is>
      </c>
      <c r="E298" s="53" t="inlineStr">
        <is>
          <t>Cole Garriott</t>
        </is>
      </c>
      <c r="F298" s="53" t="inlineStr">
        <is>
          <t>DEEM, LLC</t>
        </is>
      </c>
      <c r="G298" s="53" t="inlineStr">
        <is>
          <t>ACTIVE</t>
        </is>
      </c>
      <c r="H298" s="53" t="n">
        <v>2978233.94</v>
      </c>
      <c r="I298" s="53" t="n">
        <v>839835.9399999999</v>
      </c>
      <c r="J298" s="53" t="n">
        <v>2978233.94</v>
      </c>
      <c r="K298" s="53" t="n">
        <v>2978233.94</v>
      </c>
      <c r="L298" s="53" t="n">
        <v>1743437.53</v>
      </c>
      <c r="M298" s="53" t="n">
        <v>1743437.53</v>
      </c>
      <c r="N298" s="53" t="n">
        <v>1</v>
      </c>
      <c r="O298" s="53" t="n">
        <v>2978233.94</v>
      </c>
      <c r="P298" s="53" t="n">
        <v>0</v>
      </c>
      <c r="Q298" s="53" t="n">
        <v>0</v>
      </c>
      <c r="R298" s="53" t="n">
        <v>0</v>
      </c>
      <c r="S298" s="53" t="n">
        <v>0</v>
      </c>
      <c r="T298" s="53" t="n">
        <v>1234796.41</v>
      </c>
      <c r="U298" s="53" t="n">
        <v>0.4146</v>
      </c>
      <c r="V298" s="53" t="n">
        <v>41.46</v>
      </c>
      <c r="W298" s="53" t="n">
        <v>0</v>
      </c>
      <c r="X298" s="53" t="n">
        <v>0.4146</v>
      </c>
      <c r="Y298" s="53" t="n">
        <v>-0.4146</v>
      </c>
      <c r="Z298" s="53" t="n">
        <v>0</v>
      </c>
      <c r="AA298" s="53" t="n">
        <v>0</v>
      </c>
      <c r="AB298" s="53" t="inlineStr">
        <is>
          <t>TRUE</t>
        </is>
      </c>
      <c r="AC298" s="53" t="inlineStr">
        <is>
          <t>TRUE</t>
        </is>
      </c>
    </row>
    <row r="299">
      <c r="A299" s="53" t="inlineStr">
        <is>
          <t>2026-06-17</t>
        </is>
      </c>
      <c r="B299" s="53" t="inlineStr">
        <is>
          <t>1383434</t>
        </is>
      </c>
      <c r="C299" s="53" t="inlineStr">
        <is>
          <t>MF.2023.785 Drywall at 804 14th Ave Nashville</t>
        </is>
      </c>
      <c r="D299" s="53" t="inlineStr">
        <is>
          <t>MF</t>
        </is>
      </c>
      <c r="E299" s="53" t="inlineStr">
        <is>
          <t>Kelden Tyson</t>
        </is>
      </c>
      <c r="F299" s="53" t="inlineStr">
        <is>
          <t>ZMX Inc.</t>
        </is>
      </c>
      <c r="G299" s="53" t="inlineStr">
        <is>
          <t>ACTIVE</t>
        </is>
      </c>
      <c r="H299" s="53" t="n">
        <v>739513.88</v>
      </c>
      <c r="I299" s="53" t="n">
        <v>58163.88</v>
      </c>
      <c r="J299" s="53" t="n">
        <v>739513.88</v>
      </c>
      <c r="K299" s="53" t="n">
        <v>728866.98</v>
      </c>
      <c r="L299" s="53" t="n">
        <v>608078.16</v>
      </c>
      <c r="M299" s="53" t="n">
        <v>610601.1</v>
      </c>
      <c r="N299" s="53" t="n">
        <v>1.0041</v>
      </c>
      <c r="O299" s="53" t="n">
        <v>742545.89</v>
      </c>
      <c r="P299" s="53" t="n">
        <v>3032.01</v>
      </c>
      <c r="Q299" s="53" t="n">
        <v>-0</v>
      </c>
      <c r="R299" s="53" t="n">
        <v>0</v>
      </c>
      <c r="S299" s="53" t="n">
        <v>3032.01</v>
      </c>
      <c r="T299" s="53" t="n">
        <v>128912.78</v>
      </c>
      <c r="U299" s="53" t="n">
        <v>0.1743</v>
      </c>
      <c r="V299" s="53" t="n">
        <v>17.77</v>
      </c>
      <c r="W299" s="53" t="n">
        <v>0</v>
      </c>
      <c r="X299" s="53" t="n">
        <v>0.1777</v>
      </c>
      <c r="Y299" s="53" t="n">
        <v>-0.1777</v>
      </c>
      <c r="Z299" s="53" t="n">
        <v>0</v>
      </c>
      <c r="AA299" s="53" t="n">
        <v>10646.9</v>
      </c>
      <c r="AB299" s="53" t="inlineStr">
        <is>
          <t>TRUE</t>
        </is>
      </c>
      <c r="AC299" s="53" t="inlineStr">
        <is>
          <t>TRUE</t>
        </is>
      </c>
    </row>
    <row r="300">
      <c r="A300" s="53" t="inlineStr">
        <is>
          <t>2026-06-17</t>
        </is>
      </c>
      <c r="B300" s="53" t="inlineStr">
        <is>
          <t>1360035</t>
        </is>
      </c>
      <c r="C300" s="53" t="inlineStr">
        <is>
          <t>2023.776 Keefe Group TI</t>
        </is>
      </c>
      <c r="D300" s="53" t="inlineStr">
        <is>
          <t>TI</t>
        </is>
      </c>
      <c r="E300" s="53" t="inlineStr">
        <is>
          <t>Tommy Cohoat</t>
        </is>
      </c>
      <c r="F300" s="53" t="inlineStr">
        <is>
          <t>The Peterson Company, LLC</t>
        </is>
      </c>
      <c r="G300" s="53" t="inlineStr">
        <is>
          <t>ACTIVE</t>
        </is>
      </c>
      <c r="H300" s="53" t="n">
        <v>113525</v>
      </c>
      <c r="I300" s="53" t="n">
        <v>0</v>
      </c>
      <c r="J300" s="53" t="n">
        <v>113525</v>
      </c>
      <c r="K300" s="53" t="n">
        <v>113525</v>
      </c>
      <c r="L300" s="53" t="n">
        <v>92609.28</v>
      </c>
      <c r="M300" s="53" t="n">
        <v>92269.92999999999</v>
      </c>
      <c r="N300" s="53" t="n">
        <v>0.9963</v>
      </c>
      <c r="O300" s="53" t="n">
        <v>113104.96</v>
      </c>
      <c r="P300" s="53" t="n">
        <v>-420.04</v>
      </c>
      <c r="Q300" s="53" t="n">
        <v>-415.99</v>
      </c>
      <c r="R300" s="53" t="n">
        <v>420.04</v>
      </c>
      <c r="S300" s="53" t="n">
        <v>0</v>
      </c>
      <c r="T300" s="53" t="n">
        <v>21255.07</v>
      </c>
      <c r="U300" s="53" t="n">
        <v>0.1872</v>
      </c>
      <c r="V300" s="53" t="n">
        <v>18.42</v>
      </c>
      <c r="W300" s="53" t="n">
        <v>0.0002</v>
      </c>
      <c r="X300" s="53" t="n">
        <v>0.1842</v>
      </c>
      <c r="Y300" s="53" t="n">
        <v>-0.1841</v>
      </c>
      <c r="Z300" s="53" t="n">
        <v>0</v>
      </c>
      <c r="AA300" s="53" t="n">
        <v>0</v>
      </c>
      <c r="AB300" s="53" t="inlineStr">
        <is>
          <t>TRUE</t>
        </is>
      </c>
      <c r="AC300" s="53" t="inlineStr">
        <is>
          <t>TRUE</t>
        </is>
      </c>
    </row>
    <row r="301">
      <c r="A301" s="53" t="inlineStr">
        <is>
          <t>2026-06-17</t>
        </is>
      </c>
      <c r="B301" s="53" t="inlineStr">
        <is>
          <t>1303390</t>
        </is>
      </c>
      <c r="C301" s="53" t="inlineStr">
        <is>
          <t>MF.2024.875 Purdue Student Housing</t>
        </is>
      </c>
      <c r="D301" s="53" t="inlineStr">
        <is>
          <t>MF</t>
        </is>
      </c>
      <c r="E301" s="53" t="inlineStr">
        <is>
          <t>Kelden Tyson</t>
        </is>
      </c>
      <c r="F301" s="53" t="inlineStr">
        <is>
          <t>Marous Brothers Construction</t>
        </is>
      </c>
      <c r="G301" s="53" t="inlineStr">
        <is>
          <t>ACTIVE</t>
        </is>
      </c>
      <c r="H301" s="53" t="n">
        <v>6171928.99</v>
      </c>
      <c r="I301" s="53" t="n">
        <v>805433.99</v>
      </c>
      <c r="J301" s="53" t="n">
        <v>6171928.99</v>
      </c>
      <c r="K301" s="53" t="n">
        <v>6171928.99</v>
      </c>
      <c r="L301" s="53" t="n">
        <v>5187520.67</v>
      </c>
      <c r="M301" s="53" t="n">
        <v>5197619.98</v>
      </c>
      <c r="N301" s="53" t="n">
        <v>1.0019</v>
      </c>
      <c r="O301" s="53" t="n">
        <v>6183655.66</v>
      </c>
      <c r="P301" s="53" t="n">
        <v>11726.67</v>
      </c>
      <c r="Q301" s="53" t="n">
        <v>0</v>
      </c>
      <c r="R301" s="53" t="n">
        <v>0</v>
      </c>
      <c r="S301" s="53" t="n">
        <v>11726.67</v>
      </c>
      <c r="T301" s="53" t="n">
        <v>974309.01</v>
      </c>
      <c r="U301" s="53" t="n">
        <v>0.1579</v>
      </c>
      <c r="V301" s="53" t="n">
        <v>15.95</v>
      </c>
      <c r="W301" s="53" t="n">
        <v>0</v>
      </c>
      <c r="X301" s="53" t="n">
        <v>0.1595</v>
      </c>
      <c r="Y301" s="53" t="n">
        <v>-0.1595</v>
      </c>
      <c r="Z301" s="53" t="n">
        <v>0</v>
      </c>
      <c r="AA301" s="53" t="n">
        <v>0</v>
      </c>
      <c r="AB301" s="53" t="inlineStr">
        <is>
          <t>TRUE</t>
        </is>
      </c>
      <c r="AC301" s="53" t="inlineStr">
        <is>
          <t>TRUE</t>
        </is>
      </c>
    </row>
    <row r="302">
      <c r="A302" s="53" t="inlineStr">
        <is>
          <t>2026-06-17</t>
        </is>
      </c>
      <c r="B302" s="53" t="inlineStr">
        <is>
          <t>1161468</t>
        </is>
      </c>
      <c r="C302" s="53" t="inlineStr">
        <is>
          <t>2022.690 Klarity, Mind, &amp; Body</t>
        </is>
      </c>
      <c r="D302" s="53" t="inlineStr">
        <is>
          <t>TI</t>
        </is>
      </c>
      <c r="E302" s="53" t="inlineStr">
        <is>
          <t>Ted Wells</t>
        </is>
      </c>
      <c r="F302" s="53" t="inlineStr">
        <is>
          <t>EquiTeam LLC</t>
        </is>
      </c>
      <c r="G302" s="53" t="inlineStr">
        <is>
          <t>ACTIVE</t>
        </is>
      </c>
      <c r="H302" s="53" t="n">
        <v>66336.42</v>
      </c>
      <c r="I302" s="53" t="n">
        <v>6165</v>
      </c>
      <c r="J302" s="53" t="n">
        <v>66336.42999999999</v>
      </c>
      <c r="K302" s="53" t="n">
        <v>66336.42999999999</v>
      </c>
      <c r="L302" s="53" t="n">
        <v>42004.23</v>
      </c>
      <c r="M302" s="53" t="n">
        <v>36756.21</v>
      </c>
      <c r="N302" s="53" t="n">
        <v>0.8751</v>
      </c>
      <c r="O302" s="53" t="n">
        <v>58051</v>
      </c>
      <c r="P302" s="53" t="n">
        <v>-8285.43</v>
      </c>
      <c r="Q302" s="53" t="n">
        <v>-8288.09</v>
      </c>
      <c r="R302" s="53" t="n">
        <v>8285.43</v>
      </c>
      <c r="S302" s="53" t="n">
        <v>0</v>
      </c>
      <c r="T302" s="53" t="n">
        <v>29580.21</v>
      </c>
      <c r="U302" s="53" t="n">
        <v>0.4459</v>
      </c>
      <c r="V302" s="53" t="n">
        <v>36.68</v>
      </c>
      <c r="W302" s="53" t="n">
        <v>0.0005999999999999999</v>
      </c>
      <c r="X302" s="53" t="n">
        <v>0.3668</v>
      </c>
      <c r="Y302" s="53" t="n">
        <v>-0.3662</v>
      </c>
      <c r="Z302" s="53" t="n">
        <v>-0.01</v>
      </c>
      <c r="AA302" s="53" t="n">
        <v>0</v>
      </c>
      <c r="AB302" s="53" t="inlineStr">
        <is>
          <t>TRUE</t>
        </is>
      </c>
      <c r="AC302" s="53" t="inlineStr">
        <is>
          <t>TRUE</t>
        </is>
      </c>
    </row>
    <row r="303">
      <c r="A303" s="53" t="inlineStr">
        <is>
          <t>2026-06-17</t>
        </is>
      </c>
      <c r="B303" s="53" t="inlineStr">
        <is>
          <t>1151697</t>
        </is>
      </c>
      <c r="C303" s="53" t="inlineStr">
        <is>
          <t>2023.731 Park 133 - ITS - TI Tenant Buildout</t>
        </is>
      </c>
      <c r="D303" s="53" t="inlineStr">
        <is>
          <t>TI</t>
        </is>
      </c>
      <c r="E303" s="53" t="inlineStr">
        <is>
          <t>Tommy Cohoat</t>
        </is>
      </c>
      <c r="F303" s="53" t="inlineStr">
        <is>
          <t>The Peterson Company, LLC</t>
        </is>
      </c>
      <c r="G303" s="53" t="inlineStr">
        <is>
          <t>ACTIVE</t>
        </is>
      </c>
      <c r="H303" s="53" t="n">
        <v>759684</v>
      </c>
      <c r="I303" s="53" t="n">
        <v>40783</v>
      </c>
      <c r="J303" s="53" t="n">
        <v>759684</v>
      </c>
      <c r="K303" s="53" t="n">
        <v>759684</v>
      </c>
      <c r="L303" s="53" t="n">
        <v>406398</v>
      </c>
      <c r="M303" s="53" t="n">
        <v>409683.37</v>
      </c>
      <c r="N303" s="53" t="n">
        <v>1.0081</v>
      </c>
      <c r="O303" s="53" t="n">
        <v>765837.4399999999</v>
      </c>
      <c r="P303" s="53" t="n">
        <v>6153.44</v>
      </c>
      <c r="Q303" s="53" t="n">
        <v>0</v>
      </c>
      <c r="R303" s="53" t="n">
        <v>0</v>
      </c>
      <c r="S303" s="53" t="n">
        <v>6153.44</v>
      </c>
      <c r="T303" s="53" t="n">
        <v>350000.63</v>
      </c>
      <c r="U303" s="53" t="n">
        <v>0.4607</v>
      </c>
      <c r="V303" s="53" t="n">
        <v>46.5</v>
      </c>
      <c r="W303" s="53" t="n">
        <v>0.0001</v>
      </c>
      <c r="X303" s="53" t="n">
        <v>0.465</v>
      </c>
      <c r="Y303" s="53" t="n">
        <v>-0.465</v>
      </c>
      <c r="Z303" s="53" t="n">
        <v>0</v>
      </c>
      <c r="AA303" s="53" t="n">
        <v>0</v>
      </c>
      <c r="AB303" s="53" t="inlineStr">
        <is>
          <t>TRUE</t>
        </is>
      </c>
      <c r="AC303" s="53" t="inlineStr">
        <is>
          <t>TRUE</t>
        </is>
      </c>
    </row>
    <row r="304">
      <c r="A304" s="53" t="inlineStr">
        <is>
          <t>2026-06-17</t>
        </is>
      </c>
      <c r="B304" s="53" t="inlineStr">
        <is>
          <t>1138743</t>
        </is>
      </c>
      <c r="C304" s="53" t="inlineStr">
        <is>
          <t>2022.654 Upland Brewery Northside</t>
        </is>
      </c>
      <c r="D304" s="53" t="inlineStr">
        <is>
          <t>TI</t>
        </is>
      </c>
      <c r="E304" s="53" t="inlineStr">
        <is>
          <t>Tommy Cohoat</t>
        </is>
      </c>
      <c r="F304" s="53" t="inlineStr">
        <is>
          <t>Seven Four Construction</t>
        </is>
      </c>
      <c r="G304" s="53" t="inlineStr">
        <is>
          <t>ACTIVE</t>
        </is>
      </c>
      <c r="H304" s="53" t="n">
        <v>175860.53</v>
      </c>
      <c r="I304" s="53" t="n">
        <v>74360.53</v>
      </c>
      <c r="J304" s="53" t="n">
        <v>175860.53</v>
      </c>
      <c r="K304" s="53" t="n">
        <v>175860.53</v>
      </c>
      <c r="L304" s="53" t="n">
        <v>139299.39</v>
      </c>
      <c r="M304" s="53" t="n">
        <v>137342.59</v>
      </c>
      <c r="N304" s="53" t="n">
        <v>0.986</v>
      </c>
      <c r="O304" s="53" t="n">
        <v>173398.48</v>
      </c>
      <c r="P304" s="53" t="n">
        <v>-2462.05</v>
      </c>
      <c r="Q304" s="53" t="n">
        <v>-2470.39</v>
      </c>
      <c r="R304" s="53" t="n">
        <v>2462.05</v>
      </c>
      <c r="S304" s="53" t="n">
        <v>0</v>
      </c>
      <c r="T304" s="53" t="n">
        <v>38517.94</v>
      </c>
      <c r="U304" s="53" t="n">
        <v>0.219</v>
      </c>
      <c r="V304" s="53" t="n">
        <v>20.79</v>
      </c>
      <c r="W304" s="53" t="n">
        <v>0.0001</v>
      </c>
      <c r="X304" s="53" t="n">
        <v>0.2079</v>
      </c>
      <c r="Y304" s="53" t="n">
        <v>-0.2078</v>
      </c>
      <c r="Z304" s="53" t="n">
        <v>0</v>
      </c>
      <c r="AA304" s="53" t="n">
        <v>0</v>
      </c>
      <c r="AB304" s="53" t="inlineStr">
        <is>
          <t>TRUE</t>
        </is>
      </c>
      <c r="AC304" s="53" t="inlineStr">
        <is>
          <t>TRUE</t>
        </is>
      </c>
    </row>
    <row r="305">
      <c r="A305" s="53" t="inlineStr">
        <is>
          <t>2026-06-17</t>
        </is>
      </c>
      <c r="B305" s="53" t="inlineStr">
        <is>
          <t>1138684</t>
        </is>
      </c>
      <c r="C305" s="53" t="inlineStr">
        <is>
          <t>MDG Office at Rucker</t>
        </is>
      </c>
      <c r="D305" s="53" t="inlineStr">
        <is>
          <t>UN</t>
        </is>
      </c>
      <c r="E305" s="53" t="inlineStr">
        <is>
          <t>(Unassigned)</t>
        </is>
      </c>
      <c r="F305" s="53" t="inlineStr">
        <is>
          <t>MDG New Office</t>
        </is>
      </c>
      <c r="G305" s="53" t="inlineStr">
        <is>
          <t>ACTIVE</t>
        </is>
      </c>
      <c r="H305" s="53" t="n">
        <v>731215.63</v>
      </c>
      <c r="I305" s="53" t="n">
        <v>216183</v>
      </c>
      <c r="J305" s="53" t="n">
        <v>664658.63</v>
      </c>
      <c r="K305" s="53" t="n">
        <v>664658.63</v>
      </c>
      <c r="L305" s="53" t="n">
        <v>600</v>
      </c>
      <c r="M305" s="53" t="n">
        <v>888658.79</v>
      </c>
      <c r="N305" s="53" t="n">
        <v>1481.098</v>
      </c>
      <c r="O305" s="53" t="n">
        <v>1083002007.16</v>
      </c>
      <c r="P305" s="53" t="n">
        <v>1082337348.53</v>
      </c>
      <c r="Q305" s="53" t="n">
        <v>66557</v>
      </c>
      <c r="R305" s="53" t="n">
        <v>0</v>
      </c>
      <c r="S305" s="53" t="n">
        <v>1082337348.53</v>
      </c>
      <c r="T305" s="53" t="n">
        <v>-224000.16</v>
      </c>
      <c r="U305" s="53" t="n">
        <v>-0.337</v>
      </c>
      <c r="V305" s="53" t="n">
        <v>99.92</v>
      </c>
      <c r="W305" s="53" t="n">
        <v>0.0001</v>
      </c>
      <c r="X305" s="53" t="n">
        <v>0.9992</v>
      </c>
      <c r="Y305" s="53" t="n">
        <v>-0.999</v>
      </c>
      <c r="Z305" s="53" t="n">
        <v>0</v>
      </c>
      <c r="AA305" s="53" t="n">
        <v>0</v>
      </c>
      <c r="AB305" s="53" t="inlineStr">
        <is>
          <t>TRUE</t>
        </is>
      </c>
      <c r="AC305" s="53" t="inlineStr">
        <is>
          <t>FALSE</t>
        </is>
      </c>
    </row>
    <row r="306">
      <c r="A306" s="53" t="inlineStr">
        <is>
          <t>2026-06-17</t>
        </is>
      </c>
      <c r="B306" s="53" t="inlineStr">
        <is>
          <t>1138659</t>
        </is>
      </c>
      <c r="C306" s="53" t="inlineStr">
        <is>
          <t>2022.625 Walmart 7611</t>
        </is>
      </c>
      <c r="D306" s="53" t="inlineStr">
        <is>
          <t>TI</t>
        </is>
      </c>
      <c r="E306" s="53" t="inlineStr">
        <is>
          <t>Cole Garriott</t>
        </is>
      </c>
      <c r="F306" s="53" t="inlineStr">
        <is>
          <t>Massa Multimedia Architecture (MMA)</t>
        </is>
      </c>
      <c r="G306" s="53" t="inlineStr">
        <is>
          <t>ACTIVE</t>
        </is>
      </c>
      <c r="H306" s="53" t="n">
        <v>983441</v>
      </c>
      <c r="I306" s="53" t="n">
        <v>306770</v>
      </c>
      <c r="J306" s="53" t="n">
        <v>982141</v>
      </c>
      <c r="K306" s="53" t="n">
        <v>982141</v>
      </c>
      <c r="L306" s="53" t="n">
        <v>717571.28</v>
      </c>
      <c r="M306" s="53" t="n">
        <v>717571.28</v>
      </c>
      <c r="N306" s="53" t="n">
        <v>1</v>
      </c>
      <c r="O306" s="53" t="n">
        <v>983441</v>
      </c>
      <c r="P306" s="53" t="n">
        <v>1300</v>
      </c>
      <c r="Q306" s="53" t="n">
        <v>1300</v>
      </c>
      <c r="R306" s="53" t="n">
        <v>0</v>
      </c>
      <c r="S306" s="53" t="n">
        <v>1300</v>
      </c>
      <c r="T306" s="53" t="n">
        <v>264569.72</v>
      </c>
      <c r="U306" s="53" t="n">
        <v>0.2694</v>
      </c>
      <c r="V306" s="53" t="n">
        <v>27.03</v>
      </c>
      <c r="W306" s="53" t="n">
        <v>0</v>
      </c>
      <c r="X306" s="53" t="n">
        <v>0.2703</v>
      </c>
      <c r="Y306" s="53" t="n">
        <v>-0.2703</v>
      </c>
      <c r="Z306" s="53" t="n">
        <v>0</v>
      </c>
      <c r="AA306" s="53" t="n">
        <v>0</v>
      </c>
      <c r="AB306" s="53" t="inlineStr">
        <is>
          <t>TRUE</t>
        </is>
      </c>
      <c r="AC306" s="53" t="inlineStr">
        <is>
          <t>TRUE</t>
        </is>
      </c>
    </row>
    <row r="307">
      <c r="A307" s="53" t="inlineStr">
        <is>
          <t>2026-06-17</t>
        </is>
      </c>
      <c r="B307" s="53" t="inlineStr">
        <is>
          <t>1138651</t>
        </is>
      </c>
      <c r="C307" s="53" t="inlineStr">
        <is>
          <t>2022.617 The Junction Phase II</t>
        </is>
      </c>
      <c r="D307" s="53" t="inlineStr">
        <is>
          <t>TI</t>
        </is>
      </c>
      <c r="E307" s="53" t="inlineStr">
        <is>
          <t>Ted Wells</t>
        </is>
      </c>
      <c r="F307" s="53" t="inlineStr">
        <is>
          <t>EquiTeam LLC</t>
        </is>
      </c>
      <c r="G307" s="53" t="inlineStr">
        <is>
          <t>ACTIVE</t>
        </is>
      </c>
      <c r="H307" s="53" t="n">
        <v>304058.89</v>
      </c>
      <c r="I307" s="53" t="n">
        <v>46226.67</v>
      </c>
      <c r="J307" s="53" t="n">
        <v>304058.89</v>
      </c>
      <c r="K307" s="53" t="n">
        <v>304058.89</v>
      </c>
      <c r="L307" s="53" t="n">
        <v>185366</v>
      </c>
      <c r="M307" s="53" t="n">
        <v>185366.13</v>
      </c>
      <c r="N307" s="53" t="n">
        <v>1</v>
      </c>
      <c r="O307" s="53" t="n">
        <v>304058.89</v>
      </c>
      <c r="P307" s="53" t="n">
        <v>0</v>
      </c>
      <c r="Q307" s="53" t="n">
        <v>0</v>
      </c>
      <c r="R307" s="53" t="n">
        <v>0</v>
      </c>
      <c r="S307" s="53" t="n">
        <v>0</v>
      </c>
      <c r="T307" s="53" t="n">
        <v>118692.76</v>
      </c>
      <c r="U307" s="53" t="n">
        <v>0.3904</v>
      </c>
      <c r="V307" s="53" t="n">
        <v>39.04</v>
      </c>
      <c r="W307" s="53" t="n">
        <v>0.0001</v>
      </c>
      <c r="X307" s="53" t="n">
        <v>0.3904</v>
      </c>
      <c r="Y307" s="53" t="n">
        <v>-0.3902</v>
      </c>
      <c r="Z307" s="53" t="n">
        <v>0</v>
      </c>
      <c r="AA307" s="53" t="n">
        <v>0</v>
      </c>
      <c r="AB307" s="53" t="inlineStr">
        <is>
          <t>TRUE</t>
        </is>
      </c>
      <c r="AC307" s="53" t="inlineStr">
        <is>
          <t>TRUE</t>
        </is>
      </c>
    </row>
    <row r="308">
      <c r="A308" s="53" t="inlineStr">
        <is>
          <t>2026-06-17</t>
        </is>
      </c>
      <c r="B308" s="53" t="inlineStr">
        <is>
          <t>1138649</t>
        </is>
      </c>
      <c r="C308" s="53" t="inlineStr">
        <is>
          <t>2022.610 222 E. Ohio St.</t>
        </is>
      </c>
      <c r="D308" s="53" t="inlineStr">
        <is>
          <t>UN</t>
        </is>
      </c>
      <c r="E308" s="53" t="inlineStr">
        <is>
          <t>Ted Wells</t>
        </is>
      </c>
      <c r="F308" s="53" t="inlineStr">
        <is>
          <t>Midwest Design Group - Misc</t>
        </is>
      </c>
      <c r="G308" s="53" t="inlineStr">
        <is>
          <t>ACTIVE</t>
        </is>
      </c>
      <c r="H308" s="53" t="n">
        <v>1</v>
      </c>
      <c r="I308" s="53" t="n">
        <v>0</v>
      </c>
      <c r="J308" s="53" t="n">
        <v>0</v>
      </c>
      <c r="K308" s="53" t="n">
        <v>0</v>
      </c>
      <c r="L308" s="53" t="n">
        <v>180</v>
      </c>
      <c r="M308" s="53" t="n">
        <v>79341.07000000001</v>
      </c>
      <c r="N308" s="53" t="n">
        <v>440.7837</v>
      </c>
      <c r="O308" s="53" t="n">
        <v>440.78</v>
      </c>
      <c r="P308" s="53" t="n">
        <v>440.78</v>
      </c>
      <c r="Q308" s="53" t="n">
        <v>1</v>
      </c>
      <c r="R308" s="53" t="n">
        <v>0</v>
      </c>
      <c r="S308" s="53" t="n">
        <v>440.78</v>
      </c>
      <c r="T308" s="53" t="n">
        <v>-79341.07000000001</v>
      </c>
      <c r="U308" s="53" t="n">
        <v>0</v>
      </c>
      <c r="V308" s="53" t="n">
        <v>-100</v>
      </c>
      <c r="W308" s="53" t="n">
        <v>-100</v>
      </c>
      <c r="X308" s="53" t="n">
        <v>-179</v>
      </c>
      <c r="Y308" s="53" t="n">
        <v>79</v>
      </c>
      <c r="Z308" s="53" t="n">
        <v>0</v>
      </c>
      <c r="AA308" s="53" t="n">
        <v>0</v>
      </c>
      <c r="AB308" s="53" t="inlineStr">
        <is>
          <t>TRUE</t>
        </is>
      </c>
      <c r="AC308" s="53" t="inlineStr">
        <is>
          <t>FALSE</t>
        </is>
      </c>
    </row>
    <row r="309">
      <c r="A309" s="53" t="inlineStr">
        <is>
          <t>2026-06-17</t>
        </is>
      </c>
      <c r="B309" s="53" t="inlineStr">
        <is>
          <t>1138478</t>
        </is>
      </c>
      <c r="C309" s="53" t="inlineStr">
        <is>
          <t>2022.639 Radial TI - Avon Building 2</t>
        </is>
      </c>
      <c r="D309" s="53" t="inlineStr">
        <is>
          <t>TI</t>
        </is>
      </c>
      <c r="E309" s="53" t="inlineStr">
        <is>
          <t>Tommy Cohoat</t>
        </is>
      </c>
      <c r="F309" s="53" t="inlineStr">
        <is>
          <t>The Peterson Company, LLC</t>
        </is>
      </c>
      <c r="G309" s="53" t="inlineStr">
        <is>
          <t>ACTIVE</t>
        </is>
      </c>
      <c r="H309" s="53" t="n">
        <v>758779</v>
      </c>
      <c r="I309" s="53" t="n">
        <v>2028</v>
      </c>
      <c r="J309" s="53" t="n">
        <v>758779</v>
      </c>
      <c r="K309" s="53" t="n">
        <v>758779</v>
      </c>
      <c r="L309" s="53" t="n">
        <v>440538.37</v>
      </c>
      <c r="M309" s="53" t="n">
        <v>514221.33</v>
      </c>
      <c r="N309" s="53" t="n">
        <v>1.1673</v>
      </c>
      <c r="O309" s="53" t="n">
        <v>885722.73</v>
      </c>
      <c r="P309" s="53" t="n">
        <v>126943.73</v>
      </c>
      <c r="Q309" s="53" t="n">
        <v>0</v>
      </c>
      <c r="R309" s="53" t="n">
        <v>0</v>
      </c>
      <c r="S309" s="53" t="n">
        <v>126943.73</v>
      </c>
      <c r="T309" s="53" t="n">
        <v>244557.67</v>
      </c>
      <c r="U309" s="53" t="n">
        <v>0.3223</v>
      </c>
      <c r="V309" s="53" t="n">
        <v>41.94</v>
      </c>
      <c r="W309" s="53" t="n">
        <v>0.0001</v>
      </c>
      <c r="X309" s="53" t="n">
        <v>0.4194</v>
      </c>
      <c r="Y309" s="53" t="n">
        <v>-0.4194</v>
      </c>
      <c r="Z309" s="53" t="n">
        <v>0</v>
      </c>
      <c r="AA309" s="53" t="n">
        <v>0</v>
      </c>
      <c r="AB309" s="53" t="inlineStr">
        <is>
          <t>TRUE</t>
        </is>
      </c>
      <c r="AC309" s="53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9AA3B2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2" customWidth="1" min="6" max="6"/>
    <col width="17" customWidth="1" min="7" max="7"/>
    <col width="15" customWidth="1" min="8" max="8"/>
  </cols>
  <sheetData>
    <row r="1">
      <c r="A1" s="40" t="inlineStr">
        <is>
          <t>MonthEnd</t>
        </is>
      </c>
      <c r="B1" s="40" t="inlineStr">
        <is>
          <t>Revenue</t>
        </is>
      </c>
      <c r="C1" s="40" t="inlineStr">
        <is>
          <t>COGS</t>
        </is>
      </c>
      <c r="D1" s="40" t="inlineStr">
        <is>
          <t>GrossProfit</t>
        </is>
      </c>
      <c r="E1" s="40" t="inlineStr">
        <is>
          <t>OpEx</t>
        </is>
      </c>
      <c r="F1" s="40" t="inlineStr">
        <is>
          <t>NetIncome</t>
        </is>
      </c>
      <c r="G1" s="40" t="inlineStr">
        <is>
          <t>GrossMarginPct</t>
        </is>
      </c>
      <c r="H1" s="40" t="inlineStr">
        <is>
          <t>NetMarginPct</t>
        </is>
      </c>
    </row>
    <row r="2">
      <c r="A2" s="53" t="inlineStr">
        <is>
          <t>2025-01-31</t>
        </is>
      </c>
      <c r="B2" s="53" t="n">
        <v>2041295.53</v>
      </c>
      <c r="C2" s="53" t="n">
        <v>1705779.19</v>
      </c>
      <c r="D2" s="53" t="n">
        <v>335516.34</v>
      </c>
      <c r="E2" s="53" t="n">
        <v>917633.4300000001</v>
      </c>
      <c r="F2" s="53" t="n">
        <v>-582117</v>
      </c>
      <c r="G2" s="53" t="n">
        <v>0.1644</v>
      </c>
      <c r="H2" s="53" t="n">
        <v>-0.2852</v>
      </c>
    </row>
    <row r="3">
      <c r="A3" s="53" t="inlineStr">
        <is>
          <t>2025-04-30</t>
        </is>
      </c>
      <c r="B3" s="53" t="n">
        <v>2424157.48</v>
      </c>
      <c r="C3" s="53" t="n">
        <v>1668995.34</v>
      </c>
      <c r="D3" s="53" t="n">
        <v>755162.14</v>
      </c>
      <c r="E3" s="53" t="n">
        <v>836162.72</v>
      </c>
      <c r="F3" s="53" t="n">
        <v>-69968.27</v>
      </c>
      <c r="G3" s="53" t="n">
        <v>0.3115</v>
      </c>
      <c r="H3" s="53" t="n">
        <v>-0.0289</v>
      </c>
    </row>
    <row r="4">
      <c r="A4" s="53" t="inlineStr">
        <is>
          <t>2026-01-31</t>
        </is>
      </c>
      <c r="B4" s="53" t="n">
        <v>4471974.17</v>
      </c>
      <c r="C4" s="53" t="n">
        <v>3167525.69</v>
      </c>
      <c r="D4" s="53" t="n">
        <v>1304448.48</v>
      </c>
      <c r="E4" s="53" t="n">
        <v>937191.25</v>
      </c>
      <c r="F4" s="53" t="n">
        <v>186406.72</v>
      </c>
      <c r="G4" s="53" t="n">
        <v>0.2917</v>
      </c>
      <c r="H4" s="53" t="n">
        <v>0.0417</v>
      </c>
    </row>
    <row r="5">
      <c r="A5" s="53" t="inlineStr">
        <is>
          <t>2026-02-28</t>
        </is>
      </c>
      <c r="B5" s="53" t="n">
        <v>4949310.29</v>
      </c>
      <c r="C5" s="53" t="n">
        <v>3687884.25</v>
      </c>
      <c r="D5" s="53" t="n">
        <v>1261426.04</v>
      </c>
      <c r="E5" s="53" t="n">
        <v>794070.1800000001</v>
      </c>
      <c r="F5" s="53" t="n">
        <v>467881.55</v>
      </c>
      <c r="G5" s="53" t="n">
        <v>0.2549</v>
      </c>
      <c r="H5" s="53" t="n">
        <v>0.0945</v>
      </c>
    </row>
    <row r="6">
      <c r="A6" s="53" t="inlineStr">
        <is>
          <t>2026-03-31</t>
        </is>
      </c>
      <c r="B6" s="53" t="n">
        <v>5290349.77</v>
      </c>
      <c r="C6" s="53" t="n">
        <v>3616852.68</v>
      </c>
      <c r="D6" s="53" t="n">
        <v>1673497.09</v>
      </c>
      <c r="E6" s="53" t="n">
        <v>897079.72</v>
      </c>
      <c r="F6" s="53" t="n">
        <v>790908.5600000001</v>
      </c>
      <c r="G6" s="53" t="n">
        <v>0.3163</v>
      </c>
      <c r="H6" s="53" t="n">
        <v>0.1495</v>
      </c>
    </row>
    <row r="7">
      <c r="A7" s="53" t="inlineStr">
        <is>
          <t>2026-04-30</t>
        </is>
      </c>
      <c r="B7" s="53" t="n">
        <v>4593904.49</v>
      </c>
      <c r="C7" s="53" t="n">
        <v>3242912.67</v>
      </c>
      <c r="D7" s="53" t="n">
        <v>1350991.82</v>
      </c>
      <c r="E7" s="53" t="n">
        <v>713341.59</v>
      </c>
      <c r="F7" s="53" t="n">
        <v>677429.8100000001</v>
      </c>
      <c r="G7" s="53" t="n">
        <v>0.2941</v>
      </c>
      <c r="H7" s="53" t="n">
        <v>0.1475</v>
      </c>
    </row>
    <row r="8">
      <c r="A8" s="53" t="inlineStr">
        <is>
          <t>2026-05-31</t>
        </is>
      </c>
      <c r="B8" s="53" t="n">
        <v>5042110.58</v>
      </c>
      <c r="C8" s="53" t="n">
        <v>3317835.45</v>
      </c>
      <c r="D8" s="53" t="n">
        <v>1724275.13</v>
      </c>
      <c r="E8" s="53" t="n">
        <v>518231.9</v>
      </c>
      <c r="F8" s="53" t="n">
        <v>1206135.01</v>
      </c>
      <c r="G8" s="53" t="n">
        <v>0.342</v>
      </c>
      <c r="H8" s="53" t="n">
        <v>0.2392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AA3B2"/>
    <outlinePr summaryBelow="1" summaryRight="1"/>
    <pageSetUpPr/>
  </sheetPr>
  <dimension ref="A1:E1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</cols>
  <sheetData>
    <row r="1">
      <c r="A1" s="40" t="inlineStr">
        <is>
          <t>Customer</t>
        </is>
      </c>
      <c r="B1" s="40" t="inlineStr">
        <is>
          <t>Bucket</t>
        </is>
      </c>
      <c r="C1" s="40" t="inlineStr">
        <is>
          <t>Amount</t>
        </is>
      </c>
      <c r="D1" s="40" t="inlineStr">
        <is>
          <t>IsRetainage</t>
        </is>
      </c>
      <c r="E1" s="40" t="inlineStr">
        <is>
          <t>AsOfDate</t>
        </is>
      </c>
    </row>
    <row r="2">
      <c r="A2" s="53" t="inlineStr">
        <is>
          <t>ACS-Affiliated Construction Services, Inc.</t>
        </is>
      </c>
      <c r="B2" s="53" t="inlineStr">
        <is>
          <t>Current</t>
        </is>
      </c>
      <c r="C2" s="53" t="n">
        <v>45416.23</v>
      </c>
      <c r="D2" s="53" t="inlineStr">
        <is>
          <t>FALSE</t>
        </is>
      </c>
      <c r="E2" s="53" t="inlineStr">
        <is>
          <t>2026-06-17</t>
        </is>
      </c>
    </row>
    <row r="3">
      <c r="A3" s="53" t="inlineStr">
        <is>
          <t>ACS-Affiliated Construction Services, Inc.</t>
        </is>
      </c>
      <c r="B3" s="53" t="inlineStr">
        <is>
          <t>1-30</t>
        </is>
      </c>
      <c r="C3" s="53" t="n">
        <v>36620.15</v>
      </c>
      <c r="D3" s="53" t="inlineStr">
        <is>
          <t>FALSE</t>
        </is>
      </c>
      <c r="E3" s="53" t="inlineStr">
        <is>
          <t>2026-06-17</t>
        </is>
      </c>
    </row>
    <row r="4">
      <c r="A4" s="53" t="inlineStr">
        <is>
          <t>ACS-Affiliated Construction Services, Inc.</t>
        </is>
      </c>
      <c r="B4" s="53" t="inlineStr">
        <is>
          <t>31-60</t>
        </is>
      </c>
      <c r="C4" s="53" t="n">
        <v>72880.67</v>
      </c>
      <c r="D4" s="53" t="inlineStr">
        <is>
          <t>FALSE</t>
        </is>
      </c>
      <c r="E4" s="53" t="inlineStr">
        <is>
          <t>2026-06-17</t>
        </is>
      </c>
    </row>
    <row r="5">
      <c r="A5" s="53" t="inlineStr">
        <is>
          <t>ACS-Affiliated Construction Services, Inc.</t>
        </is>
      </c>
      <c r="B5" s="53" t="inlineStr">
        <is>
          <t>91+</t>
        </is>
      </c>
      <c r="C5" s="53" t="n">
        <v>144737.82</v>
      </c>
      <c r="D5" s="53" t="inlineStr">
        <is>
          <t>FALSE</t>
        </is>
      </c>
      <c r="E5" s="53" t="inlineStr">
        <is>
          <t>2026-06-17</t>
        </is>
      </c>
    </row>
    <row r="6">
      <c r="A6" s="53" t="inlineStr">
        <is>
          <t>Arbor Homes</t>
        </is>
      </c>
      <c r="B6" s="53" t="inlineStr">
        <is>
          <t>Current</t>
        </is>
      </c>
      <c r="C6" s="53" t="n">
        <v>112439.58</v>
      </c>
      <c r="D6" s="53" t="inlineStr">
        <is>
          <t>FALSE</t>
        </is>
      </c>
      <c r="E6" s="53" t="inlineStr">
        <is>
          <t>2026-06-17</t>
        </is>
      </c>
    </row>
    <row r="7">
      <c r="A7" s="53" t="inlineStr">
        <is>
          <t>Arbor Homes</t>
        </is>
      </c>
      <c r="B7" s="53" t="inlineStr">
        <is>
          <t>61-90</t>
        </is>
      </c>
      <c r="C7" s="53" t="n">
        <v>20386.58</v>
      </c>
      <c r="D7" s="53" t="inlineStr">
        <is>
          <t>FALSE</t>
        </is>
      </c>
      <c r="E7" s="53" t="inlineStr">
        <is>
          <t>2026-06-17</t>
        </is>
      </c>
    </row>
    <row r="8">
      <c r="A8" s="53" t="inlineStr">
        <is>
          <t>Arbor Homes</t>
        </is>
      </c>
      <c r="B8" s="53" t="inlineStr">
        <is>
          <t>91+</t>
        </is>
      </c>
      <c r="C8" s="53" t="n">
        <v>-12094.76</v>
      </c>
      <c r="D8" s="53" t="inlineStr">
        <is>
          <t>FALSE</t>
        </is>
      </c>
      <c r="E8" s="53" t="inlineStr">
        <is>
          <t>2026-06-17</t>
        </is>
      </c>
    </row>
    <row r="9">
      <c r="A9" s="53" t="inlineStr">
        <is>
          <t>ARCO Design/Build</t>
        </is>
      </c>
      <c r="B9" s="53" t="inlineStr">
        <is>
          <t>Current</t>
        </is>
      </c>
      <c r="C9" s="53" t="n">
        <v>385369.33</v>
      </c>
      <c r="D9" s="53" t="inlineStr">
        <is>
          <t>FALSE</t>
        </is>
      </c>
      <c r="E9" s="53" t="inlineStr">
        <is>
          <t>2026-06-17</t>
        </is>
      </c>
    </row>
    <row r="10">
      <c r="A10" s="53" t="inlineStr">
        <is>
          <t>ARCO Design/Build</t>
        </is>
      </c>
      <c r="B10" s="53" t="inlineStr">
        <is>
          <t>1-30</t>
        </is>
      </c>
      <c r="C10" s="53" t="n">
        <v>26117.77</v>
      </c>
      <c r="D10" s="53" t="inlineStr">
        <is>
          <t>FALSE</t>
        </is>
      </c>
      <c r="E10" s="53" t="inlineStr">
        <is>
          <t>2026-06-17</t>
        </is>
      </c>
    </row>
    <row r="11">
      <c r="A11" s="53" t="inlineStr">
        <is>
          <t>ARCO Design/Build</t>
        </is>
      </c>
      <c r="B11" s="53" t="inlineStr">
        <is>
          <t>31-60</t>
        </is>
      </c>
      <c r="C11" s="53" t="n">
        <v>73818</v>
      </c>
      <c r="D11" s="53" t="inlineStr">
        <is>
          <t>FALSE</t>
        </is>
      </c>
      <c r="E11" s="53" t="inlineStr">
        <is>
          <t>2026-06-17</t>
        </is>
      </c>
    </row>
    <row r="12">
      <c r="A12" s="53" t="inlineStr">
        <is>
          <t>ARCO Design/Build</t>
        </is>
      </c>
      <c r="B12" s="53" t="inlineStr">
        <is>
          <t>91+</t>
        </is>
      </c>
      <c r="C12" s="53" t="n">
        <v>22752</v>
      </c>
      <c r="D12" s="53" t="inlineStr">
        <is>
          <t>FALSE</t>
        </is>
      </c>
      <c r="E12" s="53" t="inlineStr">
        <is>
          <t>2026-06-17</t>
        </is>
      </c>
    </row>
    <row r="13">
      <c r="A13" s="53" t="inlineStr">
        <is>
          <t>Avenue Construction, Inc.</t>
        </is>
      </c>
      <c r="B13" s="53" t="inlineStr">
        <is>
          <t>Current</t>
        </is>
      </c>
      <c r="C13" s="53" t="n">
        <v>387512.38</v>
      </c>
      <c r="D13" s="53" t="inlineStr">
        <is>
          <t>FALSE</t>
        </is>
      </c>
      <c r="E13" s="53" t="inlineStr">
        <is>
          <t>2026-06-17</t>
        </is>
      </c>
    </row>
    <row r="14">
      <c r="A14" s="53" t="inlineStr">
        <is>
          <t>Avenue Construction, Inc.</t>
        </is>
      </c>
      <c r="B14" s="53" t="inlineStr">
        <is>
          <t>31-60</t>
        </is>
      </c>
      <c r="C14" s="53" t="n">
        <v>66047.2</v>
      </c>
      <c r="D14" s="53" t="inlineStr">
        <is>
          <t>FALSE</t>
        </is>
      </c>
      <c r="E14" s="53" t="inlineStr">
        <is>
          <t>2026-06-17</t>
        </is>
      </c>
    </row>
    <row r="15">
      <c r="A15" s="53" t="inlineStr">
        <is>
          <t>Becknell Industries</t>
        </is>
      </c>
      <c r="B15" s="53" t="inlineStr">
        <is>
          <t>Current</t>
        </is>
      </c>
      <c r="C15" s="53" t="n">
        <v>13100</v>
      </c>
      <c r="D15" s="53" t="inlineStr">
        <is>
          <t>FALSE</t>
        </is>
      </c>
      <c r="E15" s="53" t="inlineStr">
        <is>
          <t>2026-06-17</t>
        </is>
      </c>
    </row>
    <row r="16">
      <c r="A16" s="53" t="inlineStr">
        <is>
          <t>Becknell Industries</t>
        </is>
      </c>
      <c r="B16" s="53" t="inlineStr">
        <is>
          <t>91+</t>
        </is>
      </c>
      <c r="C16" s="53" t="n">
        <v>2500</v>
      </c>
      <c r="D16" s="53" t="inlineStr">
        <is>
          <t>FALSE</t>
        </is>
      </c>
      <c r="E16" s="53" t="inlineStr">
        <is>
          <t>2026-06-17</t>
        </is>
      </c>
    </row>
    <row r="17">
      <c r="A17" s="53" t="inlineStr">
        <is>
          <t>Big Dawg Drywall</t>
        </is>
      </c>
      <c r="B17" s="53" t="inlineStr">
        <is>
          <t>1-30</t>
        </is>
      </c>
      <c r="C17" s="53" t="n">
        <v>5928.42</v>
      </c>
      <c r="D17" s="53" t="inlineStr">
        <is>
          <t>FALSE</t>
        </is>
      </c>
      <c r="E17" s="53" t="inlineStr">
        <is>
          <t>2026-06-17</t>
        </is>
      </c>
    </row>
    <row r="18">
      <c r="A18" s="53" t="inlineStr">
        <is>
          <t>Big Dawg Drywall</t>
        </is>
      </c>
      <c r="B18" s="53" t="inlineStr">
        <is>
          <t>91+</t>
        </is>
      </c>
      <c r="C18" s="53" t="n">
        <v>7365.93</v>
      </c>
      <c r="D18" s="53" t="inlineStr">
        <is>
          <t>FALSE</t>
        </is>
      </c>
      <c r="E18" s="53" t="inlineStr">
        <is>
          <t>2026-06-17</t>
        </is>
      </c>
    </row>
    <row r="19">
      <c r="A19" s="53" t="inlineStr">
        <is>
          <t>Bischoff Construction, LLC</t>
        </is>
      </c>
      <c r="B19" s="53" t="inlineStr">
        <is>
          <t>Current</t>
        </is>
      </c>
      <c r="C19" s="53" t="n">
        <v>4020</v>
      </c>
      <c r="D19" s="53" t="inlineStr">
        <is>
          <t>FALSE</t>
        </is>
      </c>
      <c r="E19" s="53" t="inlineStr">
        <is>
          <t>2026-06-17</t>
        </is>
      </c>
    </row>
    <row r="20">
      <c r="A20" s="53" t="inlineStr">
        <is>
          <t>BW Facility Management, LLC</t>
        </is>
      </c>
      <c r="B20" s="53" t="inlineStr">
        <is>
          <t>Current</t>
        </is>
      </c>
      <c r="C20" s="53" t="n">
        <v>34444.01</v>
      </c>
      <c r="D20" s="53" t="inlineStr">
        <is>
          <t>FALSE</t>
        </is>
      </c>
      <c r="E20" s="53" t="inlineStr">
        <is>
          <t>2026-06-17</t>
        </is>
      </c>
    </row>
    <row r="21">
      <c r="A21" s="53" t="inlineStr">
        <is>
          <t>Cargo Loop, LLC</t>
        </is>
      </c>
      <c r="B21" s="53" t="inlineStr">
        <is>
          <t>Current</t>
        </is>
      </c>
      <c r="C21" s="53" t="n">
        <v>10417</v>
      </c>
      <c r="D21" s="53" t="inlineStr">
        <is>
          <t>FALSE</t>
        </is>
      </c>
      <c r="E21" s="53" t="inlineStr">
        <is>
          <t>2026-06-17</t>
        </is>
      </c>
    </row>
    <row r="22">
      <c r="A22" s="53" t="inlineStr">
        <is>
          <t>Centric Projects, LLC</t>
        </is>
      </c>
      <c r="B22" s="53" t="inlineStr">
        <is>
          <t>Current</t>
        </is>
      </c>
      <c r="C22" s="53" t="n">
        <v>174505.69</v>
      </c>
      <c r="D22" s="53" t="inlineStr">
        <is>
          <t>FALSE</t>
        </is>
      </c>
      <c r="E22" s="53" t="inlineStr">
        <is>
          <t>2026-06-17</t>
        </is>
      </c>
    </row>
    <row r="23">
      <c r="A23" s="53" t="inlineStr">
        <is>
          <t>Centric Projects, LLC</t>
        </is>
      </c>
      <c r="B23" s="53" t="inlineStr">
        <is>
          <t>1-30</t>
        </is>
      </c>
      <c r="C23" s="53" t="n">
        <v>77705.72</v>
      </c>
      <c r="D23" s="53" t="inlineStr">
        <is>
          <t>FALSE</t>
        </is>
      </c>
      <c r="E23" s="53" t="inlineStr">
        <is>
          <t>2026-06-17</t>
        </is>
      </c>
    </row>
    <row r="24">
      <c r="A24" s="53" t="inlineStr">
        <is>
          <t>Clark Construction</t>
        </is>
      </c>
      <c r="B24" s="53" t="inlineStr">
        <is>
          <t>Current</t>
        </is>
      </c>
      <c r="C24" s="53" t="n">
        <v>889172</v>
      </c>
      <c r="D24" s="53" t="inlineStr">
        <is>
          <t>FALSE</t>
        </is>
      </c>
      <c r="E24" s="53" t="inlineStr">
        <is>
          <t>2026-06-17</t>
        </is>
      </c>
    </row>
    <row r="25">
      <c r="A25" s="53" t="inlineStr">
        <is>
          <t>Clark Construction</t>
        </is>
      </c>
      <c r="B25" s="53" t="inlineStr">
        <is>
          <t>1-30</t>
        </is>
      </c>
      <c r="C25" s="53" t="n">
        <v>129947</v>
      </c>
      <c r="D25" s="53" t="inlineStr">
        <is>
          <t>FALSE</t>
        </is>
      </c>
      <c r="E25" s="53" t="inlineStr">
        <is>
          <t>2026-06-17</t>
        </is>
      </c>
    </row>
    <row r="26">
      <c r="A26" s="53" t="inlineStr">
        <is>
          <t>Community Drywall</t>
        </is>
      </c>
      <c r="B26" s="53" t="inlineStr">
        <is>
          <t>91+</t>
        </is>
      </c>
      <c r="C26" s="53" t="n">
        <v>13844.41</v>
      </c>
      <c r="D26" s="53" t="inlineStr">
        <is>
          <t>FALSE</t>
        </is>
      </c>
      <c r="E26" s="53" t="inlineStr">
        <is>
          <t>2026-06-17</t>
        </is>
      </c>
    </row>
    <row r="27">
      <c r="A27" s="53" t="inlineStr">
        <is>
          <t>Compass Commercial Construction Group</t>
        </is>
      </c>
      <c r="B27" s="53" t="inlineStr">
        <is>
          <t>Current</t>
        </is>
      </c>
      <c r="C27" s="53" t="n">
        <v>352621.67</v>
      </c>
      <c r="D27" s="53" t="inlineStr">
        <is>
          <t>FALSE</t>
        </is>
      </c>
      <c r="E27" s="53" t="inlineStr">
        <is>
          <t>2026-06-17</t>
        </is>
      </c>
    </row>
    <row r="28">
      <c r="A28" s="53" t="inlineStr">
        <is>
          <t>Compass Commercial Construction Group</t>
        </is>
      </c>
      <c r="B28" s="53" t="inlineStr">
        <is>
          <t>31-60</t>
        </is>
      </c>
      <c r="C28" s="53" t="n">
        <v>68841.53999999999</v>
      </c>
      <c r="D28" s="53" t="inlineStr">
        <is>
          <t>FALSE</t>
        </is>
      </c>
      <c r="E28" s="53" t="inlineStr">
        <is>
          <t>2026-06-17</t>
        </is>
      </c>
    </row>
    <row r="29">
      <c r="A29" s="53" t="inlineStr">
        <is>
          <t>Convivio Italian Artisan Cuisine (SPIGA Noblesville)</t>
        </is>
      </c>
      <c r="B29" s="53" t="inlineStr">
        <is>
          <t>Current</t>
        </is>
      </c>
      <c r="C29" s="53" t="n">
        <v>2555.2</v>
      </c>
      <c r="D29" s="53" t="inlineStr">
        <is>
          <t>FALSE</t>
        </is>
      </c>
      <c r="E29" s="53" t="inlineStr">
        <is>
          <t>2026-06-17</t>
        </is>
      </c>
    </row>
    <row r="30">
      <c r="A30" s="53" t="inlineStr">
        <is>
          <t>Cornerstone Flooring</t>
        </is>
      </c>
      <c r="B30" s="53" t="inlineStr">
        <is>
          <t>61-90</t>
        </is>
      </c>
      <c r="C30" s="53" t="n">
        <v>7500</v>
      </c>
      <c r="D30" s="53" t="inlineStr">
        <is>
          <t>FALSE</t>
        </is>
      </c>
      <c r="E30" s="53" t="inlineStr">
        <is>
          <t>2026-06-17</t>
        </is>
      </c>
    </row>
    <row r="31">
      <c r="A31" s="53" t="inlineStr">
        <is>
          <t>County Prestress &amp; Precast, LLC</t>
        </is>
      </c>
      <c r="B31" s="53" t="inlineStr">
        <is>
          <t>Current</t>
        </is>
      </c>
      <c r="C31" s="53" t="n">
        <v>30500</v>
      </c>
      <c r="D31" s="53" t="inlineStr">
        <is>
          <t>FALSE</t>
        </is>
      </c>
      <c r="E31" s="53" t="inlineStr">
        <is>
          <t>2026-06-17</t>
        </is>
      </c>
    </row>
    <row r="32">
      <c r="A32" s="53" t="inlineStr">
        <is>
          <t>County Prestress &amp; Precast, LLC</t>
        </is>
      </c>
      <c r="B32" s="53" t="inlineStr">
        <is>
          <t>31-60</t>
        </is>
      </c>
      <c r="C32" s="53" t="n">
        <v>22000</v>
      </c>
      <c r="D32" s="53" t="inlineStr">
        <is>
          <t>FALSE</t>
        </is>
      </c>
      <c r="E32" s="53" t="inlineStr">
        <is>
          <t>2026-06-17</t>
        </is>
      </c>
    </row>
    <row r="33">
      <c r="A33" s="53" t="inlineStr">
        <is>
          <t>Daniel T Swanson</t>
        </is>
      </c>
      <c r="B33" s="53" t="inlineStr">
        <is>
          <t>1-30</t>
        </is>
      </c>
      <c r="C33" s="53" t="n">
        <v>16000</v>
      </c>
      <c r="D33" s="53" t="inlineStr">
        <is>
          <t>FALSE</t>
        </is>
      </c>
      <c r="E33" s="53" t="inlineStr">
        <is>
          <t>2026-06-17</t>
        </is>
      </c>
    </row>
    <row r="34">
      <c r="A34" s="53" t="inlineStr">
        <is>
          <t>DEEM, LLC</t>
        </is>
      </c>
      <c r="B34" s="53" t="inlineStr">
        <is>
          <t>Current</t>
        </is>
      </c>
      <c r="C34" s="53" t="n">
        <v>61895.38</v>
      </c>
      <c r="D34" s="53" t="inlineStr">
        <is>
          <t>FALSE</t>
        </is>
      </c>
      <c r="E34" s="53" t="inlineStr">
        <is>
          <t>2026-06-17</t>
        </is>
      </c>
    </row>
    <row r="35">
      <c r="A35" s="53" t="inlineStr">
        <is>
          <t>DEEM, LLC</t>
        </is>
      </c>
      <c r="B35" s="53" t="inlineStr">
        <is>
          <t>1-30</t>
        </is>
      </c>
      <c r="C35" s="53" t="n">
        <v>2000</v>
      </c>
      <c r="D35" s="53" t="inlineStr">
        <is>
          <t>FALSE</t>
        </is>
      </c>
      <c r="E35" s="53" t="inlineStr">
        <is>
          <t>2026-06-17</t>
        </is>
      </c>
    </row>
    <row r="36">
      <c r="A36" s="53" t="inlineStr">
        <is>
          <t>DEEM, LLC</t>
        </is>
      </c>
      <c r="B36" s="53" t="inlineStr">
        <is>
          <t>31-60</t>
        </is>
      </c>
      <c r="C36" s="53" t="n">
        <v>4225.5</v>
      </c>
      <c r="D36" s="53" t="inlineStr">
        <is>
          <t>FALSE</t>
        </is>
      </c>
      <c r="E36" s="53" t="inlineStr">
        <is>
          <t>2026-06-17</t>
        </is>
      </c>
    </row>
    <row r="37">
      <c r="A37" s="53" t="inlineStr">
        <is>
          <t>DEEM, LLC</t>
        </is>
      </c>
      <c r="B37" s="53" t="inlineStr">
        <is>
          <t>61-90</t>
        </is>
      </c>
      <c r="C37" s="53" t="n">
        <v>28757.01</v>
      </c>
      <c r="D37" s="53" t="inlineStr">
        <is>
          <t>FALSE</t>
        </is>
      </c>
      <c r="E37" s="53" t="inlineStr">
        <is>
          <t>2026-06-17</t>
        </is>
      </c>
    </row>
    <row r="38">
      <c r="A38" s="53" t="inlineStr">
        <is>
          <t>DEEM, LLC</t>
        </is>
      </c>
      <c r="B38" s="53" t="inlineStr">
        <is>
          <t>91+</t>
        </is>
      </c>
      <c r="C38" s="53" t="n">
        <v>5000.03</v>
      </c>
      <c r="D38" s="53" t="inlineStr">
        <is>
          <t>FALSE</t>
        </is>
      </c>
      <c r="E38" s="53" t="inlineStr">
        <is>
          <t>2026-06-17</t>
        </is>
      </c>
    </row>
    <row r="39">
      <c r="A39" s="53" t="inlineStr">
        <is>
          <t>Diaz Gutter and Drywall, LLC</t>
        </is>
      </c>
      <c r="B39" s="53" t="inlineStr">
        <is>
          <t>91+</t>
        </is>
      </c>
      <c r="C39" s="53" t="n">
        <v>2399.42</v>
      </c>
      <c r="D39" s="53" t="inlineStr">
        <is>
          <t>FALSE</t>
        </is>
      </c>
      <c r="E39" s="53" t="inlineStr">
        <is>
          <t>2026-06-17</t>
        </is>
      </c>
    </row>
    <row r="40">
      <c r="A40" s="53" t="inlineStr">
        <is>
          <t>DLR Group</t>
        </is>
      </c>
      <c r="B40" s="53" t="inlineStr">
        <is>
          <t>31-60</t>
        </is>
      </c>
      <c r="C40" s="53" t="n">
        <v>4500</v>
      </c>
      <c r="D40" s="53" t="inlineStr">
        <is>
          <t>FALSE</t>
        </is>
      </c>
      <c r="E40" s="53" t="inlineStr">
        <is>
          <t>2026-06-17</t>
        </is>
      </c>
    </row>
    <row r="41">
      <c r="A41" s="53" t="inlineStr">
        <is>
          <t>Enviro-Max</t>
        </is>
      </c>
      <c r="B41" s="53" t="inlineStr">
        <is>
          <t>61-90</t>
        </is>
      </c>
      <c r="C41" s="53" t="n">
        <v>3500</v>
      </c>
      <c r="D41" s="53" t="inlineStr">
        <is>
          <t>FALSE</t>
        </is>
      </c>
      <c r="E41" s="53" t="inlineStr">
        <is>
          <t>2026-06-17</t>
        </is>
      </c>
    </row>
    <row r="42">
      <c r="A42" s="53" t="inlineStr">
        <is>
          <t>Flores Drywall and Remodeling LLC</t>
        </is>
      </c>
      <c r="B42" s="53" t="inlineStr">
        <is>
          <t>Current</t>
        </is>
      </c>
      <c r="C42" s="53" t="n">
        <v>91048.89999999999</v>
      </c>
      <c r="D42" s="53" t="inlineStr">
        <is>
          <t>FALSE</t>
        </is>
      </c>
      <c r="E42" s="53" t="inlineStr">
        <is>
          <t>2026-06-17</t>
        </is>
      </c>
    </row>
    <row r="43">
      <c r="A43" s="53" t="inlineStr">
        <is>
          <t>Flores Drywall and Remodeling LLC</t>
        </is>
      </c>
      <c r="B43" s="53" t="inlineStr">
        <is>
          <t>1-30</t>
        </is>
      </c>
      <c r="C43" s="53" t="n">
        <v>15112.12</v>
      </c>
      <c r="D43" s="53" t="inlineStr">
        <is>
          <t>FALSE</t>
        </is>
      </c>
      <c r="E43" s="53" t="inlineStr">
        <is>
          <t>2026-06-17</t>
        </is>
      </c>
    </row>
    <row r="44">
      <c r="A44" s="53" t="inlineStr">
        <is>
          <t>Forge Construction, LLC</t>
        </is>
      </c>
      <c r="B44" s="53" t="inlineStr">
        <is>
          <t>Current</t>
        </is>
      </c>
      <c r="C44" s="53" t="n">
        <v>3600</v>
      </c>
      <c r="D44" s="53" t="inlineStr">
        <is>
          <t>FALSE</t>
        </is>
      </c>
      <c r="E44" s="53" t="inlineStr">
        <is>
          <t>2026-06-17</t>
        </is>
      </c>
    </row>
    <row r="45">
      <c r="A45" s="53" t="inlineStr">
        <is>
          <t>Garmong Construction Services</t>
        </is>
      </c>
      <c r="B45" s="53" t="inlineStr">
        <is>
          <t>Current</t>
        </is>
      </c>
      <c r="C45" s="53" t="n">
        <v>141648.31</v>
      </c>
      <c r="D45" s="53" t="inlineStr">
        <is>
          <t>FALSE</t>
        </is>
      </c>
      <c r="E45" s="53" t="inlineStr">
        <is>
          <t>2026-06-17</t>
        </is>
      </c>
    </row>
    <row r="46">
      <c r="A46" s="53" t="inlineStr">
        <is>
          <t>Garmong Construction Services</t>
        </is>
      </c>
      <c r="B46" s="53" t="inlineStr">
        <is>
          <t>1-30</t>
        </is>
      </c>
      <c r="C46" s="53" t="n">
        <v>236453.93</v>
      </c>
      <c r="D46" s="53" t="inlineStr">
        <is>
          <t>FALSE</t>
        </is>
      </c>
      <c r="E46" s="53" t="inlineStr">
        <is>
          <t>2026-06-17</t>
        </is>
      </c>
    </row>
    <row r="47">
      <c r="A47" s="53" t="inlineStr">
        <is>
          <t>GSI - Gregory Scott Inabnit LLC</t>
        </is>
      </c>
      <c r="B47" s="53" t="inlineStr">
        <is>
          <t>91+</t>
        </is>
      </c>
      <c r="C47" s="53" t="n">
        <v>52867.87</v>
      </c>
      <c r="D47" s="53" t="inlineStr">
        <is>
          <t>FALSE</t>
        </is>
      </c>
      <c r="E47" s="53" t="inlineStr">
        <is>
          <t>2026-06-17</t>
        </is>
      </c>
    </row>
    <row r="48">
      <c r="A48" s="53" t="inlineStr">
        <is>
          <t>Holladay Construction Group</t>
        </is>
      </c>
      <c r="B48" s="53" t="inlineStr">
        <is>
          <t>Current</t>
        </is>
      </c>
      <c r="C48" s="53" t="n">
        <v>202650.67</v>
      </c>
      <c r="D48" s="53" t="inlineStr">
        <is>
          <t>FALSE</t>
        </is>
      </c>
      <c r="E48" s="53" t="inlineStr">
        <is>
          <t>2026-06-17</t>
        </is>
      </c>
    </row>
    <row r="49">
      <c r="A49" s="53" t="inlineStr">
        <is>
          <t>Holladay Construction Group</t>
        </is>
      </c>
      <c r="B49" s="53" t="inlineStr">
        <is>
          <t>1-30</t>
        </is>
      </c>
      <c r="C49" s="53" t="n">
        <v>82260</v>
      </c>
      <c r="D49" s="53" t="inlineStr">
        <is>
          <t>FALSE</t>
        </is>
      </c>
      <c r="E49" s="53" t="inlineStr">
        <is>
          <t>2026-06-17</t>
        </is>
      </c>
    </row>
    <row r="50">
      <c r="A50" s="53" t="inlineStr">
        <is>
          <t>Indianapolis Fire Department</t>
        </is>
      </c>
      <c r="B50" s="53" t="inlineStr">
        <is>
          <t>91+</t>
        </is>
      </c>
      <c r="C50" s="53" t="n">
        <v>768.35</v>
      </c>
      <c r="D50" s="53" t="inlineStr">
        <is>
          <t>FALSE</t>
        </is>
      </c>
      <c r="E50" s="53" t="inlineStr">
        <is>
          <t>2026-06-17</t>
        </is>
      </c>
    </row>
    <row r="51">
      <c r="A51" s="53" t="inlineStr">
        <is>
          <t>Indiana Steel Fabricating</t>
        </is>
      </c>
      <c r="B51" s="53" t="inlineStr">
        <is>
          <t>Current</t>
        </is>
      </c>
      <c r="C51" s="53" t="n">
        <v>8000</v>
      </c>
      <c r="D51" s="53" t="inlineStr">
        <is>
          <t>FALSE</t>
        </is>
      </c>
      <c r="E51" s="53" t="inlineStr">
        <is>
          <t>2026-06-17</t>
        </is>
      </c>
    </row>
    <row r="52">
      <c r="A52" s="53" t="inlineStr">
        <is>
          <t>J.C. Hart Company, Inc.</t>
        </is>
      </c>
      <c r="B52" s="53" t="inlineStr">
        <is>
          <t>Current</t>
        </is>
      </c>
      <c r="C52" s="53" t="n">
        <v>96132.92</v>
      </c>
      <c r="D52" s="53" t="inlineStr">
        <is>
          <t>FALSE</t>
        </is>
      </c>
      <c r="E52" s="53" t="inlineStr">
        <is>
          <t>2026-06-17</t>
        </is>
      </c>
    </row>
    <row r="53">
      <c r="A53" s="53" t="inlineStr">
        <is>
          <t>J.C. Hart Company, Inc.</t>
        </is>
      </c>
      <c r="B53" s="53" t="inlineStr">
        <is>
          <t>1-30</t>
        </is>
      </c>
      <c r="C53" s="53" t="n">
        <v>63353.47</v>
      </c>
      <c r="D53" s="53" t="inlineStr">
        <is>
          <t>FALSE</t>
        </is>
      </c>
      <c r="E53" s="53" t="inlineStr">
        <is>
          <t>2026-06-17</t>
        </is>
      </c>
    </row>
    <row r="54">
      <c r="A54" s="53" t="inlineStr">
        <is>
          <t>JRA Architecture, LLC</t>
        </is>
      </c>
      <c r="B54" s="53" t="inlineStr">
        <is>
          <t>1-30</t>
        </is>
      </c>
      <c r="C54" s="53" t="n">
        <v>6000</v>
      </c>
      <c r="D54" s="53" t="inlineStr">
        <is>
          <t>FALSE</t>
        </is>
      </c>
      <c r="E54" s="53" t="inlineStr">
        <is>
          <t>2026-06-17</t>
        </is>
      </c>
    </row>
    <row r="55">
      <c r="A55" s="53" t="inlineStr">
        <is>
          <t>Kjt General Construction</t>
        </is>
      </c>
      <c r="B55" s="53" t="inlineStr">
        <is>
          <t>61-90</t>
        </is>
      </c>
      <c r="C55" s="53" t="n">
        <v>2072.89</v>
      </c>
      <c r="D55" s="53" t="inlineStr">
        <is>
          <t>FALSE</t>
        </is>
      </c>
      <c r="E55" s="53" t="inlineStr">
        <is>
          <t>2026-06-17</t>
        </is>
      </c>
    </row>
    <row r="56">
      <c r="A56" s="53" t="inlineStr">
        <is>
          <t>Kjt General Construction</t>
        </is>
      </c>
      <c r="B56" s="53" t="inlineStr">
        <is>
          <t>91+</t>
        </is>
      </c>
      <c r="C56" s="53" t="n">
        <v>26152.31</v>
      </c>
      <c r="D56" s="53" t="inlineStr">
        <is>
          <t>FALSE</t>
        </is>
      </c>
      <c r="E56" s="53" t="inlineStr">
        <is>
          <t>2026-06-17</t>
        </is>
      </c>
    </row>
    <row r="57">
      <c r="A57" s="53" t="inlineStr">
        <is>
          <t>Lauth Group, Inc.</t>
        </is>
      </c>
      <c r="B57" s="53" t="inlineStr">
        <is>
          <t>91+</t>
        </is>
      </c>
      <c r="C57" s="53" t="n">
        <v>5000</v>
      </c>
      <c r="D57" s="53" t="inlineStr">
        <is>
          <t>FALSE</t>
        </is>
      </c>
      <c r="E57" s="53" t="inlineStr">
        <is>
          <t>2026-06-17</t>
        </is>
      </c>
    </row>
    <row r="58">
      <c r="A58" s="53" t="inlineStr">
        <is>
          <t>Marous Brothers Construction</t>
        </is>
      </c>
      <c r="B58" s="53" t="inlineStr">
        <is>
          <t>Current</t>
        </is>
      </c>
      <c r="C58" s="53" t="n">
        <v>119746.42</v>
      </c>
      <c r="D58" s="53" t="inlineStr">
        <is>
          <t>FALSE</t>
        </is>
      </c>
      <c r="E58" s="53" t="inlineStr">
        <is>
          <t>2026-06-17</t>
        </is>
      </c>
    </row>
    <row r="59">
      <c r="A59" s="53" t="inlineStr">
        <is>
          <t>Marous Brothers Construction</t>
        </is>
      </c>
      <c r="B59" s="53" t="inlineStr">
        <is>
          <t>1-30</t>
        </is>
      </c>
      <c r="C59" s="53" t="n">
        <v>435716.98</v>
      </c>
      <c r="D59" s="53" t="inlineStr">
        <is>
          <t>FALSE</t>
        </is>
      </c>
      <c r="E59" s="53" t="inlineStr">
        <is>
          <t>2026-06-17</t>
        </is>
      </c>
    </row>
    <row r="60">
      <c r="A60" s="53" t="inlineStr">
        <is>
          <t>Marous Brothers Construction</t>
        </is>
      </c>
      <c r="B60" s="53" t="inlineStr">
        <is>
          <t>31-60</t>
        </is>
      </c>
      <c r="C60" s="53" t="n">
        <v>0.01</v>
      </c>
      <c r="D60" s="53" t="inlineStr">
        <is>
          <t>FALSE</t>
        </is>
      </c>
      <c r="E60" s="53" t="inlineStr">
        <is>
          <t>2026-06-17</t>
        </is>
      </c>
    </row>
    <row r="61">
      <c r="A61" s="53" t="inlineStr">
        <is>
          <t>MDG Holdings, LLC</t>
        </is>
      </c>
      <c r="B61" s="53" t="inlineStr">
        <is>
          <t>91+</t>
        </is>
      </c>
      <c r="C61" s="53" t="n">
        <v>4708.82</v>
      </c>
      <c r="D61" s="53" t="inlineStr">
        <is>
          <t>FALSE</t>
        </is>
      </c>
      <c r="E61" s="53" t="inlineStr">
        <is>
          <t>2026-06-17</t>
        </is>
      </c>
    </row>
    <row r="62">
      <c r="A62" s="53" t="inlineStr">
        <is>
          <t>Meyer Najem</t>
        </is>
      </c>
      <c r="B62" s="53" t="inlineStr">
        <is>
          <t>Current</t>
        </is>
      </c>
      <c r="C62" s="53" t="n">
        <v>6267.5</v>
      </c>
      <c r="D62" s="53" t="inlineStr">
        <is>
          <t>FALSE</t>
        </is>
      </c>
      <c r="E62" s="53" t="inlineStr">
        <is>
          <t>2026-06-17</t>
        </is>
      </c>
    </row>
    <row r="63">
      <c r="A63" s="53" t="inlineStr">
        <is>
          <t>Meyer Najem</t>
        </is>
      </c>
      <c r="B63" s="53" t="inlineStr">
        <is>
          <t>61-90</t>
        </is>
      </c>
      <c r="C63" s="53" t="n">
        <v>26925.21</v>
      </c>
      <c r="D63" s="53" t="inlineStr">
        <is>
          <t>FALSE</t>
        </is>
      </c>
      <c r="E63" s="53" t="inlineStr">
        <is>
          <t>2026-06-17</t>
        </is>
      </c>
    </row>
    <row r="64">
      <c r="A64" s="53" t="inlineStr">
        <is>
          <t>Meyer Najem</t>
        </is>
      </c>
      <c r="B64" s="53" t="inlineStr">
        <is>
          <t>91+</t>
        </is>
      </c>
      <c r="C64" s="53" t="n">
        <v>188023.46</v>
      </c>
      <c r="D64" s="53" t="inlineStr">
        <is>
          <t>FALSE</t>
        </is>
      </c>
      <c r="E64" s="53" t="inlineStr">
        <is>
          <t>2026-06-17</t>
        </is>
      </c>
    </row>
    <row r="65">
      <c r="A65" s="53" t="inlineStr">
        <is>
          <t>Michael Valentine</t>
        </is>
      </c>
      <c r="B65" s="53" t="inlineStr">
        <is>
          <t>91+</t>
        </is>
      </c>
      <c r="C65" s="53" t="n">
        <v>12430.13</v>
      </c>
      <c r="D65" s="53" t="inlineStr">
        <is>
          <t>FALSE</t>
        </is>
      </c>
      <c r="E65" s="53" t="inlineStr">
        <is>
          <t>2026-06-17</t>
        </is>
      </c>
    </row>
    <row r="66">
      <c r="A66" s="53" t="inlineStr">
        <is>
          <t>MILHAUS Construction</t>
        </is>
      </c>
      <c r="B66" s="53" t="inlineStr">
        <is>
          <t>Current</t>
        </is>
      </c>
      <c r="C66" s="53" t="n">
        <v>509895</v>
      </c>
      <c r="D66" s="53" t="inlineStr">
        <is>
          <t>FALSE</t>
        </is>
      </c>
      <c r="E66" s="53" t="inlineStr">
        <is>
          <t>2026-06-17</t>
        </is>
      </c>
    </row>
    <row r="67">
      <c r="A67" s="53" t="inlineStr">
        <is>
          <t>MILHAUS Construction</t>
        </is>
      </c>
      <c r="B67" s="53" t="inlineStr">
        <is>
          <t>1-30</t>
        </is>
      </c>
      <c r="C67" s="53" t="n">
        <v>206955</v>
      </c>
      <c r="D67" s="53" t="inlineStr">
        <is>
          <t>FALSE</t>
        </is>
      </c>
      <c r="E67" s="53" t="inlineStr">
        <is>
          <t>2026-06-17</t>
        </is>
      </c>
    </row>
    <row r="68">
      <c r="A68" s="53" t="inlineStr">
        <is>
          <t>MILHAUS Construction</t>
        </is>
      </c>
      <c r="B68" s="53" t="inlineStr">
        <is>
          <t>31-60</t>
        </is>
      </c>
      <c r="C68" s="53" t="n">
        <v>510367.5</v>
      </c>
      <c r="D68" s="53" t="inlineStr">
        <is>
          <t>FALSE</t>
        </is>
      </c>
      <c r="E68" s="53" t="inlineStr">
        <is>
          <t>2026-06-17</t>
        </is>
      </c>
    </row>
    <row r="69">
      <c r="A69" s="53" t="inlineStr">
        <is>
          <t>MILHAUS Construction</t>
        </is>
      </c>
      <c r="B69" s="53" t="inlineStr">
        <is>
          <t>61-90</t>
        </is>
      </c>
      <c r="C69" s="53" t="n">
        <v>256635</v>
      </c>
      <c r="D69" s="53" t="inlineStr">
        <is>
          <t>FALSE</t>
        </is>
      </c>
      <c r="E69" s="53" t="inlineStr">
        <is>
          <t>2026-06-17</t>
        </is>
      </c>
    </row>
    <row r="70">
      <c r="A70" s="53" t="inlineStr">
        <is>
          <t>Mitsch Design</t>
        </is>
      </c>
      <c r="B70" s="53" t="inlineStr">
        <is>
          <t>91+</t>
        </is>
      </c>
      <c r="C70" s="53" t="n">
        <v>19000</v>
      </c>
      <c r="D70" s="53" t="inlineStr">
        <is>
          <t>FALSE</t>
        </is>
      </c>
      <c r="E70" s="53" t="inlineStr">
        <is>
          <t>2026-06-17</t>
        </is>
      </c>
    </row>
    <row r="71">
      <c r="A71" s="53" t="inlineStr">
        <is>
          <t>Novo Development Group, LLC</t>
        </is>
      </c>
      <c r="B71" s="53" t="inlineStr">
        <is>
          <t>Current</t>
        </is>
      </c>
      <c r="C71" s="53" t="n">
        <v>60165.16</v>
      </c>
      <c r="D71" s="53" t="inlineStr">
        <is>
          <t>FALSE</t>
        </is>
      </c>
      <c r="E71" s="53" t="inlineStr">
        <is>
          <t>2026-06-17</t>
        </is>
      </c>
    </row>
    <row r="72">
      <c r="A72" s="53" t="inlineStr">
        <is>
          <t>Novo Development Group, LLC</t>
        </is>
      </c>
      <c r="B72" s="53" t="inlineStr">
        <is>
          <t>31-60</t>
        </is>
      </c>
      <c r="C72" s="53" t="n">
        <v>-1973.34</v>
      </c>
      <c r="D72" s="53" t="inlineStr">
        <is>
          <t>FALSE</t>
        </is>
      </c>
      <c r="E72" s="53" t="inlineStr">
        <is>
          <t>2026-06-17</t>
        </is>
      </c>
    </row>
    <row r="73">
      <c r="A73" s="53" t="inlineStr">
        <is>
          <t>Old Town Construction</t>
        </is>
      </c>
      <c r="B73" s="53" t="inlineStr">
        <is>
          <t>Current</t>
        </is>
      </c>
      <c r="C73" s="53" t="n">
        <v>352057.58</v>
      </c>
      <c r="D73" s="53" t="inlineStr">
        <is>
          <t>FALSE</t>
        </is>
      </c>
      <c r="E73" s="53" t="inlineStr">
        <is>
          <t>2026-06-17</t>
        </is>
      </c>
    </row>
    <row r="74">
      <c r="A74" s="53" t="inlineStr">
        <is>
          <t>Old Town Construction</t>
        </is>
      </c>
      <c r="B74" s="53" t="inlineStr">
        <is>
          <t>31-60</t>
        </is>
      </c>
      <c r="C74" s="53" t="n">
        <v>407993.89</v>
      </c>
      <c r="D74" s="53" t="inlineStr">
        <is>
          <t>FALSE</t>
        </is>
      </c>
      <c r="E74" s="53" t="inlineStr">
        <is>
          <t>2026-06-17</t>
        </is>
      </c>
    </row>
    <row r="75">
      <c r="A75" s="53" t="inlineStr">
        <is>
          <t>Patch Development</t>
        </is>
      </c>
      <c r="B75" s="53" t="inlineStr">
        <is>
          <t>Current</t>
        </is>
      </c>
      <c r="C75" s="53" t="n">
        <v>15211.87</v>
      </c>
      <c r="D75" s="53" t="inlineStr">
        <is>
          <t>FALSE</t>
        </is>
      </c>
      <c r="E75" s="53" t="inlineStr">
        <is>
          <t>2026-06-17</t>
        </is>
      </c>
    </row>
    <row r="76">
      <c r="A76" s="53" t="inlineStr">
        <is>
          <t>Patch Development</t>
        </is>
      </c>
      <c r="B76" s="53" t="inlineStr">
        <is>
          <t>1-30</t>
        </is>
      </c>
      <c r="C76" s="53" t="n">
        <v>44532.3</v>
      </c>
      <c r="D76" s="53" t="inlineStr">
        <is>
          <t>FALSE</t>
        </is>
      </c>
      <c r="E76" s="53" t="inlineStr">
        <is>
          <t>2026-06-17</t>
        </is>
      </c>
    </row>
    <row r="77">
      <c r="A77" s="53" t="inlineStr">
        <is>
          <t>Patch Development</t>
        </is>
      </c>
      <c r="B77" s="53" t="inlineStr">
        <is>
          <t>31-60</t>
        </is>
      </c>
      <c r="C77" s="53" t="n">
        <v>1350</v>
      </c>
      <c r="D77" s="53" t="inlineStr">
        <is>
          <t>FALSE</t>
        </is>
      </c>
      <c r="E77" s="53" t="inlineStr">
        <is>
          <t>2026-06-17</t>
        </is>
      </c>
    </row>
    <row r="78">
      <c r="A78" s="53" t="inlineStr">
        <is>
          <t>Patch Development</t>
        </is>
      </c>
      <c r="B78" s="53" t="inlineStr">
        <is>
          <t>91+</t>
        </is>
      </c>
      <c r="C78" s="53" t="n">
        <v>39000</v>
      </c>
      <c r="D78" s="53" t="inlineStr">
        <is>
          <t>FALSE</t>
        </is>
      </c>
      <c r="E78" s="53" t="inlineStr">
        <is>
          <t>2026-06-17</t>
        </is>
      </c>
    </row>
    <row r="79">
      <c r="A79" s="53" t="inlineStr">
        <is>
          <t>Patterson Horth, Inc.</t>
        </is>
      </c>
      <c r="B79" s="53" t="inlineStr">
        <is>
          <t>91+</t>
        </is>
      </c>
      <c r="C79" s="53" t="n">
        <v>143724.99</v>
      </c>
      <c r="D79" s="53" t="inlineStr">
        <is>
          <t>FALSE</t>
        </is>
      </c>
      <c r="E79" s="53" t="inlineStr">
        <is>
          <t>2026-06-17</t>
        </is>
      </c>
    </row>
    <row r="80">
      <c r="A80" s="53" t="inlineStr">
        <is>
          <t>Precision Dry Wall</t>
        </is>
      </c>
      <c r="B80" s="53" t="inlineStr">
        <is>
          <t>Current</t>
        </is>
      </c>
      <c r="C80" s="53" t="n">
        <v>26295.22</v>
      </c>
      <c r="D80" s="53" t="inlineStr">
        <is>
          <t>FALSE</t>
        </is>
      </c>
      <c r="E80" s="53" t="inlineStr">
        <is>
          <t>2026-06-17</t>
        </is>
      </c>
    </row>
    <row r="81">
      <c r="A81" s="53" t="inlineStr">
        <is>
          <t>Precision Dry Wall</t>
        </is>
      </c>
      <c r="B81" s="53" t="inlineStr">
        <is>
          <t>1-30</t>
        </is>
      </c>
      <c r="C81" s="53" t="n">
        <v>16327.53</v>
      </c>
      <c r="D81" s="53" t="inlineStr">
        <is>
          <t>FALSE</t>
        </is>
      </c>
      <c r="E81" s="53" t="inlineStr">
        <is>
          <t>2026-06-17</t>
        </is>
      </c>
    </row>
    <row r="82">
      <c r="A82" s="53" t="inlineStr">
        <is>
          <t>Priority Constructors</t>
        </is>
      </c>
      <c r="B82" s="53" t="inlineStr">
        <is>
          <t>91+</t>
        </is>
      </c>
      <c r="C82" s="53" t="n">
        <v>720.0599999999999</v>
      </c>
      <c r="D82" s="53" t="inlineStr">
        <is>
          <t>FALSE</t>
        </is>
      </c>
      <c r="E82" s="53" t="inlineStr">
        <is>
          <t>2026-06-17</t>
        </is>
      </c>
    </row>
    <row r="83">
      <c r="A83" s="53" t="inlineStr">
        <is>
          <t>Pro Fix Drywaller, LLC</t>
        </is>
      </c>
      <c r="B83" s="53" t="inlineStr">
        <is>
          <t>91+</t>
        </is>
      </c>
      <c r="C83" s="53" t="n">
        <v>22972.34</v>
      </c>
      <c r="D83" s="53" t="inlineStr">
        <is>
          <t>FALSE</t>
        </is>
      </c>
      <c r="E83" s="53" t="inlineStr">
        <is>
          <t>2026-06-17</t>
        </is>
      </c>
    </row>
    <row r="84">
      <c r="A84" s="53" t="inlineStr">
        <is>
          <t>Shiel Sexton</t>
        </is>
      </c>
      <c r="B84" s="53" t="inlineStr">
        <is>
          <t>Current</t>
        </is>
      </c>
      <c r="C84" s="53" t="n">
        <v>24028.81</v>
      </c>
      <c r="D84" s="53" t="inlineStr">
        <is>
          <t>FALSE</t>
        </is>
      </c>
      <c r="E84" s="53" t="inlineStr">
        <is>
          <t>2026-06-17</t>
        </is>
      </c>
    </row>
    <row r="85">
      <c r="A85" s="53" t="inlineStr">
        <is>
          <t>Shiel Sexton</t>
        </is>
      </c>
      <c r="B85" s="53" t="inlineStr">
        <is>
          <t>31-60</t>
        </is>
      </c>
      <c r="C85" s="53" t="n">
        <v>248464.3</v>
      </c>
      <c r="D85" s="53" t="inlineStr">
        <is>
          <t>FALSE</t>
        </is>
      </c>
      <c r="E85" s="53" t="inlineStr">
        <is>
          <t>2026-06-17</t>
        </is>
      </c>
    </row>
    <row r="86">
      <c r="A86" s="53" t="inlineStr">
        <is>
          <t>Skender Construction of Indiana LLC</t>
        </is>
      </c>
      <c r="B86" s="53" t="inlineStr">
        <is>
          <t>Current</t>
        </is>
      </c>
      <c r="C86" s="53" t="n">
        <v>647564.65</v>
      </c>
      <c r="D86" s="53" t="inlineStr">
        <is>
          <t>FALSE</t>
        </is>
      </c>
      <c r="E86" s="53" t="inlineStr">
        <is>
          <t>2026-06-17</t>
        </is>
      </c>
    </row>
    <row r="87">
      <c r="A87" s="53" t="inlineStr">
        <is>
          <t>Skender Construction of Indiana LLC</t>
        </is>
      </c>
      <c r="B87" s="53" t="inlineStr">
        <is>
          <t>1-30</t>
        </is>
      </c>
      <c r="C87" s="53" t="n">
        <v>708983.51</v>
      </c>
      <c r="D87" s="53" t="inlineStr">
        <is>
          <t>FALSE</t>
        </is>
      </c>
      <c r="E87" s="53" t="inlineStr">
        <is>
          <t>2026-06-17</t>
        </is>
      </c>
    </row>
    <row r="88">
      <c r="A88" s="53" t="inlineStr">
        <is>
          <t>Skender Construction of Indiana LLC</t>
        </is>
      </c>
      <c r="B88" s="53" t="inlineStr">
        <is>
          <t>31-60</t>
        </is>
      </c>
      <c r="C88" s="53" t="n">
        <v>134622.54</v>
      </c>
      <c r="D88" s="53" t="inlineStr">
        <is>
          <t>FALSE</t>
        </is>
      </c>
      <c r="E88" s="53" t="inlineStr">
        <is>
          <t>2026-06-17</t>
        </is>
      </c>
    </row>
    <row r="89">
      <c r="A89" s="53" t="inlineStr">
        <is>
          <t>Skender Construction of Indiana LLC</t>
        </is>
      </c>
      <c r="B89" s="53" t="inlineStr">
        <is>
          <t>61-90</t>
        </is>
      </c>
      <c r="C89" s="53" t="n">
        <v>111708.94</v>
      </c>
      <c r="D89" s="53" t="inlineStr">
        <is>
          <t>FALSE</t>
        </is>
      </c>
      <c r="E89" s="53" t="inlineStr">
        <is>
          <t>2026-06-17</t>
        </is>
      </c>
    </row>
    <row r="90">
      <c r="A90" s="53" t="inlineStr">
        <is>
          <t>Skender Construction of Indiana LLC</t>
        </is>
      </c>
      <c r="B90" s="53" t="inlineStr">
        <is>
          <t>91+</t>
        </is>
      </c>
      <c r="C90" s="53" t="n">
        <v>46273.32</v>
      </c>
      <c r="D90" s="53" t="inlineStr">
        <is>
          <t>FALSE</t>
        </is>
      </c>
      <c r="E90" s="53" t="inlineStr">
        <is>
          <t>2026-06-17</t>
        </is>
      </c>
    </row>
    <row r="91">
      <c r="A91" s="53" t="inlineStr">
        <is>
          <t>Stenz Corp</t>
        </is>
      </c>
      <c r="B91" s="53" t="inlineStr">
        <is>
          <t>Current</t>
        </is>
      </c>
      <c r="C91" s="53" t="n">
        <v>9190.370000000001</v>
      </c>
      <c r="D91" s="53" t="inlineStr">
        <is>
          <t>FALSE</t>
        </is>
      </c>
      <c r="E91" s="53" t="inlineStr">
        <is>
          <t>2026-06-17</t>
        </is>
      </c>
    </row>
    <row r="92">
      <c r="A92" s="53" t="inlineStr">
        <is>
          <t>Stenz Corp</t>
        </is>
      </c>
      <c r="B92" s="53" t="inlineStr">
        <is>
          <t>1-30</t>
        </is>
      </c>
      <c r="C92" s="53" t="n">
        <v>9000</v>
      </c>
      <c r="D92" s="53" t="inlineStr">
        <is>
          <t>FALSE</t>
        </is>
      </c>
      <c r="E92" s="53" t="inlineStr">
        <is>
          <t>2026-06-17</t>
        </is>
      </c>
    </row>
    <row r="93">
      <c r="A93" s="53" t="inlineStr">
        <is>
          <t>Stenz Corp</t>
        </is>
      </c>
      <c r="B93" s="53" t="inlineStr">
        <is>
          <t>31-60</t>
        </is>
      </c>
      <c r="C93" s="53" t="n">
        <v>36934.63</v>
      </c>
      <c r="D93" s="53" t="inlineStr">
        <is>
          <t>FALSE</t>
        </is>
      </c>
      <c r="E93" s="53" t="inlineStr">
        <is>
          <t>2026-06-17</t>
        </is>
      </c>
    </row>
    <row r="94">
      <c r="A94" s="53" t="inlineStr">
        <is>
          <t>Stenz Corp</t>
        </is>
      </c>
      <c r="B94" s="53" t="inlineStr">
        <is>
          <t>61-90</t>
        </is>
      </c>
      <c r="C94" s="53" t="n">
        <v>18000</v>
      </c>
      <c r="D94" s="53" t="inlineStr">
        <is>
          <t>FALSE</t>
        </is>
      </c>
      <c r="E94" s="53" t="inlineStr">
        <is>
          <t>2026-06-17</t>
        </is>
      </c>
    </row>
    <row r="95">
      <c r="A95" s="53" t="inlineStr">
        <is>
          <t>The ACTS Collaborative, LLC</t>
        </is>
      </c>
      <c r="B95" s="53" t="inlineStr">
        <is>
          <t>Current</t>
        </is>
      </c>
      <c r="C95" s="53" t="n">
        <v>28129.5</v>
      </c>
      <c r="D95" s="53" t="inlineStr">
        <is>
          <t>FALSE</t>
        </is>
      </c>
      <c r="E95" s="53" t="inlineStr">
        <is>
          <t>2026-06-17</t>
        </is>
      </c>
    </row>
    <row r="96">
      <c r="A96" s="53" t="inlineStr">
        <is>
          <t>The Home Depot, Inc.</t>
        </is>
      </c>
      <c r="B96" s="53" t="inlineStr">
        <is>
          <t>91+</t>
        </is>
      </c>
      <c r="C96" s="53" t="n">
        <v>585.54</v>
      </c>
      <c r="D96" s="53" t="inlineStr">
        <is>
          <t>FALSE</t>
        </is>
      </c>
      <c r="E96" s="53" t="inlineStr">
        <is>
          <t>2026-06-17</t>
        </is>
      </c>
    </row>
    <row r="97">
      <c r="A97" s="53" t="inlineStr">
        <is>
          <t>The Peterson Company, LLC</t>
        </is>
      </c>
      <c r="B97" s="53" t="inlineStr">
        <is>
          <t>Current</t>
        </is>
      </c>
      <c r="C97" s="53" t="n">
        <v>1164329.53</v>
      </c>
      <c r="D97" s="53" t="inlineStr">
        <is>
          <t>FALSE</t>
        </is>
      </c>
      <c r="E97" s="53" t="inlineStr">
        <is>
          <t>2026-06-17</t>
        </is>
      </c>
    </row>
    <row r="98">
      <c r="A98" s="53" t="inlineStr">
        <is>
          <t>The Peterson Company, LLC</t>
        </is>
      </c>
      <c r="B98" s="53" t="inlineStr">
        <is>
          <t>1-30</t>
        </is>
      </c>
      <c r="C98" s="53" t="n">
        <v>54936.18</v>
      </c>
      <c r="D98" s="53" t="inlineStr">
        <is>
          <t>FALSE</t>
        </is>
      </c>
      <c r="E98" s="53" t="inlineStr">
        <is>
          <t>2026-06-17</t>
        </is>
      </c>
    </row>
    <row r="99">
      <c r="A99" s="53" t="inlineStr">
        <is>
          <t>The Peterson Company, LLC</t>
        </is>
      </c>
      <c r="B99" s="53" t="inlineStr">
        <is>
          <t>31-60</t>
        </is>
      </c>
      <c r="C99" s="53" t="n">
        <v>702311.21</v>
      </c>
      <c r="D99" s="53" t="inlineStr">
        <is>
          <t>FALSE</t>
        </is>
      </c>
      <c r="E99" s="53" t="inlineStr">
        <is>
          <t>2026-06-17</t>
        </is>
      </c>
    </row>
    <row r="100">
      <c r="A100" s="53" t="inlineStr">
        <is>
          <t>Thompson Thrift Construction</t>
        </is>
      </c>
      <c r="B100" s="53" t="inlineStr">
        <is>
          <t>Current</t>
        </is>
      </c>
      <c r="C100" s="53" t="n">
        <v>569642.4</v>
      </c>
      <c r="D100" s="53" t="inlineStr">
        <is>
          <t>FALSE</t>
        </is>
      </c>
      <c r="E100" s="53" t="inlineStr">
        <is>
          <t>2026-06-17</t>
        </is>
      </c>
    </row>
    <row r="101">
      <c r="A101" s="53" t="inlineStr">
        <is>
          <t>Thompson Thrift Construction</t>
        </is>
      </c>
      <c r="B101" s="53" t="inlineStr">
        <is>
          <t>1-30</t>
        </is>
      </c>
      <c r="C101" s="53" t="n">
        <v>571623.75</v>
      </c>
      <c r="D101" s="53" t="inlineStr">
        <is>
          <t>FALSE</t>
        </is>
      </c>
      <c r="E101" s="53" t="inlineStr">
        <is>
          <t>2026-06-17</t>
        </is>
      </c>
    </row>
    <row r="102">
      <c r="A102" s="53" t="inlineStr">
        <is>
          <t>Thompson Thrift Construction</t>
        </is>
      </c>
      <c r="B102" s="53" t="inlineStr">
        <is>
          <t>91+</t>
        </is>
      </c>
      <c r="C102" s="53" t="n">
        <v>51060</v>
      </c>
      <c r="D102" s="53" t="inlineStr">
        <is>
          <t>FALSE</t>
        </is>
      </c>
      <c r="E102" s="53" t="inlineStr">
        <is>
          <t>2026-06-17</t>
        </is>
      </c>
    </row>
    <row r="103">
      <c r="A103" s="53" t="inlineStr">
        <is>
          <t>Total Drywall Solutions Inc</t>
        </is>
      </c>
      <c r="B103" s="53" t="inlineStr">
        <is>
          <t>91+</t>
        </is>
      </c>
      <c r="C103" s="53" t="n">
        <v>4485.21</v>
      </c>
      <c r="D103" s="53" t="inlineStr">
        <is>
          <t>FALSE</t>
        </is>
      </c>
      <c r="E103" s="53" t="inlineStr">
        <is>
          <t>2026-06-17</t>
        </is>
      </c>
    </row>
    <row r="104">
      <c r="A104" s="53" t="inlineStr">
        <is>
          <t>Yaggi's White Glove Delivery, LLC</t>
        </is>
      </c>
      <c r="B104" s="53" t="inlineStr">
        <is>
          <t>91+</t>
        </is>
      </c>
      <c r="C104" s="53" t="n">
        <v>18935.33</v>
      </c>
      <c r="D104" s="53" t="inlineStr">
        <is>
          <t>FALSE</t>
        </is>
      </c>
      <c r="E104" s="53" t="inlineStr">
        <is>
          <t>2026-06-17</t>
        </is>
      </c>
    </row>
    <row r="105">
      <c r="A105" s="53" t="inlineStr">
        <is>
          <t>ZMX Inc.</t>
        </is>
      </c>
      <c r="B105" s="53" t="inlineStr">
        <is>
          <t>91+</t>
        </is>
      </c>
      <c r="C105" s="53" t="n">
        <v>10646.9</v>
      </c>
      <c r="D105" s="53" t="inlineStr">
        <is>
          <t>FALSE</t>
        </is>
      </c>
      <c r="E105" s="53" t="inlineStr">
        <is>
          <t>2026-06-17</t>
        </is>
      </c>
    </row>
    <row r="106">
      <c r="A106" s="53" t="inlineStr">
        <is>
          <t>(Retainage Receivable)</t>
        </is>
      </c>
      <c r="B106" s="53" t="inlineStr">
        <is>
          <t>Retainage</t>
        </is>
      </c>
      <c r="C106" s="53" t="n">
        <v>3136194.46</v>
      </c>
      <c r="D106" s="53" t="inlineStr">
        <is>
          <t>TRUE</t>
        </is>
      </c>
      <c r="E106" s="53" t="inlineStr">
        <is>
          <t>2026-06-17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9AA3B2"/>
    <outlinePr summaryBelow="1" summaryRight="1"/>
    <pageSetUpPr/>
  </sheetPr>
  <dimension ref="A1:D1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40" t="inlineStr">
        <is>
          <t>Vendor</t>
        </is>
      </c>
      <c r="B1" s="40" t="inlineStr">
        <is>
          <t>Bucket</t>
        </is>
      </c>
      <c r="C1" s="40" t="inlineStr">
        <is>
          <t>Amount</t>
        </is>
      </c>
      <c r="D1" s="40" t="inlineStr">
        <is>
          <t>AsOfDate</t>
        </is>
      </c>
    </row>
    <row r="2">
      <c r="A2" s="53" t="inlineStr">
        <is>
          <t>4BRO Construction LLC</t>
        </is>
      </c>
      <c r="B2" s="53" t="inlineStr">
        <is>
          <t>Current</t>
        </is>
      </c>
      <c r="C2" s="53" t="n">
        <v>8825.790000000001</v>
      </c>
      <c r="D2" s="53" t="inlineStr">
        <is>
          <t>2026-06-17</t>
        </is>
      </c>
    </row>
    <row r="3">
      <c r="A3" s="53" t="inlineStr">
        <is>
          <t>6twenty-six inc</t>
        </is>
      </c>
      <c r="B3" s="53" t="inlineStr">
        <is>
          <t>Current</t>
        </is>
      </c>
      <c r="C3" s="53" t="n">
        <v>1337.5</v>
      </c>
      <c r="D3" s="53" t="inlineStr">
        <is>
          <t>2026-06-17</t>
        </is>
      </c>
    </row>
    <row r="4">
      <c r="A4" s="53" t="inlineStr">
        <is>
          <t>7R Lawn Solutions, LLC</t>
        </is>
      </c>
      <c r="B4" s="53" t="inlineStr">
        <is>
          <t>1-30</t>
        </is>
      </c>
      <c r="C4" s="53" t="n">
        <v>836</v>
      </c>
      <c r="D4" s="53" t="inlineStr">
        <is>
          <t>2026-06-17</t>
        </is>
      </c>
    </row>
    <row r="5">
      <c r="A5" s="53" t="inlineStr">
        <is>
          <t>84 Lumber</t>
        </is>
      </c>
      <c r="B5" s="53" t="inlineStr">
        <is>
          <t>91+</t>
        </is>
      </c>
      <c r="C5" s="53" t="n">
        <v>-1222.78</v>
      </c>
      <c r="D5" s="53" t="inlineStr">
        <is>
          <t>2026-06-17</t>
        </is>
      </c>
    </row>
    <row r="6">
      <c r="A6" s="53" t="inlineStr">
        <is>
          <t>ABC Supply Interiors, Inc. (L&amp;W)</t>
        </is>
      </c>
      <c r="B6" s="53" t="inlineStr">
        <is>
          <t>Current</t>
        </is>
      </c>
      <c r="C6" s="53" t="n">
        <v>18002.12</v>
      </c>
      <c r="D6" s="53" t="inlineStr">
        <is>
          <t>2026-06-17</t>
        </is>
      </c>
    </row>
    <row r="7">
      <c r="A7" s="53" t="inlineStr">
        <is>
          <t>ABC Supply Interiors, Inc. (L&amp;W)</t>
        </is>
      </c>
      <c r="B7" s="53" t="inlineStr">
        <is>
          <t>91+</t>
        </is>
      </c>
      <c r="C7" s="53" t="n">
        <v>-3711.8</v>
      </c>
      <c r="D7" s="53" t="inlineStr">
        <is>
          <t>2026-06-17</t>
        </is>
      </c>
    </row>
    <row r="8">
      <c r="A8" s="53" t="inlineStr">
        <is>
          <t>ABM Parking Services</t>
        </is>
      </c>
      <c r="B8" s="53" t="inlineStr">
        <is>
          <t>Current</t>
        </is>
      </c>
      <c r="C8" s="53" t="n">
        <v>180</v>
      </c>
      <c r="D8" s="53" t="inlineStr">
        <is>
          <t>2026-06-17</t>
        </is>
      </c>
    </row>
    <row r="9">
      <c r="A9" s="53" t="inlineStr">
        <is>
          <t>ADL Design &amp; Construction LLC</t>
        </is>
      </c>
      <c r="B9" s="53" t="inlineStr">
        <is>
          <t>91+</t>
        </is>
      </c>
      <c r="C9" s="53" t="n">
        <v>6316.5</v>
      </c>
      <c r="D9" s="53" t="inlineStr">
        <is>
          <t>2026-06-17</t>
        </is>
      </c>
    </row>
    <row r="10">
      <c r="A10" s="53" t="inlineStr">
        <is>
          <t>Alejandro Gonzalez-Rubio</t>
        </is>
      </c>
      <c r="B10" s="53" t="inlineStr">
        <is>
          <t>Current</t>
        </is>
      </c>
      <c r="C10" s="53" t="n">
        <v>1650</v>
      </c>
      <c r="D10" s="53" t="inlineStr">
        <is>
          <t>2026-06-17</t>
        </is>
      </c>
    </row>
    <row r="11">
      <c r="A11" s="53" t="inlineStr">
        <is>
          <t>ARC Document Solutions, LLC</t>
        </is>
      </c>
      <c r="B11" s="53" t="inlineStr">
        <is>
          <t>Current</t>
        </is>
      </c>
      <c r="C11" s="53" t="n">
        <v>259.57</v>
      </c>
      <c r="D11" s="53" t="inlineStr">
        <is>
          <t>2026-06-17</t>
        </is>
      </c>
    </row>
    <row r="12">
      <c r="A12" s="53" t="inlineStr">
        <is>
          <t>Armstrong World Industries, Inc.</t>
        </is>
      </c>
      <c r="B12" s="53" t="inlineStr">
        <is>
          <t>91+</t>
        </is>
      </c>
      <c r="C12" s="53" t="n">
        <v>-150.69</v>
      </c>
      <c r="D12" s="53" t="inlineStr">
        <is>
          <t>2026-06-17</t>
        </is>
      </c>
    </row>
    <row r="13">
      <c r="A13" s="53" t="inlineStr">
        <is>
          <t>AZS General Construction Corp</t>
        </is>
      </c>
      <c r="B13" s="53" t="inlineStr">
        <is>
          <t>Current</t>
        </is>
      </c>
      <c r="C13" s="53" t="n">
        <v>39860.36</v>
      </c>
      <c r="D13" s="53" t="inlineStr">
        <is>
          <t>2026-06-17</t>
        </is>
      </c>
    </row>
    <row r="14">
      <c r="A14" s="53" t="inlineStr">
        <is>
          <t>AZS General Construction Corp</t>
        </is>
      </c>
      <c r="B14" s="53" t="inlineStr">
        <is>
          <t>1-30</t>
        </is>
      </c>
      <c r="C14" s="53" t="n">
        <v>6800</v>
      </c>
      <c r="D14" s="53" t="inlineStr">
        <is>
          <t>2026-06-17</t>
        </is>
      </c>
    </row>
    <row r="15">
      <c r="A15" s="53" t="inlineStr">
        <is>
          <t>AZS General Construction Corp</t>
        </is>
      </c>
      <c r="B15" s="53" t="inlineStr">
        <is>
          <t>31-60</t>
        </is>
      </c>
      <c r="C15" s="53" t="n">
        <v>6663.8</v>
      </c>
      <c r="D15" s="53" t="inlineStr">
        <is>
          <t>2026-06-17</t>
        </is>
      </c>
    </row>
    <row r="16">
      <c r="A16" s="53" t="inlineStr">
        <is>
          <t>AZS General Construction Corp</t>
        </is>
      </c>
      <c r="B16" s="53" t="inlineStr">
        <is>
          <t>61-90</t>
        </is>
      </c>
      <c r="C16" s="53" t="n">
        <v>2568.19</v>
      </c>
      <c r="D16" s="53" t="inlineStr">
        <is>
          <t>2026-06-17</t>
        </is>
      </c>
    </row>
    <row r="17">
      <c r="A17" s="53" t="inlineStr">
        <is>
          <t>AZS General Construction Corp</t>
        </is>
      </c>
      <c r="B17" s="53" t="inlineStr">
        <is>
          <t>91+</t>
        </is>
      </c>
      <c r="C17" s="53" t="n">
        <v>7604.3</v>
      </c>
      <c r="D17" s="53" t="inlineStr">
        <is>
          <t>2026-06-17</t>
        </is>
      </c>
    </row>
    <row r="18">
      <c r="A18" s="53" t="inlineStr">
        <is>
          <t>BA Construction Remodeling LLC</t>
        </is>
      </c>
      <c r="B18" s="53" t="inlineStr">
        <is>
          <t>Current</t>
        </is>
      </c>
      <c r="C18" s="53" t="n">
        <v>12443</v>
      </c>
      <c r="D18" s="53" t="inlineStr">
        <is>
          <t>2026-06-17</t>
        </is>
      </c>
    </row>
    <row r="19">
      <c r="A19" s="53" t="inlineStr">
        <is>
          <t>Barahona Painting LLC</t>
        </is>
      </c>
      <c r="B19" s="53" t="inlineStr">
        <is>
          <t>Current</t>
        </is>
      </c>
      <c r="C19" s="53" t="n">
        <v>10397.46</v>
      </c>
      <c r="D19" s="53" t="inlineStr">
        <is>
          <t>2026-06-17</t>
        </is>
      </c>
    </row>
    <row r="20">
      <c r="A20" s="53" t="inlineStr">
        <is>
          <t>Best Way of Indiana, Inc.</t>
        </is>
      </c>
      <c r="B20" s="53" t="inlineStr">
        <is>
          <t>Current</t>
        </is>
      </c>
      <c r="C20" s="53" t="n">
        <v>2408.11</v>
      </c>
      <c r="D20" s="53" t="inlineStr">
        <is>
          <t>2026-06-17</t>
        </is>
      </c>
    </row>
    <row r="21">
      <c r="A21" s="53" t="inlineStr">
        <is>
          <t>Bro's Drywall LLC</t>
        </is>
      </c>
      <c r="B21" s="53" t="inlineStr">
        <is>
          <t>Current</t>
        </is>
      </c>
      <c r="C21" s="53" t="n">
        <v>7732</v>
      </c>
      <c r="D21" s="53" t="inlineStr">
        <is>
          <t>2026-06-17</t>
        </is>
      </c>
    </row>
    <row r="22">
      <c r="A22" s="53" t="inlineStr">
        <is>
          <t>Bro's Drywall LLC</t>
        </is>
      </c>
      <c r="B22" s="53" t="inlineStr">
        <is>
          <t>31-60</t>
        </is>
      </c>
      <c r="C22" s="53" t="n">
        <v>48</v>
      </c>
      <c r="D22" s="53" t="inlineStr">
        <is>
          <t>2026-06-17</t>
        </is>
      </c>
    </row>
    <row r="23">
      <c r="A23" s="53" t="inlineStr">
        <is>
          <t>Bro's Drywall LLC</t>
        </is>
      </c>
      <c r="B23" s="53" t="inlineStr">
        <is>
          <t>91+</t>
        </is>
      </c>
      <c r="C23" s="53" t="n">
        <v>24</v>
      </c>
      <c r="D23" s="53" t="inlineStr">
        <is>
          <t>2026-06-17</t>
        </is>
      </c>
    </row>
    <row r="24">
      <c r="A24" s="53" t="inlineStr">
        <is>
          <t>Brother's Carpentry (Gustavo Gutierrez)</t>
        </is>
      </c>
      <c r="B24" s="53" t="inlineStr">
        <is>
          <t>Current</t>
        </is>
      </c>
      <c r="C24" s="53" t="n">
        <v>145.05</v>
      </c>
      <c r="D24" s="53" t="inlineStr">
        <is>
          <t>2026-06-17</t>
        </is>
      </c>
    </row>
    <row r="25">
      <c r="A25" s="53" t="inlineStr">
        <is>
          <t>Brother's Carpentry (Gustavo Gutierrez)</t>
        </is>
      </c>
      <c r="B25" s="53" t="inlineStr">
        <is>
          <t>91+</t>
        </is>
      </c>
      <c r="C25" s="53" t="n">
        <v>652</v>
      </c>
      <c r="D25" s="53" t="inlineStr">
        <is>
          <t>2026-06-17</t>
        </is>
      </c>
    </row>
    <row r="26">
      <c r="A26" s="53" t="inlineStr">
        <is>
          <t>Browning Chapman, LLC</t>
        </is>
      </c>
      <c r="B26" s="53" t="inlineStr">
        <is>
          <t>Current</t>
        </is>
      </c>
      <c r="C26" s="53" t="n">
        <v>2550</v>
      </c>
      <c r="D26" s="53" t="inlineStr">
        <is>
          <t>2026-06-17</t>
        </is>
      </c>
    </row>
    <row r="27">
      <c r="A27" s="53" t="inlineStr">
        <is>
          <t>Castillo (Victor) Drywall &amp; Scrap LLC</t>
        </is>
      </c>
      <c r="B27" s="53" t="inlineStr">
        <is>
          <t>Current</t>
        </is>
      </c>
      <c r="C27" s="53" t="n">
        <v>2471.9</v>
      </c>
      <c r="D27" s="53" t="inlineStr">
        <is>
          <t>2026-06-17</t>
        </is>
      </c>
    </row>
    <row r="28">
      <c r="A28" s="53" t="inlineStr">
        <is>
          <t>C&amp;C Martinez Drywall LLC</t>
        </is>
      </c>
      <c r="B28" s="53" t="inlineStr">
        <is>
          <t>Current</t>
        </is>
      </c>
      <c r="C28" s="53" t="n">
        <v>38293.86</v>
      </c>
      <c r="D28" s="53" t="inlineStr">
        <is>
          <t>2026-06-17</t>
        </is>
      </c>
    </row>
    <row r="29">
      <c r="A29" s="53" t="inlineStr">
        <is>
          <t>C&amp;C Martinez Drywall LLC</t>
        </is>
      </c>
      <c r="B29" s="53" t="inlineStr">
        <is>
          <t>61-90</t>
        </is>
      </c>
      <c r="C29" s="53" t="n">
        <v>3310.96</v>
      </c>
      <c r="D29" s="53" t="inlineStr">
        <is>
          <t>2026-06-17</t>
        </is>
      </c>
    </row>
    <row r="30">
      <c r="A30" s="53" t="inlineStr">
        <is>
          <t>C&amp;C Martinez Drywall LLC</t>
        </is>
      </c>
      <c r="B30" s="53" t="inlineStr">
        <is>
          <t>91+</t>
        </is>
      </c>
      <c r="C30" s="53" t="n">
        <v>1305.46</v>
      </c>
      <c r="D30" s="53" t="inlineStr">
        <is>
          <t>2026-06-17</t>
        </is>
      </c>
    </row>
    <row r="31">
      <c r="A31" s="53" t="inlineStr">
        <is>
          <t>Central Indiana Hardware (CIH)</t>
        </is>
      </c>
      <c r="B31" s="53" t="inlineStr">
        <is>
          <t>Current</t>
        </is>
      </c>
      <c r="C31" s="53" t="n">
        <v>2952.13</v>
      </c>
      <c r="D31" s="53" t="inlineStr">
        <is>
          <t>2026-06-17</t>
        </is>
      </c>
    </row>
    <row r="32">
      <c r="A32" s="53" t="inlineStr">
        <is>
          <t>Cherokee Building Materials, Inc. (GMS)</t>
        </is>
      </c>
      <c r="B32" s="53" t="inlineStr">
        <is>
          <t>91+</t>
        </is>
      </c>
      <c r="C32" s="53" t="n">
        <v>-627.67</v>
      </c>
      <c r="D32" s="53" t="inlineStr">
        <is>
          <t>2026-06-17</t>
        </is>
      </c>
    </row>
    <row r="33">
      <c r="A33" s="53" t="inlineStr">
        <is>
          <t>Chris Taylor</t>
        </is>
      </c>
      <c r="B33" s="53" t="inlineStr">
        <is>
          <t>Current</t>
        </is>
      </c>
      <c r="C33" s="53" t="n">
        <v>250</v>
      </c>
      <c r="D33" s="53" t="inlineStr">
        <is>
          <t>2026-06-17</t>
        </is>
      </c>
    </row>
    <row r="34">
      <c r="A34" s="53" t="inlineStr">
        <is>
          <t>Concentra</t>
        </is>
      </c>
      <c r="B34" s="53" t="inlineStr">
        <is>
          <t>61-90</t>
        </is>
      </c>
      <c r="C34" s="53" t="n">
        <v>125</v>
      </c>
      <c r="D34" s="53" t="inlineStr">
        <is>
          <t>2026-06-17</t>
        </is>
      </c>
    </row>
    <row r="35">
      <c r="A35" s="53" t="inlineStr">
        <is>
          <t>Construction Specialties, Inc.</t>
        </is>
      </c>
      <c r="B35" s="53" t="inlineStr">
        <is>
          <t>Current</t>
        </is>
      </c>
      <c r="C35" s="53" t="n">
        <v>2754.18</v>
      </c>
      <c r="D35" s="53" t="inlineStr">
        <is>
          <t>2026-06-17</t>
        </is>
      </c>
    </row>
    <row r="36">
      <c r="A36" s="53" t="inlineStr">
        <is>
          <t>CraneWorks | CW Intermediate Holdco, LLC</t>
        </is>
      </c>
      <c r="B36" s="53" t="inlineStr">
        <is>
          <t>Current</t>
        </is>
      </c>
      <c r="C36" s="53" t="n">
        <v>789.4</v>
      </c>
      <c r="D36" s="53" t="inlineStr">
        <is>
          <t>2026-06-17</t>
        </is>
      </c>
    </row>
    <row r="37">
      <c r="A37" s="53" t="inlineStr">
        <is>
          <t>Deem</t>
        </is>
      </c>
      <c r="B37" s="53" t="inlineStr">
        <is>
          <t>Current</t>
        </is>
      </c>
      <c r="C37" s="53" t="n">
        <v>3325</v>
      </c>
      <c r="D37" s="53" t="inlineStr">
        <is>
          <t>2026-06-17</t>
        </is>
      </c>
    </row>
    <row r="38">
      <c r="A38" s="53" t="inlineStr">
        <is>
          <t>DIVISION 7 MTLS</t>
        </is>
      </c>
      <c r="B38" s="53" t="inlineStr">
        <is>
          <t>Current</t>
        </is>
      </c>
      <c r="C38" s="53" t="n">
        <v>1525.82</v>
      </c>
      <c r="D38" s="53" t="inlineStr">
        <is>
          <t>2026-06-17</t>
        </is>
      </c>
    </row>
    <row r="39">
      <c r="A39" s="53" t="inlineStr">
        <is>
          <t>Enterprise Rent a Car</t>
        </is>
      </c>
      <c r="B39" s="53" t="inlineStr">
        <is>
          <t>Current</t>
        </is>
      </c>
      <c r="C39" s="53" t="n">
        <v>227.01</v>
      </c>
      <c r="D39" s="53" t="inlineStr">
        <is>
          <t>2026-06-17</t>
        </is>
      </c>
    </row>
    <row r="40">
      <c r="A40" s="53" t="inlineStr">
        <is>
          <t>Escot Painting LLC</t>
        </is>
      </c>
      <c r="B40" s="53" t="inlineStr">
        <is>
          <t>61-90</t>
        </is>
      </c>
      <c r="C40" s="53" t="n">
        <v>7700</v>
      </c>
      <c r="D40" s="53" t="inlineStr">
        <is>
          <t>2026-06-17</t>
        </is>
      </c>
    </row>
    <row r="41">
      <c r="A41" s="53" t="inlineStr">
        <is>
          <t>Foundation Building Materials (FBM)</t>
        </is>
      </c>
      <c r="B41" s="53" t="inlineStr">
        <is>
          <t>Current</t>
        </is>
      </c>
      <c r="C41" s="53" t="n">
        <v>832567.5600000001</v>
      </c>
      <c r="D41" s="53" t="inlineStr">
        <is>
          <t>2026-06-17</t>
        </is>
      </c>
    </row>
    <row r="42">
      <c r="A42" s="53" t="inlineStr">
        <is>
          <t>Foundation Building Materials (FBM)</t>
        </is>
      </c>
      <c r="B42" s="53" t="inlineStr">
        <is>
          <t>31-60</t>
        </is>
      </c>
      <c r="C42" s="53" t="n">
        <v>-620.9400000000001</v>
      </c>
      <c r="D42" s="53" t="inlineStr">
        <is>
          <t>2026-06-17</t>
        </is>
      </c>
    </row>
    <row r="43">
      <c r="A43" s="53" t="inlineStr">
        <is>
          <t>Foundation Building Materials (FBM)</t>
        </is>
      </c>
      <c r="B43" s="53" t="inlineStr">
        <is>
          <t>91+</t>
        </is>
      </c>
      <c r="C43" s="53" t="n">
        <v>-2979.13</v>
      </c>
      <c r="D43" s="53" t="inlineStr">
        <is>
          <t>2026-06-17</t>
        </is>
      </c>
    </row>
    <row r="44">
      <c r="A44" s="53" t="inlineStr">
        <is>
          <t>Garners Towing &amp; Transport</t>
        </is>
      </c>
      <c r="B44" s="53" t="inlineStr">
        <is>
          <t>61-90</t>
        </is>
      </c>
      <c r="C44" s="53" t="n">
        <v>312.5</v>
      </c>
      <c r="D44" s="53" t="inlineStr">
        <is>
          <t>2026-06-17</t>
        </is>
      </c>
    </row>
    <row r="45">
      <c r="A45" s="53" t="inlineStr">
        <is>
          <t>Garza Towing LLC</t>
        </is>
      </c>
      <c r="B45" s="53" t="inlineStr">
        <is>
          <t>1-30</t>
        </is>
      </c>
      <c r="C45" s="53" t="n">
        <v>875</v>
      </c>
      <c r="D45" s="53" t="inlineStr">
        <is>
          <t>2026-06-17</t>
        </is>
      </c>
    </row>
    <row r="46">
      <c r="A46" s="53" t="inlineStr">
        <is>
          <t>Gauge Telematics, Inc</t>
        </is>
      </c>
      <c r="B46" s="53" t="inlineStr">
        <is>
          <t>Current</t>
        </is>
      </c>
      <c r="C46" s="53" t="n">
        <v>345</v>
      </c>
      <c r="D46" s="53" t="inlineStr">
        <is>
          <t>2026-06-17</t>
        </is>
      </c>
    </row>
    <row r="47">
      <c r="A47" s="53" t="inlineStr">
        <is>
          <t>GTO Drywall &amp; Metal Framing LLC</t>
        </is>
      </c>
      <c r="B47" s="53" t="inlineStr">
        <is>
          <t>Current</t>
        </is>
      </c>
      <c r="C47" s="53" t="n">
        <v>3325.4</v>
      </c>
      <c r="D47" s="53" t="inlineStr">
        <is>
          <t>2026-06-17</t>
        </is>
      </c>
    </row>
    <row r="48">
      <c r="A48" s="53" t="inlineStr">
        <is>
          <t>GTO Drywall &amp; Metal Framing LLC</t>
        </is>
      </c>
      <c r="B48" s="53" t="inlineStr">
        <is>
          <t>1-30</t>
        </is>
      </c>
      <c r="C48" s="53" t="n">
        <v>6089.4</v>
      </c>
      <c r="D48" s="53" t="inlineStr">
        <is>
          <t>2026-06-17</t>
        </is>
      </c>
    </row>
    <row r="49">
      <c r="A49" s="53" t="inlineStr">
        <is>
          <t>GTZ Builders, LLC (Paulo)</t>
        </is>
      </c>
      <c r="B49" s="53" t="inlineStr">
        <is>
          <t>Current</t>
        </is>
      </c>
      <c r="C49" s="53" t="n">
        <v>30842.4</v>
      </c>
      <c r="D49" s="53" t="inlineStr">
        <is>
          <t>2026-06-17</t>
        </is>
      </c>
    </row>
    <row r="50">
      <c r="A50" s="53" t="inlineStr">
        <is>
          <t>Haines, Jones, &amp; Cadbury, LLC</t>
        </is>
      </c>
      <c r="B50" s="53" t="inlineStr">
        <is>
          <t>Current</t>
        </is>
      </c>
      <c r="C50" s="53" t="n">
        <v>18675.29</v>
      </c>
      <c r="D50" s="53" t="inlineStr">
        <is>
          <t>2026-06-17</t>
        </is>
      </c>
    </row>
    <row r="51">
      <c r="A51" s="53" t="inlineStr">
        <is>
          <t>Hilti</t>
        </is>
      </c>
      <c r="B51" s="53" t="inlineStr">
        <is>
          <t>Current</t>
        </is>
      </c>
      <c r="C51" s="53" t="n">
        <v>2689.56</v>
      </c>
      <c r="D51" s="53" t="inlineStr">
        <is>
          <t>2026-06-17</t>
        </is>
      </c>
    </row>
    <row r="52">
      <c r="A52" s="53" t="inlineStr">
        <is>
          <t>Home Depot</t>
        </is>
      </c>
      <c r="B52" s="53" t="inlineStr">
        <is>
          <t>Current</t>
        </is>
      </c>
      <c r="C52" s="53" t="n">
        <v>71539.66</v>
      </c>
      <c r="D52" s="53" t="inlineStr">
        <is>
          <t>2026-06-17</t>
        </is>
      </c>
    </row>
    <row r="53">
      <c r="A53" s="53" t="inlineStr">
        <is>
          <t>Home Depot (HD Pro)</t>
        </is>
      </c>
      <c r="B53" s="53" t="inlineStr">
        <is>
          <t>Current</t>
        </is>
      </c>
      <c r="C53" s="53" t="n">
        <v>739119.02</v>
      </c>
      <c r="D53" s="53" t="inlineStr">
        <is>
          <t>2026-06-17</t>
        </is>
      </c>
    </row>
    <row r="54">
      <c r="A54" s="53" t="inlineStr">
        <is>
          <t>Indianapolis Propane Exchange LLC</t>
        </is>
      </c>
      <c r="B54" s="53" t="inlineStr">
        <is>
          <t>Current</t>
        </is>
      </c>
      <c r="C54" s="53" t="n">
        <v>583.14</v>
      </c>
      <c r="D54" s="53" t="inlineStr">
        <is>
          <t>2026-06-17</t>
        </is>
      </c>
    </row>
    <row r="55">
      <c r="A55" s="53" t="inlineStr">
        <is>
          <t>Indy Crush Brothers, LLC (Indy Crusher)</t>
        </is>
      </c>
      <c r="B55" s="53" t="inlineStr">
        <is>
          <t>91+</t>
        </is>
      </c>
      <c r="C55" s="53" t="n">
        <v>10.8</v>
      </c>
      <c r="D55" s="53" t="inlineStr">
        <is>
          <t>2026-06-17</t>
        </is>
      </c>
    </row>
    <row r="56">
      <c r="A56" s="53" t="inlineStr">
        <is>
          <t>Indy Pro Painters Services, LLC</t>
        </is>
      </c>
      <c r="B56" s="53" t="inlineStr">
        <is>
          <t>Current</t>
        </is>
      </c>
      <c r="C56" s="53" t="n">
        <v>11669.8</v>
      </c>
      <c r="D56" s="53" t="inlineStr">
        <is>
          <t>2026-06-17</t>
        </is>
      </c>
    </row>
    <row r="57">
      <c r="A57" s="53" t="inlineStr">
        <is>
          <t>Indy Pro Painters Services, LLC</t>
        </is>
      </c>
      <c r="B57" s="53" t="inlineStr">
        <is>
          <t>31-60</t>
        </is>
      </c>
      <c r="C57" s="53" t="n">
        <v>1800</v>
      </c>
      <c r="D57" s="53" t="inlineStr">
        <is>
          <t>2026-06-17</t>
        </is>
      </c>
    </row>
    <row r="58">
      <c r="A58" s="53" t="inlineStr">
        <is>
          <t>Indy Pro Painters Services, LLC</t>
        </is>
      </c>
      <c r="B58" s="53" t="inlineStr">
        <is>
          <t>61-90</t>
        </is>
      </c>
      <c r="C58" s="53" t="n">
        <v>3822.5</v>
      </c>
      <c r="D58" s="53" t="inlineStr">
        <is>
          <t>2026-06-17</t>
        </is>
      </c>
    </row>
    <row r="59">
      <c r="A59" s="53" t="inlineStr">
        <is>
          <t>Indy Pro Painters Services, LLC</t>
        </is>
      </c>
      <c r="B59" s="53" t="inlineStr">
        <is>
          <t>91+</t>
        </is>
      </c>
      <c r="C59" s="53" t="n">
        <v>9740</v>
      </c>
      <c r="D59" s="53" t="inlineStr">
        <is>
          <t>2026-06-17</t>
        </is>
      </c>
    </row>
    <row r="60">
      <c r="A60" s="53" t="inlineStr">
        <is>
          <t>Interior Product Supply (IPS) GMS Co (Cherokee BM)</t>
        </is>
      </c>
      <c r="B60" s="53" t="inlineStr">
        <is>
          <t>Current</t>
        </is>
      </c>
      <c r="C60" s="53" t="n">
        <v>9710.52</v>
      </c>
      <c r="D60" s="53" t="inlineStr">
        <is>
          <t>2026-06-17</t>
        </is>
      </c>
    </row>
    <row r="61">
      <c r="A61" s="53" t="inlineStr">
        <is>
          <t>Interior Supply Inc (ISI)</t>
        </is>
      </c>
      <c r="B61" s="53" t="inlineStr">
        <is>
          <t>Current</t>
        </is>
      </c>
      <c r="C61" s="53" t="n">
        <v>129139.47</v>
      </c>
      <c r="D61" s="53" t="inlineStr">
        <is>
          <t>2026-06-17</t>
        </is>
      </c>
    </row>
    <row r="62">
      <c r="A62" s="53" t="inlineStr">
        <is>
          <t>Interior Supply Inc (ISI)</t>
        </is>
      </c>
      <c r="B62" s="53" t="inlineStr">
        <is>
          <t>31-60</t>
        </is>
      </c>
      <c r="C62" s="53" t="n">
        <v>13.37</v>
      </c>
      <c r="D62" s="53" t="inlineStr">
        <is>
          <t>2026-06-17</t>
        </is>
      </c>
    </row>
    <row r="63">
      <c r="A63" s="53" t="inlineStr">
        <is>
          <t>Internal Drywall Division</t>
        </is>
      </c>
      <c r="B63" s="53" t="inlineStr">
        <is>
          <t>Current</t>
        </is>
      </c>
      <c r="C63" s="53" t="n">
        <v>113560.43</v>
      </c>
      <c r="D63" s="53" t="inlineStr">
        <is>
          <t>2026-06-17</t>
        </is>
      </c>
    </row>
    <row r="64">
      <c r="A64" s="53" t="inlineStr">
        <is>
          <t>Iracheta Drywall LLC</t>
        </is>
      </c>
      <c r="B64" s="53" t="inlineStr">
        <is>
          <t>Current</t>
        </is>
      </c>
      <c r="C64" s="53" t="n">
        <v>25249.02</v>
      </c>
      <c r="D64" s="53" t="inlineStr">
        <is>
          <t>2026-06-17</t>
        </is>
      </c>
    </row>
    <row r="65">
      <c r="A65" s="53" t="inlineStr">
        <is>
          <t>Iracheta Drywall LLC</t>
        </is>
      </c>
      <c r="B65" s="53" t="inlineStr">
        <is>
          <t>91+</t>
        </is>
      </c>
      <c r="C65" s="53" t="n">
        <v>1972.98</v>
      </c>
      <c r="D65" s="53" t="inlineStr">
        <is>
          <t>2026-06-17</t>
        </is>
      </c>
    </row>
    <row r="66">
      <c r="A66" s="53" t="inlineStr">
        <is>
          <t>JC Drywall LLC (JCD)</t>
        </is>
      </c>
      <c r="B66" s="53" t="inlineStr">
        <is>
          <t>Current</t>
        </is>
      </c>
      <c r="C66" s="53" t="n">
        <v>70</v>
      </c>
      <c r="D66" s="53" t="inlineStr">
        <is>
          <t>2026-06-17</t>
        </is>
      </c>
    </row>
    <row r="67">
      <c r="A67" s="53" t="inlineStr">
        <is>
          <t>JC Drywall LLC (JCD)</t>
        </is>
      </c>
      <c r="B67" s="53" t="inlineStr">
        <is>
          <t>91+</t>
        </is>
      </c>
      <c r="C67" s="53" t="n">
        <v>3077.1</v>
      </c>
      <c r="D67" s="53" t="inlineStr">
        <is>
          <t>2026-06-17</t>
        </is>
      </c>
    </row>
    <row r="68">
      <c r="A68" s="53" t="inlineStr">
        <is>
          <t>Jordan Birge</t>
        </is>
      </c>
      <c r="B68" s="53" t="inlineStr">
        <is>
          <t>Current</t>
        </is>
      </c>
      <c r="C68" s="53" t="n">
        <v>2764.19</v>
      </c>
      <c r="D68" s="53" t="inlineStr">
        <is>
          <t>2026-06-17</t>
        </is>
      </c>
    </row>
    <row r="69">
      <c r="A69" s="53" t="inlineStr">
        <is>
          <t>Jose Antonio Gallegos Alvarez</t>
        </is>
      </c>
      <c r="B69" s="53" t="inlineStr">
        <is>
          <t>Current</t>
        </is>
      </c>
      <c r="C69" s="53" t="n">
        <v>54757.04</v>
      </c>
      <c r="D69" s="53" t="inlineStr">
        <is>
          <t>2026-06-17</t>
        </is>
      </c>
    </row>
    <row r="70">
      <c r="A70" s="53" t="inlineStr">
        <is>
          <t>Jose Antonio Gallegos Alvarez</t>
        </is>
      </c>
      <c r="B70" s="53" t="inlineStr">
        <is>
          <t>1-30</t>
        </is>
      </c>
      <c r="C70" s="53" t="n">
        <v>1260</v>
      </c>
      <c r="D70" s="53" t="inlineStr">
        <is>
          <t>2026-06-17</t>
        </is>
      </c>
    </row>
    <row r="71">
      <c r="A71" s="53" t="inlineStr">
        <is>
          <t>Jose Antonio Gallegos Alvarez</t>
        </is>
      </c>
      <c r="B71" s="53" t="inlineStr">
        <is>
          <t>31-60</t>
        </is>
      </c>
      <c r="C71" s="53" t="n">
        <v>1962.2</v>
      </c>
      <c r="D71" s="53" t="inlineStr">
        <is>
          <t>2026-06-17</t>
        </is>
      </c>
    </row>
    <row r="72">
      <c r="A72" s="53" t="inlineStr">
        <is>
          <t>Jose Antonio Gallegos Alvarez</t>
        </is>
      </c>
      <c r="B72" s="53" t="inlineStr">
        <is>
          <t>61-90</t>
        </is>
      </c>
      <c r="C72" s="53" t="n">
        <v>6076.3</v>
      </c>
      <c r="D72" s="53" t="inlineStr">
        <is>
          <t>2026-06-17</t>
        </is>
      </c>
    </row>
    <row r="73">
      <c r="A73" s="53" t="inlineStr">
        <is>
          <t>Jose Antonio Gallegos Alvarez</t>
        </is>
      </c>
      <c r="B73" s="53" t="inlineStr">
        <is>
          <t>91+</t>
        </is>
      </c>
      <c r="C73" s="53" t="n">
        <v>7185.34</v>
      </c>
      <c r="D73" s="53" t="inlineStr">
        <is>
          <t>2026-06-17</t>
        </is>
      </c>
    </row>
    <row r="74">
      <c r="A74" s="53" t="inlineStr">
        <is>
          <t>JR Woodworks and Custom Cabinets LLC</t>
        </is>
      </c>
      <c r="B74" s="53" t="inlineStr">
        <is>
          <t>Current</t>
        </is>
      </c>
      <c r="C74" s="53" t="n">
        <v>6010</v>
      </c>
      <c r="D74" s="53" t="inlineStr">
        <is>
          <t>2026-06-17</t>
        </is>
      </c>
    </row>
    <row r="75">
      <c r="A75" s="53" t="inlineStr">
        <is>
          <t>JR Woodworks and Custom Cabinets LLC</t>
        </is>
      </c>
      <c r="B75" s="53" t="inlineStr">
        <is>
          <t>1-30</t>
        </is>
      </c>
      <c r="C75" s="53" t="n">
        <v>3890</v>
      </c>
      <c r="D75" s="53" t="inlineStr">
        <is>
          <t>2026-06-17</t>
        </is>
      </c>
    </row>
    <row r="76">
      <c r="A76" s="53" t="inlineStr">
        <is>
          <t>Julio Juarez (Expenses)</t>
        </is>
      </c>
      <c r="B76" s="53" t="inlineStr">
        <is>
          <t>Current</t>
        </is>
      </c>
      <c r="C76" s="53" t="n">
        <v>400</v>
      </c>
      <c r="D76" s="53" t="inlineStr">
        <is>
          <t>2026-06-17</t>
        </is>
      </c>
    </row>
    <row r="77">
      <c r="A77" s="53" t="inlineStr">
        <is>
          <t>Kelley Bros Hardware Corp</t>
        </is>
      </c>
      <c r="B77" s="53" t="inlineStr">
        <is>
          <t>91+</t>
        </is>
      </c>
      <c r="C77" s="53" t="n">
        <v>-369.15</v>
      </c>
      <c r="D77" s="53" t="inlineStr">
        <is>
          <t>2026-06-17</t>
        </is>
      </c>
    </row>
    <row r="78">
      <c r="A78" s="53" t="inlineStr">
        <is>
          <t>Kjt General Construction LLC (V)</t>
        </is>
      </c>
      <c r="B78" s="53" t="inlineStr">
        <is>
          <t>Current</t>
        </is>
      </c>
      <c r="C78" s="53" t="n">
        <v>8971.91</v>
      </c>
      <c r="D78" s="53" t="inlineStr">
        <is>
          <t>2026-06-17</t>
        </is>
      </c>
    </row>
    <row r="79">
      <c r="A79" s="53" t="inlineStr">
        <is>
          <t>Lanmor Services</t>
        </is>
      </c>
      <c r="B79" s="53" t="inlineStr">
        <is>
          <t>Current</t>
        </is>
      </c>
      <c r="C79" s="53" t="n">
        <v>2945.15</v>
      </c>
      <c r="D79" s="53" t="inlineStr">
        <is>
          <t>2026-06-17</t>
        </is>
      </c>
    </row>
    <row r="80">
      <c r="A80" s="53" t="inlineStr">
        <is>
          <t>LH Industrial</t>
        </is>
      </c>
      <c r="B80" s="53" t="inlineStr">
        <is>
          <t>Current</t>
        </is>
      </c>
      <c r="C80" s="53" t="n">
        <v>20346.53</v>
      </c>
      <c r="D80" s="53" t="inlineStr">
        <is>
          <t>2026-06-17</t>
        </is>
      </c>
    </row>
    <row r="81">
      <c r="A81" s="53" t="inlineStr">
        <is>
          <t>LH Industrial</t>
        </is>
      </c>
      <c r="B81" s="53" t="inlineStr">
        <is>
          <t>61-90</t>
        </is>
      </c>
      <c r="C81" s="53" t="n">
        <v>-117.52</v>
      </c>
      <c r="D81" s="53" t="inlineStr">
        <is>
          <t>2026-06-17</t>
        </is>
      </c>
    </row>
    <row r="82">
      <c r="A82" s="53" t="inlineStr">
        <is>
          <t>Lion's Construction LLC</t>
        </is>
      </c>
      <c r="B82" s="53" t="inlineStr">
        <is>
          <t>Current</t>
        </is>
      </c>
      <c r="C82" s="53" t="n">
        <v>3942.55</v>
      </c>
      <c r="D82" s="53" t="inlineStr">
        <is>
          <t>2026-06-17</t>
        </is>
      </c>
    </row>
    <row r="83">
      <c r="A83" s="53" t="inlineStr">
        <is>
          <t>Lion's Construction LLC</t>
        </is>
      </c>
      <c r="B83" s="53" t="inlineStr">
        <is>
          <t>91+</t>
        </is>
      </c>
      <c r="C83" s="53" t="n">
        <v>617.1</v>
      </c>
      <c r="D83" s="53" t="inlineStr">
        <is>
          <t>2026-06-17</t>
        </is>
      </c>
    </row>
    <row r="84">
      <c r="A84" s="53" t="inlineStr">
        <is>
          <t>LL Herrera LLC</t>
        </is>
      </c>
      <c r="B84" s="53" t="inlineStr">
        <is>
          <t>Current</t>
        </is>
      </c>
      <c r="C84" s="53" t="n">
        <v>3056.61</v>
      </c>
      <c r="D84" s="53" t="inlineStr">
        <is>
          <t>2026-06-17</t>
        </is>
      </c>
    </row>
    <row r="85">
      <c r="A85" s="53" t="inlineStr">
        <is>
          <t>Lot Construction, LLC (Omar)</t>
        </is>
      </c>
      <c r="B85" s="53" t="inlineStr">
        <is>
          <t>Current</t>
        </is>
      </c>
      <c r="C85" s="53" t="n">
        <v>1858.7</v>
      </c>
      <c r="D85" s="53" t="inlineStr">
        <is>
          <t>2026-06-17</t>
        </is>
      </c>
    </row>
    <row r="86">
      <c r="A86" s="53" t="inlineStr">
        <is>
          <t>Lot Construction, LLC (Omar)</t>
        </is>
      </c>
      <c r="B86" s="53" t="inlineStr">
        <is>
          <t>31-60</t>
        </is>
      </c>
      <c r="C86" s="53" t="n">
        <v>1293.6</v>
      </c>
      <c r="D86" s="53" t="inlineStr">
        <is>
          <t>2026-06-17</t>
        </is>
      </c>
    </row>
    <row r="87">
      <c r="A87" s="53" t="inlineStr">
        <is>
          <t>Lowe's</t>
        </is>
      </c>
      <c r="B87" s="53" t="inlineStr">
        <is>
          <t>Current</t>
        </is>
      </c>
      <c r="C87" s="53" t="n">
        <v>303594.49</v>
      </c>
      <c r="D87" s="53" t="inlineStr">
        <is>
          <t>2026-06-17</t>
        </is>
      </c>
    </row>
    <row r="88">
      <c r="A88" s="53" t="inlineStr">
        <is>
          <t>Lowe's</t>
        </is>
      </c>
      <c r="B88" s="53" t="inlineStr">
        <is>
          <t>1-30</t>
        </is>
      </c>
      <c r="C88" s="53" t="n">
        <v>14199.9</v>
      </c>
      <c r="D88" s="53" t="inlineStr">
        <is>
          <t>2026-06-17</t>
        </is>
      </c>
    </row>
    <row r="89">
      <c r="A89" s="53" t="inlineStr">
        <is>
          <t>Lowe's</t>
        </is>
      </c>
      <c r="B89" s="53" t="inlineStr">
        <is>
          <t>31-60</t>
        </is>
      </c>
      <c r="C89" s="53" t="n">
        <v>20320.44</v>
      </c>
      <c r="D89" s="53" t="inlineStr">
        <is>
          <t>2026-06-17</t>
        </is>
      </c>
    </row>
    <row r="90">
      <c r="A90" s="53" t="inlineStr">
        <is>
          <t>Lowe's</t>
        </is>
      </c>
      <c r="B90" s="53" t="inlineStr">
        <is>
          <t>91+</t>
        </is>
      </c>
      <c r="C90" s="53" t="n">
        <v>76.41</v>
      </c>
      <c r="D90" s="53" t="inlineStr">
        <is>
          <t>2026-06-17</t>
        </is>
      </c>
    </row>
    <row r="91">
      <c r="A91" s="53" t="inlineStr">
        <is>
          <t>Luis Ruiz (Expenses)</t>
        </is>
      </c>
      <c r="B91" s="53" t="inlineStr">
        <is>
          <t>1-30</t>
        </is>
      </c>
      <c r="C91" s="53" t="n">
        <v>100</v>
      </c>
      <c r="D91" s="53" t="inlineStr">
        <is>
          <t>2026-06-17</t>
        </is>
      </c>
    </row>
    <row r="92">
      <c r="A92" s="53" t="inlineStr">
        <is>
          <t>MacAllister Rentals (R)</t>
        </is>
      </c>
      <c r="B92" s="53" t="inlineStr">
        <is>
          <t>Current</t>
        </is>
      </c>
      <c r="C92" s="53" t="n">
        <v>47500.09</v>
      </c>
      <c r="D92" s="53" t="inlineStr">
        <is>
          <t>2026-06-17</t>
        </is>
      </c>
    </row>
    <row r="93">
      <c r="A93" s="53" t="inlineStr">
        <is>
          <t>MacAllister Rentals (R)</t>
        </is>
      </c>
      <c r="B93" s="53" t="inlineStr">
        <is>
          <t>91+</t>
        </is>
      </c>
      <c r="C93" s="53" t="n">
        <v>-133.75</v>
      </c>
      <c r="D93" s="53" t="inlineStr">
        <is>
          <t>2026-06-17</t>
        </is>
      </c>
    </row>
    <row r="94">
      <c r="A94" s="53" t="inlineStr">
        <is>
          <t>Mariona Construction LLC</t>
        </is>
      </c>
      <c r="B94" s="53" t="inlineStr">
        <is>
          <t>Current</t>
        </is>
      </c>
      <c r="C94" s="53" t="n">
        <v>5328.35</v>
      </c>
      <c r="D94" s="53" t="inlineStr">
        <is>
          <t>2026-06-17</t>
        </is>
      </c>
    </row>
    <row r="95">
      <c r="A95" s="53" t="inlineStr">
        <is>
          <t>Mendoza Construction LLC (V)</t>
        </is>
      </c>
      <c r="B95" s="53" t="inlineStr">
        <is>
          <t>Current</t>
        </is>
      </c>
      <c r="C95" s="53" t="n">
        <v>146738.27</v>
      </c>
      <c r="D95" s="53" t="inlineStr">
        <is>
          <t>2026-06-17</t>
        </is>
      </c>
    </row>
    <row r="96">
      <c r="A96" s="53" t="inlineStr">
        <is>
          <t>Mendoza Construction LLC (V)</t>
        </is>
      </c>
      <c r="B96" s="53" t="inlineStr">
        <is>
          <t>1-30</t>
        </is>
      </c>
      <c r="C96" s="53" t="n">
        <v>3000</v>
      </c>
      <c r="D96" s="53" t="inlineStr">
        <is>
          <t>2026-06-17</t>
        </is>
      </c>
    </row>
    <row r="97">
      <c r="A97" s="53" t="inlineStr">
        <is>
          <t>Mendoza Construction LLC (V)</t>
        </is>
      </c>
      <c r="B97" s="53" t="inlineStr">
        <is>
          <t>31-60</t>
        </is>
      </c>
      <c r="C97" s="53" t="n">
        <v>3736.5</v>
      </c>
      <c r="D97" s="53" t="inlineStr">
        <is>
          <t>2026-06-17</t>
        </is>
      </c>
    </row>
    <row r="98">
      <c r="A98" s="53" t="inlineStr">
        <is>
          <t>Mendoza Construction LLC (V)</t>
        </is>
      </c>
      <c r="B98" s="53" t="inlineStr">
        <is>
          <t>91+</t>
        </is>
      </c>
      <c r="C98" s="53" t="n">
        <v>9485.379999999999</v>
      </c>
      <c r="D98" s="53" t="inlineStr">
        <is>
          <t>2026-06-17</t>
        </is>
      </c>
    </row>
    <row r="99">
      <c r="A99" s="53" t="inlineStr">
        <is>
          <t>Mendoza Innovations, LLC</t>
        </is>
      </c>
      <c r="B99" s="53" t="inlineStr">
        <is>
          <t>1-30</t>
        </is>
      </c>
      <c r="C99" s="53" t="n">
        <v>46637.84</v>
      </c>
      <c r="D99" s="53" t="inlineStr">
        <is>
          <t>2026-06-17</t>
        </is>
      </c>
    </row>
    <row r="100">
      <c r="A100" s="53" t="inlineStr">
        <is>
          <t>Mirabito Energy Products</t>
        </is>
      </c>
      <c r="B100" s="53" t="inlineStr">
        <is>
          <t>Current</t>
        </is>
      </c>
      <c r="C100" s="53" t="n">
        <v>110.13</v>
      </c>
      <c r="D100" s="53" t="inlineStr">
        <is>
          <t>2026-06-17</t>
        </is>
      </c>
    </row>
    <row r="101">
      <c r="A101" s="53" t="inlineStr">
        <is>
          <t>Mirabito Energy Products</t>
        </is>
      </c>
      <c r="B101" s="53" t="inlineStr">
        <is>
          <t>1-30</t>
        </is>
      </c>
      <c r="C101" s="53" t="n">
        <v>100.84</v>
      </c>
      <c r="D101" s="53" t="inlineStr">
        <is>
          <t>2026-06-17</t>
        </is>
      </c>
    </row>
    <row r="102">
      <c r="A102" s="53" t="inlineStr">
        <is>
          <t>Miracle Painting LLC - Jose Otoya</t>
        </is>
      </c>
      <c r="B102" s="53" t="inlineStr">
        <is>
          <t>Current</t>
        </is>
      </c>
      <c r="C102" s="53" t="n">
        <v>3054.15</v>
      </c>
      <c r="D102" s="53" t="inlineStr">
        <is>
          <t>2026-06-17</t>
        </is>
      </c>
    </row>
    <row r="103">
      <c r="A103" s="53" t="inlineStr">
        <is>
          <t>Nemix Painting &amp; Construction LLC</t>
        </is>
      </c>
      <c r="B103" s="53" t="inlineStr">
        <is>
          <t>Current</t>
        </is>
      </c>
      <c r="C103" s="53" t="n">
        <v>60338.96</v>
      </c>
      <c r="D103" s="53" t="inlineStr">
        <is>
          <t>2026-06-17</t>
        </is>
      </c>
    </row>
    <row r="104">
      <c r="A104" s="53" t="inlineStr">
        <is>
          <t>Nemix Painting &amp; Construction LLC</t>
        </is>
      </c>
      <c r="B104" s="53" t="inlineStr">
        <is>
          <t>1-30</t>
        </is>
      </c>
      <c r="C104" s="53" t="n">
        <v>1985.5</v>
      </c>
      <c r="D104" s="53" t="inlineStr">
        <is>
          <t>2026-06-17</t>
        </is>
      </c>
    </row>
    <row r="105">
      <c r="A105" s="53" t="inlineStr">
        <is>
          <t>Nemix Painting &amp; Construction LLC</t>
        </is>
      </c>
      <c r="B105" s="53" t="inlineStr">
        <is>
          <t>61-90</t>
        </is>
      </c>
      <c r="C105" s="53" t="n">
        <v>11248.05</v>
      </c>
      <c r="D105" s="53" t="inlineStr">
        <is>
          <t>2026-06-17</t>
        </is>
      </c>
    </row>
    <row r="106">
      <c r="A106" s="53" t="inlineStr">
        <is>
          <t>Nemix Painting &amp; Construction LLC</t>
        </is>
      </c>
      <c r="B106" s="53" t="inlineStr">
        <is>
          <t>91+</t>
        </is>
      </c>
      <c r="C106" s="53" t="n">
        <v>8485.76</v>
      </c>
      <c r="D106" s="53" t="inlineStr">
        <is>
          <t>2026-06-17</t>
        </is>
      </c>
    </row>
    <row r="107">
      <c r="A107" s="53" t="inlineStr">
        <is>
          <t>Oaks Dumpster Rental</t>
        </is>
      </c>
      <c r="B107" s="53" t="inlineStr">
        <is>
          <t>Current</t>
        </is>
      </c>
      <c r="C107" s="53" t="n">
        <v>960.22</v>
      </c>
      <c r="D107" s="53" t="inlineStr">
        <is>
          <t>2026-06-17</t>
        </is>
      </c>
    </row>
    <row r="108">
      <c r="A108" s="53" t="inlineStr">
        <is>
          <t>Ociel Medina (Gem Interiors)</t>
        </is>
      </c>
      <c r="B108" s="53" t="inlineStr">
        <is>
          <t>Current</t>
        </is>
      </c>
      <c r="C108" s="53" t="n">
        <v>6101.04</v>
      </c>
      <c r="D108" s="53" t="inlineStr">
        <is>
          <t>2026-06-17</t>
        </is>
      </c>
    </row>
    <row r="109">
      <c r="A109" s="53" t="inlineStr">
        <is>
          <t>Oliverio Mejia H, LLC</t>
        </is>
      </c>
      <c r="B109" s="53" t="inlineStr">
        <is>
          <t>Current</t>
        </is>
      </c>
      <c r="C109" s="53" t="n">
        <v>2821.6</v>
      </c>
      <c r="D109" s="53" t="inlineStr">
        <is>
          <t>2026-06-17</t>
        </is>
      </c>
    </row>
    <row r="110">
      <c r="A110" s="53" t="inlineStr">
        <is>
          <t>Oliverio Mejia H, LLC</t>
        </is>
      </c>
      <c r="B110" s="53" t="inlineStr">
        <is>
          <t>1-30</t>
        </is>
      </c>
      <c r="C110" s="53" t="n">
        <v>2385</v>
      </c>
      <c r="D110" s="53" t="inlineStr">
        <is>
          <t>2026-06-17</t>
        </is>
      </c>
    </row>
    <row r="111">
      <c r="A111" s="53" t="inlineStr">
        <is>
          <t>On-Site Supply</t>
        </is>
      </c>
      <c r="B111" s="53" t="inlineStr">
        <is>
          <t>Current</t>
        </is>
      </c>
      <c r="C111" s="53" t="n">
        <v>1143.4</v>
      </c>
      <c r="D111" s="53" t="inlineStr">
        <is>
          <t>2026-06-17</t>
        </is>
      </c>
    </row>
    <row r="112">
      <c r="A112" s="53" t="inlineStr">
        <is>
          <t>Osorio Construction LLC (Rene)</t>
        </is>
      </c>
      <c r="B112" s="53" t="inlineStr">
        <is>
          <t>Current</t>
        </is>
      </c>
      <c r="C112" s="53" t="n">
        <v>8015</v>
      </c>
      <c r="D112" s="53" t="inlineStr">
        <is>
          <t>2026-06-17</t>
        </is>
      </c>
    </row>
    <row r="113">
      <c r="A113" s="53" t="inlineStr">
        <is>
          <t>Pomp's Tire Service, Inc.</t>
        </is>
      </c>
      <c r="B113" s="53" t="inlineStr">
        <is>
          <t>Current</t>
        </is>
      </c>
      <c r="C113" s="53" t="n">
        <v>383.71</v>
      </c>
      <c r="D113" s="53" t="inlineStr">
        <is>
          <t>2026-06-17</t>
        </is>
      </c>
    </row>
    <row r="114">
      <c r="A114" s="53" t="inlineStr">
        <is>
          <t>Precise Tile and Stone LLC</t>
        </is>
      </c>
      <c r="B114" s="53" t="inlineStr">
        <is>
          <t>Current</t>
        </is>
      </c>
      <c r="C114" s="53" t="n">
        <v>3099.87</v>
      </c>
      <c r="D114" s="53" t="inlineStr">
        <is>
          <t>2026-06-17</t>
        </is>
      </c>
    </row>
    <row r="115">
      <c r="A115" s="53" t="inlineStr">
        <is>
          <t>Precision Doors &amp; Hardware</t>
        </is>
      </c>
      <c r="B115" s="53" t="inlineStr">
        <is>
          <t>91+</t>
        </is>
      </c>
      <c r="C115" s="53" t="n">
        <v>6000</v>
      </c>
      <c r="D115" s="53" t="inlineStr">
        <is>
          <t>2026-06-17</t>
        </is>
      </c>
    </row>
    <row r="116">
      <c r="A116" s="53" t="inlineStr">
        <is>
          <t>Prime Drywall Services LLC</t>
        </is>
      </c>
      <c r="B116" s="53" t="inlineStr">
        <is>
          <t>Current</t>
        </is>
      </c>
      <c r="C116" s="53" t="n">
        <v>92882.96000000001</v>
      </c>
      <c r="D116" s="53" t="inlineStr">
        <is>
          <t>2026-06-17</t>
        </is>
      </c>
    </row>
    <row r="117">
      <c r="A117" s="53" t="inlineStr">
        <is>
          <t>Prime Drywall Services LLC</t>
        </is>
      </c>
      <c r="B117" s="53" t="inlineStr">
        <is>
          <t>31-60</t>
        </is>
      </c>
      <c r="C117" s="53" t="n">
        <v>3000</v>
      </c>
      <c r="D117" s="53" t="inlineStr">
        <is>
          <t>2026-06-17</t>
        </is>
      </c>
    </row>
    <row r="118">
      <c r="A118" s="53" t="inlineStr">
        <is>
          <t>Prime Drywall Services LLC</t>
        </is>
      </c>
      <c r="B118" s="53" t="inlineStr">
        <is>
          <t>61-90</t>
        </is>
      </c>
      <c r="C118" s="53" t="n">
        <v>404.64</v>
      </c>
      <c r="D118" s="53" t="inlineStr">
        <is>
          <t>2026-06-17</t>
        </is>
      </c>
    </row>
    <row r="119">
      <c r="A119" s="53" t="inlineStr">
        <is>
          <t>Prime Drywall Services LLC</t>
        </is>
      </c>
      <c r="B119" s="53" t="inlineStr">
        <is>
          <t>91+</t>
        </is>
      </c>
      <c r="C119" s="53" t="n">
        <v>3200.56</v>
      </c>
      <c r="D119" s="53" t="inlineStr">
        <is>
          <t>2026-06-17</t>
        </is>
      </c>
    </row>
    <row r="120">
      <c r="A120" s="53" t="inlineStr">
        <is>
          <t>Professional Handling and Distribution</t>
        </is>
      </c>
      <c r="B120" s="53" t="inlineStr">
        <is>
          <t>Current</t>
        </is>
      </c>
      <c r="C120" s="53" t="n">
        <v>8356.219999999999</v>
      </c>
      <c r="D120" s="53" t="inlineStr">
        <is>
          <t>2026-06-17</t>
        </is>
      </c>
    </row>
    <row r="121">
      <c r="A121" s="53" t="inlineStr">
        <is>
          <t>ProMasters Drywall &amp; Painting</t>
        </is>
      </c>
      <c r="B121" s="53" t="inlineStr">
        <is>
          <t>1-30</t>
        </is>
      </c>
      <c r="C121" s="53" t="n">
        <v>1770</v>
      </c>
      <c r="D121" s="53" t="inlineStr">
        <is>
          <t>2026-06-17</t>
        </is>
      </c>
    </row>
    <row r="122">
      <c r="A122" s="53" t="inlineStr">
        <is>
          <t>Reliable Access LLC</t>
        </is>
      </c>
      <c r="B122" s="53" t="inlineStr">
        <is>
          <t>1-30</t>
        </is>
      </c>
      <c r="C122" s="53" t="n">
        <v>275</v>
      </c>
      <c r="D122" s="53" t="inlineStr">
        <is>
          <t>2026-06-17</t>
        </is>
      </c>
    </row>
    <row r="123">
      <c r="A123" s="53" t="inlineStr">
        <is>
          <t>RGT Construction LLC</t>
        </is>
      </c>
      <c r="B123" s="53" t="inlineStr">
        <is>
          <t>91+</t>
        </is>
      </c>
      <c r="C123" s="53" t="n">
        <v>346.5</v>
      </c>
      <c r="D123" s="53" t="inlineStr">
        <is>
          <t>2026-06-17</t>
        </is>
      </c>
    </row>
    <row r="124">
      <c r="A124" s="53" t="inlineStr">
        <is>
          <t>Riteway Tool &amp; Fasteners</t>
        </is>
      </c>
      <c r="B124" s="53" t="inlineStr">
        <is>
          <t>Current</t>
        </is>
      </c>
      <c r="C124" s="53" t="n">
        <v>17855.06</v>
      </c>
      <c r="D124" s="53" t="inlineStr">
        <is>
          <t>2026-06-17</t>
        </is>
      </c>
    </row>
    <row r="125">
      <c r="A125" s="53" t="inlineStr">
        <is>
          <t>Riteway Tool &amp; Fasteners</t>
        </is>
      </c>
      <c r="B125" s="53" t="inlineStr">
        <is>
          <t>91+</t>
        </is>
      </c>
      <c r="C125" s="53" t="n">
        <v>-44.73</v>
      </c>
      <c r="D125" s="53" t="inlineStr">
        <is>
          <t>2026-06-17</t>
        </is>
      </c>
    </row>
    <row r="126">
      <c r="A126" s="53" t="inlineStr">
        <is>
          <t>RWR 504 Construction LLC</t>
        </is>
      </c>
      <c r="B126" s="53" t="inlineStr">
        <is>
          <t>Current</t>
        </is>
      </c>
      <c r="C126" s="53" t="n">
        <v>2280</v>
      </c>
      <c r="D126" s="53" t="inlineStr">
        <is>
          <t>2026-06-17</t>
        </is>
      </c>
    </row>
    <row r="127">
      <c r="A127" s="53" t="inlineStr">
        <is>
          <t>Sandra Yanett Ayala LLC</t>
        </is>
      </c>
      <c r="B127" s="53" t="inlineStr">
        <is>
          <t>Current</t>
        </is>
      </c>
      <c r="C127" s="53" t="n">
        <v>5476.52</v>
      </c>
      <c r="D127" s="53" t="inlineStr">
        <is>
          <t>2026-06-17</t>
        </is>
      </c>
    </row>
    <row r="128">
      <c r="A128" s="53" t="inlineStr">
        <is>
          <t>Sandra Yanett Ayala LLC</t>
        </is>
      </c>
      <c r="B128" s="53" t="inlineStr">
        <is>
          <t>31-60</t>
        </is>
      </c>
      <c r="C128" s="53" t="n">
        <v>2668.78</v>
      </c>
      <c r="D128" s="53" t="inlineStr">
        <is>
          <t>2026-06-17</t>
        </is>
      </c>
    </row>
    <row r="129">
      <c r="A129" s="53" t="inlineStr">
        <is>
          <t>Sandra Yanett Ayala LLC</t>
        </is>
      </c>
      <c r="B129" s="53" t="inlineStr">
        <is>
          <t>61-90</t>
        </is>
      </c>
      <c r="C129" s="53" t="n">
        <v>7456.06</v>
      </c>
      <c r="D129" s="53" t="inlineStr">
        <is>
          <t>2026-06-17</t>
        </is>
      </c>
    </row>
    <row r="130">
      <c r="A130" s="53" t="inlineStr">
        <is>
          <t>Saravia Drywall, LLC</t>
        </is>
      </c>
      <c r="B130" s="53" t="inlineStr">
        <is>
          <t>Current</t>
        </is>
      </c>
      <c r="C130" s="53" t="n">
        <v>11280</v>
      </c>
      <c r="D130" s="53" t="inlineStr">
        <is>
          <t>2026-06-17</t>
        </is>
      </c>
    </row>
    <row r="131">
      <c r="A131" s="53" t="inlineStr">
        <is>
          <t>Shaevitz Construction Inc.</t>
        </is>
      </c>
      <c r="B131" s="53" t="inlineStr">
        <is>
          <t>Current</t>
        </is>
      </c>
      <c r="C131" s="53" t="n">
        <v>2277.46</v>
      </c>
      <c r="D131" s="53" t="inlineStr">
        <is>
          <t>2026-06-17</t>
        </is>
      </c>
    </row>
    <row r="132">
      <c r="A132" s="53" t="inlineStr">
        <is>
          <t>Sherwin Williams</t>
        </is>
      </c>
      <c r="B132" s="53" t="inlineStr">
        <is>
          <t>Current</t>
        </is>
      </c>
      <c r="C132" s="53" t="n">
        <v>203177.5</v>
      </c>
      <c r="D132" s="53" t="inlineStr">
        <is>
          <t>2026-06-17</t>
        </is>
      </c>
    </row>
    <row r="133">
      <c r="A133" s="53" t="inlineStr">
        <is>
          <t>Sherwin Williams</t>
        </is>
      </c>
      <c r="B133" s="53" t="inlineStr">
        <is>
          <t>1-30</t>
        </is>
      </c>
      <c r="C133" s="53" t="n">
        <v>1839.06</v>
      </c>
      <c r="D133" s="53" t="inlineStr">
        <is>
          <t>2026-06-17</t>
        </is>
      </c>
    </row>
    <row r="134">
      <c r="A134" s="53" t="inlineStr">
        <is>
          <t>Sherwin Williams</t>
        </is>
      </c>
      <c r="B134" s="53" t="inlineStr">
        <is>
          <t>31-60</t>
        </is>
      </c>
      <c r="C134" s="53" t="n">
        <v>-10.27</v>
      </c>
      <c r="D134" s="53" t="inlineStr">
        <is>
          <t>2026-06-17</t>
        </is>
      </c>
    </row>
    <row r="135">
      <c r="A135" s="53" t="inlineStr">
        <is>
          <t>Sherwin Williams</t>
        </is>
      </c>
      <c r="B135" s="53" t="inlineStr">
        <is>
          <t>61-90</t>
        </is>
      </c>
      <c r="C135" s="53" t="n">
        <v>-486.97</v>
      </c>
      <c r="D135" s="53" t="inlineStr">
        <is>
          <t>2026-06-17</t>
        </is>
      </c>
    </row>
    <row r="136">
      <c r="A136" s="53" t="inlineStr">
        <is>
          <t>Sherwin Williams</t>
        </is>
      </c>
      <c r="B136" s="53" t="inlineStr">
        <is>
          <t>91+</t>
        </is>
      </c>
      <c r="C136" s="53" t="n">
        <v>-494.67</v>
      </c>
      <c r="D136" s="53" t="inlineStr">
        <is>
          <t>2026-06-17</t>
        </is>
      </c>
    </row>
    <row r="137">
      <c r="A137" s="53" t="inlineStr">
        <is>
          <t>Southwest Solutions Group, Inc.</t>
        </is>
      </c>
      <c r="B137" s="53" t="inlineStr">
        <is>
          <t>Current</t>
        </is>
      </c>
      <c r="C137" s="53" t="n">
        <v>1080</v>
      </c>
      <c r="D137" s="53" t="inlineStr">
        <is>
          <t>2026-06-17</t>
        </is>
      </c>
    </row>
    <row r="138">
      <c r="A138" s="53" t="inlineStr">
        <is>
          <t>Sunbelt Rentals Inc.</t>
        </is>
      </c>
      <c r="B138" s="53" t="inlineStr">
        <is>
          <t>Current</t>
        </is>
      </c>
      <c r="C138" s="53" t="n">
        <v>1907.34</v>
      </c>
      <c r="D138" s="53" t="inlineStr">
        <is>
          <t>2026-06-17</t>
        </is>
      </c>
    </row>
    <row r="139">
      <c r="A139" s="53" t="inlineStr">
        <is>
          <t>The Best Tile Installation (Nagio Company LLC)</t>
        </is>
      </c>
      <c r="B139" s="53" t="inlineStr">
        <is>
          <t>Current</t>
        </is>
      </c>
      <c r="C139" s="53" t="n">
        <v>833.75</v>
      </c>
      <c r="D139" s="53" t="inlineStr">
        <is>
          <t>2026-06-17</t>
        </is>
      </c>
    </row>
    <row r="140">
      <c r="A140" s="53" t="inlineStr">
        <is>
          <t>Top Team Quality Building LLC</t>
        </is>
      </c>
      <c r="B140" s="53" t="inlineStr">
        <is>
          <t>Current</t>
        </is>
      </c>
      <c r="C140" s="53" t="n">
        <v>5378.2</v>
      </c>
      <c r="D140" s="53" t="inlineStr">
        <is>
          <t>2026-06-17</t>
        </is>
      </c>
    </row>
    <row r="141">
      <c r="A141" s="53" t="inlineStr">
        <is>
          <t>Top Team Quality Building LLC</t>
        </is>
      </c>
      <c r="B141" s="53" t="inlineStr">
        <is>
          <t>31-60</t>
        </is>
      </c>
      <c r="C141" s="53" t="n">
        <v>819.2</v>
      </c>
      <c r="D141" s="53" t="inlineStr">
        <is>
          <t>2026-06-17</t>
        </is>
      </c>
    </row>
    <row r="142">
      <c r="A142" s="53" t="inlineStr">
        <is>
          <t>United (GMS)/Cherokee Building Materials</t>
        </is>
      </c>
      <c r="B142" s="53" t="inlineStr">
        <is>
          <t>Current</t>
        </is>
      </c>
      <c r="C142" s="53" t="n">
        <v>177526.44</v>
      </c>
      <c r="D142" s="53" t="inlineStr">
        <is>
          <t>2026-06-17</t>
        </is>
      </c>
    </row>
    <row r="143">
      <c r="A143" s="53" t="inlineStr">
        <is>
          <t>United Rentals Inc.</t>
        </is>
      </c>
      <c r="B143" s="53" t="inlineStr">
        <is>
          <t>Current</t>
        </is>
      </c>
      <c r="C143" s="53" t="n">
        <v>50995.72</v>
      </c>
      <c r="D143" s="53" t="inlineStr">
        <is>
          <t>2026-06-17</t>
        </is>
      </c>
    </row>
    <row r="144">
      <c r="A144" s="53" t="inlineStr">
        <is>
          <t>Valley Interior Products (GMS)</t>
        </is>
      </c>
      <c r="B144" s="53" t="inlineStr">
        <is>
          <t>Current</t>
        </is>
      </c>
      <c r="C144" s="53" t="n">
        <v>302.7</v>
      </c>
      <c r="D144" s="53" t="inlineStr">
        <is>
          <t>2026-06-17</t>
        </is>
      </c>
    </row>
    <row r="145">
      <c r="A145" s="53" t="inlineStr">
        <is>
          <t>Valley Interior Products (GMS)</t>
        </is>
      </c>
      <c r="B145" s="53" t="inlineStr">
        <is>
          <t>91+</t>
        </is>
      </c>
      <c r="C145" s="53" t="n">
        <v>-1141.64</v>
      </c>
      <c r="D145" s="53" t="inlineStr">
        <is>
          <t>2026-06-17</t>
        </is>
      </c>
    </row>
    <row r="146">
      <c r="A146" s="53" t="inlineStr">
        <is>
          <t>Victor Garza (Expenses)</t>
        </is>
      </c>
      <c r="B146" s="53" t="inlineStr">
        <is>
          <t>31-60</t>
        </is>
      </c>
      <c r="C146" s="53" t="n">
        <v>165.68</v>
      </c>
      <c r="D146" s="53" t="inlineStr">
        <is>
          <t>2026-06-17</t>
        </is>
      </c>
    </row>
    <row r="147">
      <c r="A147" s="53" t="inlineStr">
        <is>
          <t>White Cap, L.P.</t>
        </is>
      </c>
      <c r="B147" s="53" t="inlineStr">
        <is>
          <t>Current</t>
        </is>
      </c>
      <c r="C147" s="53" t="n">
        <v>467.79</v>
      </c>
      <c r="D147" s="53" t="inlineStr">
        <is>
          <t>2026-06-17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9AA3B2"/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4" customWidth="1" min="5" max="5"/>
    <col width="14" customWidth="1" min="6" max="6"/>
    <col width="14" customWidth="1" min="7" max="7"/>
    <col width="16" customWidth="1" min="8" max="8"/>
    <col width="11" customWidth="1" min="9" max="9"/>
    <col width="14" customWidth="1" min="10" max="10"/>
    <col width="13" customWidth="1" min="11" max="11"/>
  </cols>
  <sheetData>
    <row r="1">
      <c r="A1" s="40" t="inlineStr">
        <is>
          <t>Date</t>
        </is>
      </c>
      <c r="B1" s="40" t="inlineStr">
        <is>
          <t>CashBalance</t>
        </is>
      </c>
      <c r="C1" s="40" t="inlineStr">
        <is>
          <t>LOCDrawn</t>
        </is>
      </c>
      <c r="D1" s="40" t="inlineStr">
        <is>
          <t>LOCCapX</t>
        </is>
      </c>
      <c r="E1" s="40" t="inlineStr">
        <is>
          <t>OperatingCF</t>
        </is>
      </c>
      <c r="F1" s="40" t="inlineStr">
        <is>
          <t>InvestingCF</t>
        </is>
      </c>
      <c r="G1" s="40" t="inlineStr">
        <is>
          <t>FinancingCF</t>
        </is>
      </c>
      <c r="H1" s="40" t="inlineStr">
        <is>
          <t>NetCashChange</t>
        </is>
      </c>
      <c r="I1" s="40" t="inlineStr">
        <is>
          <t>LOCLimit</t>
        </is>
      </c>
      <c r="J1" s="40" t="inlineStr">
        <is>
          <t>AdvanceRate</t>
        </is>
      </c>
      <c r="K1" s="40" t="inlineStr">
        <is>
          <t>EligibleAR</t>
        </is>
      </c>
    </row>
    <row r="2">
      <c r="A2" s="53" t="inlineStr">
        <is>
          <t>2026-06-17</t>
        </is>
      </c>
      <c r="B2" s="53" t="n">
        <v>-54623.3</v>
      </c>
      <c r="C2" s="53" t="n">
        <v>5440076.95</v>
      </c>
      <c r="D2" s="53" t="n">
        <v>333834.01</v>
      </c>
      <c r="E2" s="53" t="n">
        <v>1708994.16</v>
      </c>
      <c r="F2" s="53" t="n">
        <v>212852.1</v>
      </c>
      <c r="G2" s="53" t="n">
        <v>-1650418.17</v>
      </c>
      <c r="H2" s="53" t="n">
        <v>271428.09</v>
      </c>
      <c r="I2" s="53" t="n">
        <v>8000000</v>
      </c>
      <c r="J2" s="53" t="n">
        <v>0.8</v>
      </c>
      <c r="K2" s="53" t="n">
        <v>12986875.87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9AA3B2"/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4" customWidth="1" min="4" max="4"/>
    <col width="13" customWidth="1" min="5" max="5"/>
    <col width="11" customWidth="1" min="6" max="6"/>
  </cols>
  <sheetData>
    <row r="1">
      <c r="A1" s="40" t="inlineStr">
        <is>
          <t>DivKey</t>
        </is>
      </c>
      <c r="B1" s="40" t="inlineStr">
        <is>
          <t>Period</t>
        </is>
      </c>
      <c r="C1" s="40" t="inlineStr">
        <is>
          <t>ContractTotal</t>
        </is>
      </c>
      <c r="D1" s="40" t="inlineStr">
        <is>
          <t>BudgetTotal</t>
        </is>
      </c>
      <c r="E1" s="40" t="inlineStr">
        <is>
          <t>ActualCost</t>
        </is>
      </c>
      <c r="F1" s="40" t="inlineStr">
        <is>
          <t>Invoiced</t>
        </is>
      </c>
    </row>
    <row r="2">
      <c r="A2" s="53" t="inlineStr">
        <is>
          <t>DW</t>
        </is>
      </c>
      <c r="B2" s="53" t="inlineStr">
        <is>
          <t>Active</t>
        </is>
      </c>
      <c r="C2" s="53" t="n">
        <v>2247021.73</v>
      </c>
      <c r="D2" s="53" t="n">
        <v>0</v>
      </c>
      <c r="E2" s="53" t="n">
        <v>1384395.09</v>
      </c>
      <c r="F2" s="53" t="n">
        <v>2037196.92</v>
      </c>
    </row>
    <row r="3">
      <c r="A3" s="53" t="inlineStr">
        <is>
          <t>MF</t>
        </is>
      </c>
      <c r="B3" s="53" t="inlineStr">
        <is>
          <t>Active</t>
        </is>
      </c>
      <c r="C3" s="53" t="n">
        <v>41385804.97</v>
      </c>
      <c r="D3" s="53" t="n">
        <v>28976033.19</v>
      </c>
      <c r="E3" s="53" t="n">
        <v>18096438.15</v>
      </c>
      <c r="F3" s="53" t="n">
        <v>22703258.15</v>
      </c>
    </row>
    <row r="4">
      <c r="A4" s="53" t="inlineStr">
        <is>
          <t>TI</t>
        </is>
      </c>
      <c r="B4" s="53" t="inlineStr">
        <is>
          <t>Active</t>
        </is>
      </c>
      <c r="C4" s="53" t="n">
        <v>23623992.86</v>
      </c>
      <c r="D4" s="53" t="n">
        <v>14432142.97</v>
      </c>
      <c r="E4" s="53" t="n">
        <v>13561203.47</v>
      </c>
      <c r="F4" s="53" t="n">
        <v>20986986.32</v>
      </c>
    </row>
    <row r="5">
      <c r="A5" s="53" t="inlineStr">
        <is>
          <t>UN</t>
        </is>
      </c>
      <c r="B5" s="53" t="inlineStr">
        <is>
          <t>Active</t>
        </is>
      </c>
      <c r="C5" s="53" t="n">
        <v>1481553.28</v>
      </c>
      <c r="D5" s="53" t="n">
        <v>414032</v>
      </c>
      <c r="E5" s="53" t="n">
        <v>1412587.72</v>
      </c>
      <c r="F5" s="53" t="n">
        <v>1123244.28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9AA3B2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40" t="inlineStr">
        <is>
          <t>Account</t>
        </is>
      </c>
      <c r="B1" s="40" t="inlineStr">
        <is>
          <t>Section</t>
        </is>
      </c>
      <c r="C1" s="40" t="inlineStr">
        <is>
          <t>Amount</t>
        </is>
      </c>
      <c r="D1" s="40" t="inlineStr">
        <is>
          <t>AsOfDate</t>
        </is>
      </c>
    </row>
    <row r="2">
      <c r="A2" s="53" t="inlineStr">
        <is>
          <t>Cash</t>
        </is>
      </c>
      <c r="B2" s="53" t="inlineStr">
        <is>
          <t>Assets</t>
        </is>
      </c>
      <c r="C2" s="53" t="n">
        <v>-54623.3</v>
      </c>
      <c r="D2" s="53" t="inlineStr">
        <is>
          <t>2026-06-17</t>
        </is>
      </c>
    </row>
    <row r="3">
      <c r="A3" s="53" t="inlineStr">
        <is>
          <t>Accounts Receivable</t>
        </is>
      </c>
      <c r="B3" s="53" t="inlineStr">
        <is>
          <t>Assets</t>
        </is>
      </c>
      <c r="C3" s="53" t="n">
        <v>12986875.87</v>
      </c>
      <c r="D3" s="53" t="inlineStr">
        <is>
          <t>2026-06-17</t>
        </is>
      </c>
    </row>
    <row r="4">
      <c r="A4" s="53" t="inlineStr">
        <is>
          <t>Retainage Receivable</t>
        </is>
      </c>
      <c r="B4" s="53" t="inlineStr">
        <is>
          <t>Assets</t>
        </is>
      </c>
      <c r="C4" s="53" t="n">
        <v>3136194.46</v>
      </c>
      <c r="D4" s="53" t="inlineStr">
        <is>
          <t>2026-06-17</t>
        </is>
      </c>
    </row>
    <row r="5">
      <c r="A5" s="53" t="inlineStr">
        <is>
          <t>Drywall Inventory</t>
        </is>
      </c>
      <c r="B5" s="53" t="inlineStr">
        <is>
          <t>Assets</t>
        </is>
      </c>
      <c r="C5" s="53" t="n">
        <v>593395.59</v>
      </c>
      <c r="D5" s="53" t="inlineStr">
        <is>
          <t>2026-06-17</t>
        </is>
      </c>
    </row>
    <row r="6">
      <c r="A6" s="53" t="inlineStr">
        <is>
          <t>WIP Underbillings</t>
        </is>
      </c>
      <c r="B6" s="53" t="inlineStr">
        <is>
          <t>Assets</t>
        </is>
      </c>
      <c r="C6" s="53" t="n">
        <v>2889941.58</v>
      </c>
      <c r="D6" s="53" t="inlineStr">
        <is>
          <t>2026-06-17</t>
        </is>
      </c>
    </row>
    <row r="7">
      <c r="A7" s="53" t="inlineStr">
        <is>
          <t>Other Current Assets (net)</t>
        </is>
      </c>
      <c r="B7" s="53" t="inlineStr">
        <is>
          <t>Assets</t>
        </is>
      </c>
      <c r="C7" s="53" t="n">
        <v>82113.84</v>
      </c>
      <c r="D7" s="53" t="inlineStr">
        <is>
          <t>2026-06-17</t>
        </is>
      </c>
    </row>
    <row r="8">
      <c r="A8" s="53" t="inlineStr">
        <is>
          <t>Fixed Assets</t>
        </is>
      </c>
      <c r="B8" s="53" t="inlineStr">
        <is>
          <t>Assets</t>
        </is>
      </c>
      <c r="C8" s="53" t="n">
        <v>694113.61</v>
      </c>
      <c r="D8" s="53" t="inlineStr">
        <is>
          <t>2026-06-17</t>
        </is>
      </c>
    </row>
    <row r="9">
      <c r="A9" s="53" t="inlineStr">
        <is>
          <t>Other Assets</t>
        </is>
      </c>
      <c r="B9" s="53" t="inlineStr">
        <is>
          <t>Assets</t>
        </is>
      </c>
      <c r="C9" s="53" t="n">
        <v>2223043.34</v>
      </c>
      <c r="D9" s="53" t="inlineStr">
        <is>
          <t>2026-06-17</t>
        </is>
      </c>
    </row>
    <row r="10">
      <c r="A10" s="53" t="inlineStr">
        <is>
          <t>Accounts Payable</t>
        </is>
      </c>
      <c r="B10" s="53" t="inlineStr">
        <is>
          <t>Liabilities</t>
        </is>
      </c>
      <c r="C10" s="53" t="n">
        <v>3655333.94</v>
      </c>
      <c r="D10" s="53" t="inlineStr">
        <is>
          <t>2026-06-17</t>
        </is>
      </c>
    </row>
    <row r="11">
      <c r="A11" s="53" t="inlineStr">
        <is>
          <t>Credit Cards</t>
        </is>
      </c>
      <c r="B11" s="53" t="inlineStr">
        <is>
          <t>Liabilities</t>
        </is>
      </c>
      <c r="C11" s="53" t="n">
        <v>15836.29</v>
      </c>
      <c r="D11" s="53" t="inlineStr">
        <is>
          <t>2026-06-17</t>
        </is>
      </c>
    </row>
    <row r="12">
      <c r="A12" s="53" t="inlineStr">
        <is>
          <t>Line of Credit (Forum 0874)</t>
        </is>
      </c>
      <c r="B12" s="53" t="inlineStr">
        <is>
          <t>Liabilities</t>
        </is>
      </c>
      <c r="C12" s="53" t="n">
        <v>5440076.95</v>
      </c>
      <c r="D12" s="53" t="inlineStr">
        <is>
          <t>2026-06-17</t>
        </is>
      </c>
    </row>
    <row r="13">
      <c r="A13" s="53" t="inlineStr">
        <is>
          <t>CapX Line of Credit (Forum 1708)</t>
        </is>
      </c>
      <c r="B13" s="53" t="inlineStr">
        <is>
          <t>Liabilities</t>
        </is>
      </c>
      <c r="C13" s="53" t="n">
        <v>333834.01</v>
      </c>
      <c r="D13" s="53" t="inlineStr">
        <is>
          <t>2026-06-17</t>
        </is>
      </c>
    </row>
    <row r="14">
      <c r="A14" s="53" t="inlineStr">
        <is>
          <t>WIP Overbillings</t>
        </is>
      </c>
      <c r="B14" s="53" t="inlineStr">
        <is>
          <t>Liabilities</t>
        </is>
      </c>
      <c r="C14" s="53" t="n">
        <v>1651664.83</v>
      </c>
      <c r="D14" s="53" t="inlineStr">
        <is>
          <t>2026-06-17</t>
        </is>
      </c>
    </row>
    <row r="15">
      <c r="A15" s="53" t="inlineStr">
        <is>
          <t>Other Current Liabilities (net)</t>
        </is>
      </c>
      <c r="B15" s="53" t="inlineStr">
        <is>
          <t>Liabilities</t>
        </is>
      </c>
      <c r="C15" s="53" t="n">
        <v>2747267.42</v>
      </c>
      <c r="D15" s="53" t="inlineStr">
        <is>
          <t>2026-06-17</t>
        </is>
      </c>
    </row>
    <row r="16">
      <c r="A16" s="53" t="inlineStr">
        <is>
          <t>Long-term Liabilities</t>
        </is>
      </c>
      <c r="B16" s="53" t="inlineStr">
        <is>
          <t>Liabilities</t>
        </is>
      </c>
      <c r="C16" s="53" t="n">
        <v>8372.290000000001</v>
      </c>
      <c r="D16" s="53" t="inlineStr">
        <is>
          <t>2026-06-17</t>
        </is>
      </c>
    </row>
    <row r="17">
      <c r="A17" s="53" t="inlineStr">
        <is>
          <t>Total Equity</t>
        </is>
      </c>
      <c r="B17" s="53" t="inlineStr">
        <is>
          <t>Equity</t>
        </is>
      </c>
      <c r="C17" s="53" t="n">
        <v>8698669.26</v>
      </c>
      <c r="D17" s="53" t="inlineStr">
        <is>
          <t>2026-06-17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9AA3B2"/>
    <outlinePr summaryBelow="1" summaryRight="1"/>
    <pageSetUpPr/>
  </sheetPr>
  <dimension ref="A1:L30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1" customWidth="1" min="8" max="8"/>
    <col width="11" customWidth="1" min="9" max="9"/>
    <col width="13" customWidth="1" min="10" max="10"/>
    <col width="12" customWidth="1" min="11" max="11"/>
    <col width="11" customWidth="1" min="12" max="12"/>
  </cols>
  <sheetData>
    <row r="1">
      <c r="A1" s="40" t="inlineStr">
        <is>
          <t>Job</t>
        </is>
      </c>
      <c r="B1" s="40" t="inlineStr">
        <is>
          <t>ProjectId</t>
        </is>
      </c>
      <c r="C1" s="40" t="inlineStr">
        <is>
          <t>DivKey</t>
        </is>
      </c>
      <c r="D1" s="40" t="inlineStr">
        <is>
          <t>PMName</t>
        </is>
      </c>
      <c r="E1" s="40" t="inlineStr">
        <is>
          <t>Customer</t>
        </is>
      </c>
      <c r="F1" s="40" t="inlineStr">
        <is>
          <t>Status</t>
        </is>
      </c>
      <c r="G1" s="40" t="inlineStr">
        <is>
          <t>ContractType</t>
        </is>
      </c>
      <c r="H1" s="40" t="inlineStr">
        <is>
          <t>City</t>
        </is>
      </c>
      <c r="I1" s="40" t="inlineStr">
        <is>
          <t>State</t>
        </is>
      </c>
      <c r="J1" s="40" t="inlineStr">
        <is>
          <t>DateActive</t>
        </is>
      </c>
      <c r="K1" s="40" t="inlineStr">
        <is>
          <t>StartDate</t>
        </is>
      </c>
      <c r="L1" s="40" t="inlineStr">
        <is>
          <t>EndDate</t>
        </is>
      </c>
    </row>
    <row r="2">
      <c r="A2" s="53" t="inlineStr">
        <is>
          <t>DS.2026.2440 Liberty Assisted Living 0612</t>
        </is>
      </c>
      <c r="B2" s="53" t="inlineStr">
        <is>
          <t>2902164</t>
        </is>
      </c>
      <c r="C2" s="53" t="inlineStr">
        <is>
          <t>UN</t>
        </is>
      </c>
      <c r="D2" s="53" t="inlineStr">
        <is>
          <t>(Unassigned)</t>
        </is>
      </c>
      <c r="E2" s="53" t="inlineStr">
        <is>
          <t>Flores Drywall and Remodeling LLC</t>
        </is>
      </c>
      <c r="F2" s="53" t="inlineStr">
        <is>
          <t>ACTIVE</t>
        </is>
      </c>
      <c r="G2" s="53" t="inlineStr">
        <is>
          <t>FIXED_PRICE</t>
        </is>
      </c>
      <c r="H2" s="53" t="inlineStr"/>
      <c r="I2" s="53" t="inlineStr">
        <is>
          <t>IN</t>
        </is>
      </c>
      <c r="J2" s="53" t="inlineStr">
        <is>
          <t>2026-06-16</t>
        </is>
      </c>
      <c r="K2" s="53" t="inlineStr">
        <is>
          <t>2026-06-12</t>
        </is>
      </c>
      <c r="L2" s="53" t="inlineStr"/>
    </row>
    <row r="3">
      <c r="A3" s="53" t="inlineStr">
        <is>
          <t>2026.1059 Westfield Community Schools</t>
        </is>
      </c>
      <c r="B3" s="53" t="inlineStr">
        <is>
          <t>2894730</t>
        </is>
      </c>
      <c r="C3" s="53" t="inlineStr">
        <is>
          <t>UN</t>
        </is>
      </c>
      <c r="D3" s="53" t="inlineStr">
        <is>
          <t>Dustin Hurt</t>
        </is>
      </c>
      <c r="E3" s="53" t="inlineStr">
        <is>
          <t>LTB Construction, Inc.</t>
        </is>
      </c>
      <c r="F3" s="53" t="inlineStr">
        <is>
          <t>ACTIVE</t>
        </is>
      </c>
      <c r="G3" s="53" t="inlineStr">
        <is>
          <t>FIXED_PRICE</t>
        </is>
      </c>
      <c r="H3" s="53" t="inlineStr"/>
      <c r="I3" s="53" t="inlineStr"/>
      <c r="J3" s="53" t="inlineStr">
        <is>
          <t>2026-06-11</t>
        </is>
      </c>
      <c r="K3" s="53" t="inlineStr">
        <is>
          <t>2026-06-15</t>
        </is>
      </c>
      <c r="L3" s="53" t="inlineStr"/>
    </row>
    <row r="4">
      <c r="A4" s="53" t="inlineStr">
        <is>
          <t>2026.1058 Patch McCordsville Building 1</t>
        </is>
      </c>
      <c r="B4" s="53" t="inlineStr">
        <is>
          <t>2893583</t>
        </is>
      </c>
      <c r="C4" s="53" t="inlineStr">
        <is>
          <t>UN</t>
        </is>
      </c>
      <c r="D4" s="53" t="inlineStr">
        <is>
          <t>Spencer Anderson</t>
        </is>
      </c>
      <c r="E4" s="53" t="inlineStr">
        <is>
          <t>Patch Development</t>
        </is>
      </c>
      <c r="F4" s="53" t="inlineStr">
        <is>
          <t>ACTIVE</t>
        </is>
      </c>
      <c r="G4" s="53" t="inlineStr">
        <is>
          <t>FIXED_PRICE_WITH_AIA_BILLING</t>
        </is>
      </c>
      <c r="H4" s="53" t="inlineStr">
        <is>
          <t>McCordsville</t>
        </is>
      </c>
      <c r="I4" s="53" t="inlineStr">
        <is>
          <t>IN</t>
        </is>
      </c>
      <c r="J4" s="53" t="inlineStr">
        <is>
          <t>2026-06-11</t>
        </is>
      </c>
      <c r="K4" s="53" t="inlineStr"/>
      <c r="L4" s="53" t="inlineStr"/>
    </row>
    <row r="5">
      <c r="A5" s="53" t="inlineStr">
        <is>
          <t>DS.2026.2439 2335 Treesdale Circle</t>
        </is>
      </c>
      <c r="B5" s="53" t="inlineStr">
        <is>
          <t>2889499</t>
        </is>
      </c>
      <c r="C5" s="53" t="inlineStr">
        <is>
          <t>DW</t>
        </is>
      </c>
      <c r="D5" s="53" t="inlineStr">
        <is>
          <t>(Unassigned)</t>
        </is>
      </c>
      <c r="E5" s="53" t="inlineStr">
        <is>
          <t>Precision Dry Wall</t>
        </is>
      </c>
      <c r="F5" s="53" t="inlineStr">
        <is>
          <t>ACTIVE</t>
        </is>
      </c>
      <c r="G5" s="53" t="inlineStr">
        <is>
          <t>FIXED_PRICE</t>
        </is>
      </c>
      <c r="H5" s="53" t="inlineStr"/>
      <c r="I5" s="53" t="inlineStr">
        <is>
          <t>IN</t>
        </is>
      </c>
      <c r="J5" s="53" t="inlineStr">
        <is>
          <t>2026-06-09</t>
        </is>
      </c>
      <c r="K5" s="53" t="inlineStr">
        <is>
          <t>2026-06-08</t>
        </is>
      </c>
      <c r="L5" s="53" t="inlineStr"/>
    </row>
    <row r="6">
      <c r="A6" s="53" t="inlineStr">
        <is>
          <t>DS.2026.2438 10806 McPherson St</t>
        </is>
      </c>
      <c r="B6" s="53" t="inlineStr">
        <is>
          <t>2888259</t>
        </is>
      </c>
      <c r="C6" s="53" t="inlineStr">
        <is>
          <t>DW</t>
        </is>
      </c>
      <c r="D6" s="53" t="inlineStr">
        <is>
          <t>(Unassigned)</t>
        </is>
      </c>
      <c r="E6" s="53" t="inlineStr">
        <is>
          <t>Precision Dry Wall</t>
        </is>
      </c>
      <c r="F6" s="53" t="inlineStr">
        <is>
          <t>ACTIVE</t>
        </is>
      </c>
      <c r="G6" s="53" t="inlineStr">
        <is>
          <t>FIXED_PRICE</t>
        </is>
      </c>
      <c r="H6" s="53" t="inlineStr"/>
      <c r="I6" s="53" t="inlineStr">
        <is>
          <t>IN</t>
        </is>
      </c>
      <c r="J6" s="53" t="inlineStr">
        <is>
          <t>2026-06-09</t>
        </is>
      </c>
      <c r="K6" s="53" t="inlineStr">
        <is>
          <t>2026-06-04</t>
        </is>
      </c>
      <c r="L6" s="53" t="inlineStr"/>
    </row>
    <row r="7">
      <c r="A7" s="53" t="inlineStr">
        <is>
          <t>DS.2026.2437 970 Starkey Ave</t>
        </is>
      </c>
      <c r="B7" s="53" t="inlineStr">
        <is>
          <t>2888192</t>
        </is>
      </c>
      <c r="C7" s="53" t="inlineStr">
        <is>
          <t>DW</t>
        </is>
      </c>
      <c r="D7" s="53" t="inlineStr">
        <is>
          <t>(Unassigned)</t>
        </is>
      </c>
      <c r="E7" s="53" t="inlineStr">
        <is>
          <t>Precision Dry Wall</t>
        </is>
      </c>
      <c r="F7" s="53" t="inlineStr">
        <is>
          <t>ACTIVE</t>
        </is>
      </c>
      <c r="G7" s="53" t="inlineStr">
        <is>
          <t>FIXED_PRICE</t>
        </is>
      </c>
      <c r="H7" s="53" t="inlineStr"/>
      <c r="I7" s="53" t="inlineStr">
        <is>
          <t>IN</t>
        </is>
      </c>
      <c r="J7" s="53" t="inlineStr">
        <is>
          <t>2026-06-09</t>
        </is>
      </c>
      <c r="K7" s="53" t="inlineStr">
        <is>
          <t>2026-06-03</t>
        </is>
      </c>
      <c r="L7" s="53" t="inlineStr"/>
    </row>
    <row r="8">
      <c r="A8" s="53" t="inlineStr">
        <is>
          <t>MDG Warehouse Demising Wall</t>
        </is>
      </c>
      <c r="B8" s="53" t="inlineStr">
        <is>
          <t>2887165</t>
        </is>
      </c>
      <c r="C8" s="53" t="inlineStr">
        <is>
          <t>UN</t>
        </is>
      </c>
      <c r="D8" s="53" t="inlineStr">
        <is>
          <t>(Unassigned)</t>
        </is>
      </c>
      <c r="E8" s="53" t="inlineStr">
        <is>
          <t>MDG Real Estate LLC</t>
        </is>
      </c>
      <c r="F8" s="53" t="inlineStr">
        <is>
          <t>ACTIVE</t>
        </is>
      </c>
      <c r="G8" s="53" t="inlineStr">
        <is>
          <t>FIXED_PRICE</t>
        </is>
      </c>
      <c r="H8" s="53" t="inlineStr">
        <is>
          <t>Noblesville</t>
        </is>
      </c>
      <c r="I8" s="53" t="inlineStr">
        <is>
          <t>IN</t>
        </is>
      </c>
      <c r="J8" s="53" t="inlineStr">
        <is>
          <t>2026-06-08</t>
        </is>
      </c>
      <c r="K8" s="53" t="inlineStr">
        <is>
          <t>2026-06-08</t>
        </is>
      </c>
      <c r="L8" s="53" t="inlineStr"/>
    </row>
    <row r="9">
      <c r="A9" s="53" t="inlineStr">
        <is>
          <t>DS.2026.2436 25 Harper Estates</t>
        </is>
      </c>
      <c r="B9" s="53" t="inlineStr">
        <is>
          <t>2887151</t>
        </is>
      </c>
      <c r="C9" s="53" t="inlineStr">
        <is>
          <t>DW</t>
        </is>
      </c>
      <c r="D9" s="53" t="inlineStr">
        <is>
          <t>(Unassigned)</t>
        </is>
      </c>
      <c r="E9" s="53" t="inlineStr">
        <is>
          <t>Flores Drywall and Remodeling LLC</t>
        </is>
      </c>
      <c r="F9" s="53" t="inlineStr">
        <is>
          <t>ACTIVE</t>
        </is>
      </c>
      <c r="G9" s="53" t="inlineStr">
        <is>
          <t>FIXED_PRICE</t>
        </is>
      </c>
      <c r="H9" s="53" t="inlineStr"/>
      <c r="I9" s="53" t="inlineStr">
        <is>
          <t>IN</t>
        </is>
      </c>
      <c r="J9" s="53" t="inlineStr">
        <is>
          <t>2026-06-08</t>
        </is>
      </c>
      <c r="K9" s="53" t="inlineStr">
        <is>
          <t>2026-06-01</t>
        </is>
      </c>
      <c r="L9" s="53" t="inlineStr"/>
    </row>
    <row r="10">
      <c r="A10" s="53" t="inlineStr">
        <is>
          <t>DS.2026.2435 21 Harper Estates</t>
        </is>
      </c>
      <c r="B10" s="53" t="inlineStr">
        <is>
          <t>2887141</t>
        </is>
      </c>
      <c r="C10" s="53" t="inlineStr">
        <is>
          <t>DW</t>
        </is>
      </c>
      <c r="D10" s="53" t="inlineStr">
        <is>
          <t>(Unassigned)</t>
        </is>
      </c>
      <c r="E10" s="53" t="inlineStr">
        <is>
          <t>Flores Drywall and Remodeling LLC</t>
        </is>
      </c>
      <c r="F10" s="53" t="inlineStr">
        <is>
          <t>ACTIVE</t>
        </is>
      </c>
      <c r="G10" s="53" t="inlineStr">
        <is>
          <t>FIXED_PRICE</t>
        </is>
      </c>
      <c r="H10" s="53" t="inlineStr"/>
      <c r="I10" s="53" t="inlineStr">
        <is>
          <t>IN</t>
        </is>
      </c>
      <c r="J10" s="53" t="inlineStr">
        <is>
          <t>2026-06-08</t>
        </is>
      </c>
      <c r="K10" s="53" t="inlineStr">
        <is>
          <t>2026-06-01</t>
        </is>
      </c>
      <c r="L10" s="53" t="inlineStr"/>
    </row>
    <row r="11">
      <c r="A11" s="53" t="inlineStr">
        <is>
          <t>DS.2026.2434 19 Harper Estates</t>
        </is>
      </c>
      <c r="B11" s="53" t="inlineStr">
        <is>
          <t>2887107</t>
        </is>
      </c>
      <c r="C11" s="53" t="inlineStr">
        <is>
          <t>DW</t>
        </is>
      </c>
      <c r="D11" s="53" t="inlineStr">
        <is>
          <t>(Unassigned)</t>
        </is>
      </c>
      <c r="E11" s="53" t="inlineStr">
        <is>
          <t>Flores Drywall and Remodeling LLC</t>
        </is>
      </c>
      <c r="F11" s="53" t="inlineStr">
        <is>
          <t>ACTIVE</t>
        </is>
      </c>
      <c r="G11" s="53" t="inlineStr">
        <is>
          <t>FIXED_PRICE</t>
        </is>
      </c>
      <c r="H11" s="53" t="inlineStr"/>
      <c r="I11" s="53" t="inlineStr">
        <is>
          <t>IN</t>
        </is>
      </c>
      <c r="J11" s="53" t="inlineStr">
        <is>
          <t>2026-06-08</t>
        </is>
      </c>
      <c r="K11" s="53" t="inlineStr">
        <is>
          <t>2026-06-01</t>
        </is>
      </c>
      <c r="L11" s="53" t="inlineStr"/>
    </row>
    <row r="12">
      <c r="A12" s="53" t="inlineStr">
        <is>
          <t>DS.2026.2433 Liberty Assisted Living 0529</t>
        </is>
      </c>
      <c r="B12" s="53" t="inlineStr">
        <is>
          <t>2872036</t>
        </is>
      </c>
      <c r="C12" s="53" t="inlineStr">
        <is>
          <t>DW</t>
        </is>
      </c>
      <c r="D12" s="53" t="inlineStr">
        <is>
          <t>(Unassigned)</t>
        </is>
      </c>
      <c r="E12" s="53" t="inlineStr">
        <is>
          <t>Flores Drywall and Remodeling LLC</t>
        </is>
      </c>
      <c r="F12" s="53" t="inlineStr">
        <is>
          <t>ACTIVE</t>
        </is>
      </c>
      <c r="G12" s="53" t="inlineStr">
        <is>
          <t>FIXED_PRICE</t>
        </is>
      </c>
      <c r="H12" s="53" t="inlineStr"/>
      <c r="I12" s="53" t="inlineStr">
        <is>
          <t>IN</t>
        </is>
      </c>
      <c r="J12" s="53" t="inlineStr">
        <is>
          <t>2026-06-01</t>
        </is>
      </c>
      <c r="K12" s="53" t="inlineStr">
        <is>
          <t>2026-05-29</t>
        </is>
      </c>
      <c r="L12" s="53" t="inlineStr"/>
    </row>
    <row r="13">
      <c r="A13" s="53" t="inlineStr">
        <is>
          <t>DS.2026.2432 Liberty Assisted LIving 0528</t>
        </is>
      </c>
      <c r="B13" s="53" t="inlineStr">
        <is>
          <t>2872017</t>
        </is>
      </c>
      <c r="C13" s="53" t="inlineStr">
        <is>
          <t>DW</t>
        </is>
      </c>
      <c r="D13" s="53" t="inlineStr">
        <is>
          <t>(Unassigned)</t>
        </is>
      </c>
      <c r="E13" s="53" t="inlineStr">
        <is>
          <t>Flores Drywall and Remodeling LLC</t>
        </is>
      </c>
      <c r="F13" s="53" t="inlineStr">
        <is>
          <t>ACTIVE</t>
        </is>
      </c>
      <c r="G13" s="53" t="inlineStr">
        <is>
          <t>FIXED_PRICE</t>
        </is>
      </c>
      <c r="H13" s="53" t="inlineStr"/>
      <c r="I13" s="53" t="inlineStr">
        <is>
          <t>IN</t>
        </is>
      </c>
      <c r="J13" s="53" t="inlineStr">
        <is>
          <t>2026-06-01</t>
        </is>
      </c>
      <c r="K13" s="53" t="inlineStr">
        <is>
          <t>2026-05-28</t>
        </is>
      </c>
      <c r="L13" s="53" t="inlineStr"/>
    </row>
    <row r="14">
      <c r="A14" s="53" t="inlineStr">
        <is>
          <t>DS.2026.2431 123 Centre Place</t>
        </is>
      </c>
      <c r="B14" s="53" t="inlineStr">
        <is>
          <t>2872004</t>
        </is>
      </c>
      <c r="C14" s="53" t="inlineStr">
        <is>
          <t>DW</t>
        </is>
      </c>
      <c r="D14" s="53" t="inlineStr">
        <is>
          <t>(Unassigned)</t>
        </is>
      </c>
      <c r="E14" s="53" t="inlineStr">
        <is>
          <t>Flores Drywall and Remodeling LLC</t>
        </is>
      </c>
      <c r="F14" s="53" t="inlineStr">
        <is>
          <t>ACTIVE</t>
        </is>
      </c>
      <c r="G14" s="53" t="inlineStr">
        <is>
          <t>FIXED_PRICE</t>
        </is>
      </c>
      <c r="H14" s="53" t="inlineStr"/>
      <c r="I14" s="53" t="inlineStr">
        <is>
          <t>IN</t>
        </is>
      </c>
      <c r="J14" s="53" t="inlineStr">
        <is>
          <t>2026-06-01</t>
        </is>
      </c>
      <c r="K14" s="53" t="inlineStr">
        <is>
          <t>2026-05-28</t>
        </is>
      </c>
      <c r="L14" s="53" t="inlineStr"/>
    </row>
    <row r="15">
      <c r="A15" s="53" t="inlineStr">
        <is>
          <t>DS.2026.2430 119 Centre Place</t>
        </is>
      </c>
      <c r="B15" s="53" t="inlineStr">
        <is>
          <t>2871958</t>
        </is>
      </c>
      <c r="C15" s="53" t="inlineStr">
        <is>
          <t>DW</t>
        </is>
      </c>
      <c r="D15" s="53" t="inlineStr">
        <is>
          <t>(Unassigned)</t>
        </is>
      </c>
      <c r="E15" s="53" t="inlineStr">
        <is>
          <t>Flores Drywall and Remodeling LLC</t>
        </is>
      </c>
      <c r="F15" s="53" t="inlineStr">
        <is>
          <t>ACTIVE</t>
        </is>
      </c>
      <c r="G15" s="53" t="inlineStr">
        <is>
          <t>FIXED_PRICE</t>
        </is>
      </c>
      <c r="H15" s="53" t="inlineStr"/>
      <c r="I15" s="53" t="inlineStr">
        <is>
          <t>IN</t>
        </is>
      </c>
      <c r="J15" s="53" t="inlineStr">
        <is>
          <t>2026-06-01</t>
        </is>
      </c>
      <c r="K15" s="53" t="inlineStr">
        <is>
          <t>2026-05-28</t>
        </is>
      </c>
      <c r="L15" s="53" t="inlineStr"/>
    </row>
    <row r="16">
      <c r="A16" s="53" t="inlineStr">
        <is>
          <t>DS.2026.2429 108 Centre Place</t>
        </is>
      </c>
      <c r="B16" s="53" t="inlineStr">
        <is>
          <t>2871926</t>
        </is>
      </c>
      <c r="C16" s="53" t="inlineStr">
        <is>
          <t>DW</t>
        </is>
      </c>
      <c r="D16" s="53" t="inlineStr">
        <is>
          <t>(Unassigned)</t>
        </is>
      </c>
      <c r="E16" s="53" t="inlineStr">
        <is>
          <t>Flores Drywall and Remodeling LLC</t>
        </is>
      </c>
      <c r="F16" s="53" t="inlineStr">
        <is>
          <t>ACTIVE</t>
        </is>
      </c>
      <c r="G16" s="53" t="inlineStr">
        <is>
          <t>FIXED_PRICE</t>
        </is>
      </c>
      <c r="H16" s="53" t="inlineStr"/>
      <c r="I16" s="53" t="inlineStr">
        <is>
          <t>IN</t>
        </is>
      </c>
      <c r="J16" s="53" t="inlineStr">
        <is>
          <t>2026-06-01</t>
        </is>
      </c>
      <c r="K16" s="53" t="inlineStr">
        <is>
          <t>2026-05-28</t>
        </is>
      </c>
      <c r="L16" s="53" t="inlineStr"/>
    </row>
    <row r="17">
      <c r="A17" s="53" t="inlineStr">
        <is>
          <t>DS.2026.2428 9 Centre Place</t>
        </is>
      </c>
      <c r="B17" s="53" t="inlineStr">
        <is>
          <t>2871859</t>
        </is>
      </c>
      <c r="C17" s="53" t="inlineStr">
        <is>
          <t>DW</t>
        </is>
      </c>
      <c r="D17" s="53" t="inlineStr">
        <is>
          <t>(Unassigned)</t>
        </is>
      </c>
      <c r="E17" s="53" t="inlineStr">
        <is>
          <t>Flores Drywall and Remodeling LLC</t>
        </is>
      </c>
      <c r="F17" s="53" t="inlineStr">
        <is>
          <t>ACTIVE</t>
        </is>
      </c>
      <c r="G17" s="53" t="inlineStr">
        <is>
          <t>FIXED_PRICE</t>
        </is>
      </c>
      <c r="H17" s="53" t="inlineStr"/>
      <c r="I17" s="53" t="inlineStr">
        <is>
          <t>IN</t>
        </is>
      </c>
      <c r="J17" s="53" t="inlineStr">
        <is>
          <t>2026-06-01</t>
        </is>
      </c>
      <c r="K17" s="53" t="inlineStr">
        <is>
          <t>2026-05-28</t>
        </is>
      </c>
      <c r="L17" s="53" t="inlineStr"/>
    </row>
    <row r="18">
      <c r="A18" s="53" t="inlineStr">
        <is>
          <t>DS.2026.2427 Dapp Garage</t>
        </is>
      </c>
      <c r="B18" s="53" t="inlineStr">
        <is>
          <t>2863766</t>
        </is>
      </c>
      <c r="C18" s="53" t="inlineStr">
        <is>
          <t>DW</t>
        </is>
      </c>
      <c r="D18" s="53" t="inlineStr">
        <is>
          <t>(Unassigned)</t>
        </is>
      </c>
      <c r="E18" s="53" t="inlineStr">
        <is>
          <t>Flores Drywall and Remodeling LLC</t>
        </is>
      </c>
      <c r="F18" s="53" t="inlineStr">
        <is>
          <t>ACTIVE</t>
        </is>
      </c>
      <c r="G18" s="53" t="inlineStr">
        <is>
          <t>FIXED_PRICE</t>
        </is>
      </c>
      <c r="H18" s="53" t="inlineStr"/>
      <c r="I18" s="53" t="inlineStr">
        <is>
          <t>IN</t>
        </is>
      </c>
      <c r="J18" s="53" t="inlineStr">
        <is>
          <t>2026-05-27</t>
        </is>
      </c>
      <c r="K18" s="53" t="inlineStr">
        <is>
          <t>2026-05-26</t>
        </is>
      </c>
      <c r="L18" s="53" t="inlineStr"/>
    </row>
    <row r="19">
      <c r="A19" s="53" t="inlineStr">
        <is>
          <t>DS.2026.2426 121 Centre Place</t>
        </is>
      </c>
      <c r="B19" s="53" t="inlineStr">
        <is>
          <t>2863755</t>
        </is>
      </c>
      <c r="C19" s="53" t="inlineStr">
        <is>
          <t>DW</t>
        </is>
      </c>
      <c r="D19" s="53" t="inlineStr">
        <is>
          <t>(Unassigned)</t>
        </is>
      </c>
      <c r="E19" s="53" t="inlineStr">
        <is>
          <t>Flores Drywall and Remodeling LLC</t>
        </is>
      </c>
      <c r="F19" s="53" t="inlineStr">
        <is>
          <t>ACTIVE</t>
        </is>
      </c>
      <c r="G19" s="53" t="inlineStr">
        <is>
          <t>FIXED_PRICE</t>
        </is>
      </c>
      <c r="H19" s="53" t="inlineStr"/>
      <c r="I19" s="53" t="inlineStr">
        <is>
          <t>IN</t>
        </is>
      </c>
      <c r="J19" s="53" t="inlineStr">
        <is>
          <t>2026-05-27</t>
        </is>
      </c>
      <c r="K19" s="53" t="inlineStr">
        <is>
          <t>2026-05-22</t>
        </is>
      </c>
      <c r="L19" s="53" t="inlineStr"/>
    </row>
    <row r="20">
      <c r="A20" s="53" t="inlineStr">
        <is>
          <t>DS.2026.2425 14 Parks</t>
        </is>
      </c>
      <c r="B20" s="53" t="inlineStr">
        <is>
          <t>2863752</t>
        </is>
      </c>
      <c r="C20" s="53" t="inlineStr">
        <is>
          <t>DW</t>
        </is>
      </c>
      <c r="D20" s="53" t="inlineStr">
        <is>
          <t>(Unassigned)</t>
        </is>
      </c>
      <c r="E20" s="53" t="inlineStr">
        <is>
          <t>Flores Drywall and Remodeling LLC</t>
        </is>
      </c>
      <c r="F20" s="53" t="inlineStr">
        <is>
          <t>ACTIVE</t>
        </is>
      </c>
      <c r="G20" s="53" t="inlineStr">
        <is>
          <t>FIXED_PRICE</t>
        </is>
      </c>
      <c r="H20" s="53" t="inlineStr"/>
      <c r="I20" s="53" t="inlineStr">
        <is>
          <t>IN</t>
        </is>
      </c>
      <c r="J20" s="53" t="inlineStr">
        <is>
          <t>2026-05-27</t>
        </is>
      </c>
      <c r="K20" s="53" t="inlineStr">
        <is>
          <t>2026-05-22</t>
        </is>
      </c>
      <c r="L20" s="53" t="inlineStr"/>
    </row>
    <row r="21">
      <c r="A21" s="53" t="inlineStr">
        <is>
          <t>DS.2026.2424 10566 Coppergate</t>
        </is>
      </c>
      <c r="B21" s="53" t="inlineStr">
        <is>
          <t>2863728</t>
        </is>
      </c>
      <c r="C21" s="53" t="inlineStr">
        <is>
          <t>DW</t>
        </is>
      </c>
      <c r="D21" s="53" t="inlineStr">
        <is>
          <t>(Unassigned)</t>
        </is>
      </c>
      <c r="E21" s="53" t="inlineStr">
        <is>
          <t>Precision Dry Wall</t>
        </is>
      </c>
      <c r="F21" s="53" t="inlineStr">
        <is>
          <t>ACTIVE</t>
        </is>
      </c>
      <c r="G21" s="53" t="inlineStr">
        <is>
          <t>FIXED_PRICE</t>
        </is>
      </c>
      <c r="H21" s="53" t="inlineStr"/>
      <c r="I21" s="53" t="inlineStr">
        <is>
          <t>IN</t>
        </is>
      </c>
      <c r="J21" s="53" t="inlineStr">
        <is>
          <t>2026-05-27</t>
        </is>
      </c>
      <c r="K21" s="53" t="inlineStr">
        <is>
          <t>2026-05-22</t>
        </is>
      </c>
      <c r="L21" s="53" t="inlineStr"/>
    </row>
    <row r="22">
      <c r="A22" s="53" t="inlineStr">
        <is>
          <t>DS.2026.2423 10816 McPherson St</t>
        </is>
      </c>
      <c r="B22" s="53" t="inlineStr">
        <is>
          <t>2863715</t>
        </is>
      </c>
      <c r="C22" s="53" t="inlineStr">
        <is>
          <t>DW</t>
        </is>
      </c>
      <c r="D22" s="53" t="inlineStr">
        <is>
          <t>(Unassigned)</t>
        </is>
      </c>
      <c r="E22" s="53" t="inlineStr">
        <is>
          <t>Precision Dry Wall</t>
        </is>
      </c>
      <c r="F22" s="53" t="inlineStr">
        <is>
          <t>ACTIVE</t>
        </is>
      </c>
      <c r="G22" s="53" t="inlineStr">
        <is>
          <t>FIXED_PRICE</t>
        </is>
      </c>
      <c r="H22" s="53" t="inlineStr"/>
      <c r="I22" s="53" t="inlineStr">
        <is>
          <t>IN</t>
        </is>
      </c>
      <c r="J22" s="53" t="inlineStr">
        <is>
          <t>2026-05-27</t>
        </is>
      </c>
      <c r="K22" s="53" t="inlineStr">
        <is>
          <t>2026-05-21</t>
        </is>
      </c>
      <c r="L22" s="53" t="inlineStr"/>
    </row>
    <row r="23">
      <c r="A23" s="53" t="inlineStr">
        <is>
          <t>DS.2026.2422 10814 McPherson St</t>
        </is>
      </c>
      <c r="B23" s="53" t="inlineStr">
        <is>
          <t>2863703</t>
        </is>
      </c>
      <c r="C23" s="53" t="inlineStr">
        <is>
          <t>DW</t>
        </is>
      </c>
      <c r="D23" s="53" t="inlineStr">
        <is>
          <t>(Unassigned)</t>
        </is>
      </c>
      <c r="E23" s="53" t="inlineStr">
        <is>
          <t>Precision Dry Wall</t>
        </is>
      </c>
      <c r="F23" s="53" t="inlineStr">
        <is>
          <t>ACTIVE</t>
        </is>
      </c>
      <c r="G23" s="53" t="inlineStr">
        <is>
          <t>FIXED_PRICE</t>
        </is>
      </c>
      <c r="H23" s="53" t="inlineStr"/>
      <c r="I23" s="53" t="inlineStr">
        <is>
          <t>IN</t>
        </is>
      </c>
      <c r="J23" s="53" t="inlineStr">
        <is>
          <t>2026-05-27</t>
        </is>
      </c>
      <c r="K23" s="53" t="inlineStr">
        <is>
          <t>2026-05-21</t>
        </is>
      </c>
      <c r="L23" s="53" t="inlineStr"/>
    </row>
    <row r="24">
      <c r="A24" s="53" t="inlineStr">
        <is>
          <t>DS.2026.2421 Flores Ohio Job</t>
        </is>
      </c>
      <c r="B24" s="53" t="inlineStr">
        <is>
          <t>2863678</t>
        </is>
      </c>
      <c r="C24" s="53" t="inlineStr">
        <is>
          <t>DW</t>
        </is>
      </c>
      <c r="D24" s="53" t="inlineStr">
        <is>
          <t>(Unassigned)</t>
        </is>
      </c>
      <c r="E24" s="53" t="inlineStr">
        <is>
          <t>Flores Drywall and Remodeling LLC</t>
        </is>
      </c>
      <c r="F24" s="53" t="inlineStr">
        <is>
          <t>ACTIVE</t>
        </is>
      </c>
      <c r="G24" s="53" t="inlineStr">
        <is>
          <t>FIXED_PRICE</t>
        </is>
      </c>
      <c r="H24" s="53" t="inlineStr"/>
      <c r="I24" s="53" t="inlineStr">
        <is>
          <t>IN</t>
        </is>
      </c>
      <c r="J24" s="53" t="inlineStr">
        <is>
          <t>2026-05-27</t>
        </is>
      </c>
      <c r="K24" s="53" t="inlineStr">
        <is>
          <t>2026-05-20</t>
        </is>
      </c>
      <c r="L24" s="53" t="inlineStr"/>
    </row>
    <row r="25">
      <c r="A25" s="53" t="inlineStr">
        <is>
          <t>DS.2026.2420 7508 Central Ave</t>
        </is>
      </c>
      <c r="B25" s="53" t="inlineStr">
        <is>
          <t>2852408</t>
        </is>
      </c>
      <c r="C25" s="53" t="inlineStr">
        <is>
          <t>DW</t>
        </is>
      </c>
      <c r="D25" s="53" t="inlineStr">
        <is>
          <t>(Unassigned)</t>
        </is>
      </c>
      <c r="E25" s="53" t="inlineStr">
        <is>
          <t>Precision Dry Wall</t>
        </is>
      </c>
      <c r="F25" s="53" t="inlineStr">
        <is>
          <t>ACTIVE</t>
        </is>
      </c>
      <c r="G25" s="53" t="inlineStr">
        <is>
          <t>FIXED_PRICE</t>
        </is>
      </c>
      <c r="H25" s="53" t="inlineStr"/>
      <c r="I25" s="53" t="inlineStr">
        <is>
          <t>IN</t>
        </is>
      </c>
      <c r="J25" s="53" t="inlineStr">
        <is>
          <t>2026-05-20</t>
        </is>
      </c>
      <c r="K25" s="53" t="inlineStr">
        <is>
          <t>2026-05-18</t>
        </is>
      </c>
      <c r="L25" s="53" t="inlineStr"/>
    </row>
    <row r="26">
      <c r="A26" s="53" t="inlineStr">
        <is>
          <t>DS.2026.2419 120 Centre Place</t>
        </is>
      </c>
      <c r="B26" s="53" t="inlineStr">
        <is>
          <t>2852375</t>
        </is>
      </c>
      <c r="C26" s="53" t="inlineStr">
        <is>
          <t>DW</t>
        </is>
      </c>
      <c r="D26" s="53" t="inlineStr">
        <is>
          <t>(Unassigned)</t>
        </is>
      </c>
      <c r="E26" s="53" t="inlineStr">
        <is>
          <t>Flores Drywall and Remodeling LLC</t>
        </is>
      </c>
      <c r="F26" s="53" t="inlineStr">
        <is>
          <t>ACTIVE</t>
        </is>
      </c>
      <c r="G26" s="53" t="inlineStr">
        <is>
          <t>FIXED_PRICE</t>
        </is>
      </c>
      <c r="H26" s="53" t="inlineStr"/>
      <c r="I26" s="53" t="inlineStr">
        <is>
          <t>IN</t>
        </is>
      </c>
      <c r="J26" s="53" t="inlineStr">
        <is>
          <t>2026-05-20</t>
        </is>
      </c>
      <c r="K26" s="53" t="inlineStr">
        <is>
          <t>2026-05-14</t>
        </is>
      </c>
      <c r="L26" s="53" t="inlineStr"/>
    </row>
    <row r="27">
      <c r="A27" s="53" t="inlineStr">
        <is>
          <t>DS.2026.2418 118 Centre Place</t>
        </is>
      </c>
      <c r="B27" s="53" t="inlineStr">
        <is>
          <t>2844284</t>
        </is>
      </c>
      <c r="C27" s="53" t="inlineStr">
        <is>
          <t>DW</t>
        </is>
      </c>
      <c r="D27" s="53" t="inlineStr">
        <is>
          <t>(Unassigned)</t>
        </is>
      </c>
      <c r="E27" s="53" t="inlineStr">
        <is>
          <t>Flores Drywall and Remodeling LLC</t>
        </is>
      </c>
      <c r="F27" s="53" t="inlineStr">
        <is>
          <t>ACTIVE</t>
        </is>
      </c>
      <c r="G27" s="53" t="inlineStr">
        <is>
          <t>FIXED_PRICE</t>
        </is>
      </c>
      <c r="H27" s="53" t="inlineStr"/>
      <c r="I27" s="53" t="inlineStr">
        <is>
          <t>IN</t>
        </is>
      </c>
      <c r="J27" s="53" t="inlineStr">
        <is>
          <t>2026-05-15</t>
        </is>
      </c>
      <c r="K27" s="53" t="inlineStr">
        <is>
          <t>2026-05-13</t>
        </is>
      </c>
      <c r="L27" s="53" t="inlineStr"/>
    </row>
    <row r="28">
      <c r="A28" s="53" t="inlineStr">
        <is>
          <t>DS.2026.2417 117 Centre Place</t>
        </is>
      </c>
      <c r="B28" s="53" t="inlineStr">
        <is>
          <t>2844272</t>
        </is>
      </c>
      <c r="C28" s="53" t="inlineStr">
        <is>
          <t>DW</t>
        </is>
      </c>
      <c r="D28" s="53" t="inlineStr">
        <is>
          <t>(Unassigned)</t>
        </is>
      </c>
      <c r="E28" s="53" t="inlineStr">
        <is>
          <t>Flores Drywall and Remodeling LLC</t>
        </is>
      </c>
      <c r="F28" s="53" t="inlineStr">
        <is>
          <t>ACTIVE</t>
        </is>
      </c>
      <c r="G28" s="53" t="inlineStr">
        <is>
          <t>FIXED_PRICE</t>
        </is>
      </c>
      <c r="H28" s="53" t="inlineStr"/>
      <c r="I28" s="53" t="inlineStr">
        <is>
          <t>IN</t>
        </is>
      </c>
      <c r="J28" s="53" t="inlineStr">
        <is>
          <t>2026-05-15</t>
        </is>
      </c>
      <c r="K28" s="53" t="inlineStr">
        <is>
          <t>2026-05-13</t>
        </is>
      </c>
      <c r="L28" s="53" t="inlineStr"/>
    </row>
    <row r="29">
      <c r="A29" s="53" t="inlineStr">
        <is>
          <t>DS.2026.2416 52 Centre Place</t>
        </is>
      </c>
      <c r="B29" s="53" t="inlineStr">
        <is>
          <t>2844253</t>
        </is>
      </c>
      <c r="C29" s="53" t="inlineStr">
        <is>
          <t>DW</t>
        </is>
      </c>
      <c r="D29" s="53" t="inlineStr">
        <is>
          <t>(Unassigned)</t>
        </is>
      </c>
      <c r="E29" s="53" t="inlineStr">
        <is>
          <t>Flores Drywall and Remodeling LLC</t>
        </is>
      </c>
      <c r="F29" s="53" t="inlineStr">
        <is>
          <t>ACTIVE</t>
        </is>
      </c>
      <c r="G29" s="53" t="inlineStr">
        <is>
          <t>FIXED_PRICE</t>
        </is>
      </c>
      <c r="H29" s="53" t="inlineStr"/>
      <c r="I29" s="53" t="inlineStr">
        <is>
          <t>IN</t>
        </is>
      </c>
      <c r="J29" s="53" t="inlineStr">
        <is>
          <t>2026-05-15</t>
        </is>
      </c>
      <c r="K29" s="53" t="inlineStr">
        <is>
          <t>2026-05-13</t>
        </is>
      </c>
      <c r="L29" s="53" t="inlineStr"/>
    </row>
    <row r="30">
      <c r="A30" s="53" t="inlineStr">
        <is>
          <t>DS.2026.2415 10826 McPherson St</t>
        </is>
      </c>
      <c r="B30" s="53" t="inlineStr">
        <is>
          <t>2844241</t>
        </is>
      </c>
      <c r="C30" s="53" t="inlineStr">
        <is>
          <t>DW</t>
        </is>
      </c>
      <c r="D30" s="53" t="inlineStr">
        <is>
          <t>(Unassigned)</t>
        </is>
      </c>
      <c r="E30" s="53" t="inlineStr">
        <is>
          <t>Precision Dry Wall</t>
        </is>
      </c>
      <c r="F30" s="53" t="inlineStr">
        <is>
          <t>ACTIVE</t>
        </is>
      </c>
      <c r="G30" s="53" t="inlineStr">
        <is>
          <t>FIXED_PRICE</t>
        </is>
      </c>
      <c r="H30" s="53" t="inlineStr"/>
      <c r="I30" s="53" t="inlineStr">
        <is>
          <t>IN</t>
        </is>
      </c>
      <c r="J30" s="53" t="inlineStr">
        <is>
          <t>2026-05-15</t>
        </is>
      </c>
      <c r="K30" s="53" t="inlineStr">
        <is>
          <t>2026-05-15</t>
        </is>
      </c>
      <c r="L30" s="53" t="inlineStr"/>
    </row>
    <row r="31">
      <c r="A31" s="53" t="inlineStr">
        <is>
          <t>DS.2026.2414 10824 McPherson St</t>
        </is>
      </c>
      <c r="B31" s="53" t="inlineStr">
        <is>
          <t>2844222</t>
        </is>
      </c>
      <c r="C31" s="53" t="inlineStr">
        <is>
          <t>DW</t>
        </is>
      </c>
      <c r="D31" s="53" t="inlineStr">
        <is>
          <t>(Unassigned)</t>
        </is>
      </c>
      <c r="E31" s="53" t="inlineStr">
        <is>
          <t>Precision Dry Wall</t>
        </is>
      </c>
      <c r="F31" s="53" t="inlineStr">
        <is>
          <t>ACTIVE</t>
        </is>
      </c>
      <c r="G31" s="53" t="inlineStr">
        <is>
          <t>FIXED_PRICE</t>
        </is>
      </c>
      <c r="H31" s="53" t="inlineStr"/>
      <c r="I31" s="53" t="inlineStr">
        <is>
          <t>IN</t>
        </is>
      </c>
      <c r="J31" s="53" t="inlineStr">
        <is>
          <t>2026-05-15</t>
        </is>
      </c>
      <c r="K31" s="53" t="inlineStr">
        <is>
          <t>2026-05-13</t>
        </is>
      </c>
      <c r="L31" s="53" t="inlineStr"/>
    </row>
    <row r="32">
      <c r="A32" s="53" t="inlineStr">
        <is>
          <t>DS.2026.2413 Precision Pickup 0501</t>
        </is>
      </c>
      <c r="B32" s="53" t="inlineStr">
        <is>
          <t>2834059</t>
        </is>
      </c>
      <c r="C32" s="53" t="inlineStr">
        <is>
          <t>DW</t>
        </is>
      </c>
      <c r="D32" s="53" t="inlineStr">
        <is>
          <t>(Unassigned)</t>
        </is>
      </c>
      <c r="E32" s="53" t="inlineStr">
        <is>
          <t>Precision Dry Wall</t>
        </is>
      </c>
      <c r="F32" s="53" t="inlineStr">
        <is>
          <t>ACTIVE</t>
        </is>
      </c>
      <c r="G32" s="53" t="inlineStr">
        <is>
          <t>FIXED_PRICE</t>
        </is>
      </c>
      <c r="H32" s="53" t="inlineStr"/>
      <c r="I32" s="53" t="inlineStr">
        <is>
          <t>IN</t>
        </is>
      </c>
      <c r="J32" s="53" t="inlineStr">
        <is>
          <t>2026-05-11</t>
        </is>
      </c>
      <c r="K32" s="53" t="inlineStr">
        <is>
          <t>2026-05-01</t>
        </is>
      </c>
      <c r="L32" s="53" t="inlineStr"/>
    </row>
    <row r="33">
      <c r="A33" s="53" t="inlineStr">
        <is>
          <t>DS.2026.2412 10732 Heaven Cove Way</t>
        </is>
      </c>
      <c r="B33" s="53" t="inlineStr">
        <is>
          <t>2834016</t>
        </is>
      </c>
      <c r="C33" s="53" t="inlineStr">
        <is>
          <t>DW</t>
        </is>
      </c>
      <c r="D33" s="53" t="inlineStr">
        <is>
          <t>(Unassigned)</t>
        </is>
      </c>
      <c r="E33" s="53" t="inlineStr">
        <is>
          <t>Precision Dry Wall</t>
        </is>
      </c>
      <c r="F33" s="53" t="inlineStr">
        <is>
          <t>ACTIVE</t>
        </is>
      </c>
      <c r="G33" s="53" t="inlineStr">
        <is>
          <t>FIXED_PRICE</t>
        </is>
      </c>
      <c r="H33" s="53" t="inlineStr"/>
      <c r="I33" s="53" t="inlineStr">
        <is>
          <t>IN</t>
        </is>
      </c>
      <c r="J33" s="53" t="inlineStr">
        <is>
          <t>2026-05-11</t>
        </is>
      </c>
      <c r="K33" s="53" t="inlineStr">
        <is>
          <t>2026-05-05</t>
        </is>
      </c>
      <c r="L33" s="53" t="inlineStr"/>
    </row>
    <row r="34">
      <c r="A34" s="53" t="inlineStr">
        <is>
          <t>DS.2026.2411 Clark Remodel</t>
        </is>
      </c>
      <c r="B34" s="53" t="inlineStr">
        <is>
          <t>2818141</t>
        </is>
      </c>
      <c r="C34" s="53" t="inlineStr">
        <is>
          <t>DW</t>
        </is>
      </c>
      <c r="D34" s="53" t="inlineStr">
        <is>
          <t>(Unassigned)</t>
        </is>
      </c>
      <c r="E34" s="53" t="inlineStr">
        <is>
          <t>Flores Drywall and Remodeling LLC</t>
        </is>
      </c>
      <c r="F34" s="53" t="inlineStr">
        <is>
          <t>ACTIVE</t>
        </is>
      </c>
      <c r="G34" s="53" t="inlineStr">
        <is>
          <t>FIXED_PRICE</t>
        </is>
      </c>
      <c r="H34" s="53" t="inlineStr"/>
      <c r="I34" s="53" t="inlineStr">
        <is>
          <t>IN</t>
        </is>
      </c>
      <c r="J34" s="53" t="inlineStr">
        <is>
          <t>2026-05-01</t>
        </is>
      </c>
      <c r="K34" s="53" t="inlineStr">
        <is>
          <t>2026-04-30</t>
        </is>
      </c>
      <c r="L34" s="53" t="inlineStr"/>
    </row>
    <row r="35">
      <c r="A35" s="53" t="inlineStr">
        <is>
          <t>2026.1053 Lot 32 Vacant TI</t>
        </is>
      </c>
      <c r="B35" s="53" t="inlineStr">
        <is>
          <t>2803284</t>
        </is>
      </c>
      <c r="C35" s="53" t="inlineStr">
        <is>
          <t>TI</t>
        </is>
      </c>
      <c r="D35" s="53" t="inlineStr">
        <is>
          <t>Spencer Anderson</t>
        </is>
      </c>
      <c r="E35" s="53" t="inlineStr">
        <is>
          <t>Holladay Construction Group</t>
        </is>
      </c>
      <c r="F35" s="53" t="inlineStr">
        <is>
          <t>ACTIVE</t>
        </is>
      </c>
      <c r="G35" s="53" t="inlineStr">
        <is>
          <t>FIXED_PRICE_WITH_AIA_BILLING</t>
        </is>
      </c>
      <c r="H35" s="53" t="inlineStr">
        <is>
          <t>Indianapolis</t>
        </is>
      </c>
      <c r="I35" s="53" t="inlineStr">
        <is>
          <t>IN</t>
        </is>
      </c>
      <c r="J35" s="53" t="inlineStr">
        <is>
          <t>2026-05-06</t>
        </is>
      </c>
      <c r="K35" s="53" t="inlineStr">
        <is>
          <t>2026-05-20</t>
        </is>
      </c>
      <c r="L35" s="53" t="inlineStr">
        <is>
          <t>2026-07-16</t>
        </is>
      </c>
    </row>
    <row r="36">
      <c r="A36" s="53" t="inlineStr">
        <is>
          <t>DS.2026.2410 Courtyards of Russell Oaks 113</t>
        </is>
      </c>
      <c r="B36" s="53" t="inlineStr">
        <is>
          <t>2796562</t>
        </is>
      </c>
      <c r="C36" s="53" t="inlineStr">
        <is>
          <t>DW</t>
        </is>
      </c>
      <c r="D36" s="53" t="inlineStr">
        <is>
          <t>(Unassigned)</t>
        </is>
      </c>
      <c r="E36" s="53" t="inlineStr">
        <is>
          <t>Big Dawg Drywall</t>
        </is>
      </c>
      <c r="F36" s="53" t="inlineStr">
        <is>
          <t>ACTIVE</t>
        </is>
      </c>
      <c r="G36" s="53" t="inlineStr">
        <is>
          <t>FIXED_PRICE</t>
        </is>
      </c>
      <c r="H36" s="53" t="inlineStr"/>
      <c r="I36" s="53" t="inlineStr">
        <is>
          <t>IN</t>
        </is>
      </c>
      <c r="J36" s="53" t="inlineStr">
        <is>
          <t>2026-04-21</t>
        </is>
      </c>
      <c r="K36" s="53" t="inlineStr">
        <is>
          <t>2026-04-17</t>
        </is>
      </c>
      <c r="L36" s="53" t="inlineStr"/>
    </row>
    <row r="37">
      <c r="A37" s="53" t="inlineStr">
        <is>
          <t>DS.2026.2409 Precision Pickup 0410</t>
        </is>
      </c>
      <c r="B37" s="53" t="inlineStr">
        <is>
          <t>2796526</t>
        </is>
      </c>
      <c r="C37" s="53" t="inlineStr">
        <is>
          <t>DW</t>
        </is>
      </c>
      <c r="D37" s="53" t="inlineStr">
        <is>
          <t>(Unassigned)</t>
        </is>
      </c>
      <c r="E37" s="53" t="inlineStr">
        <is>
          <t>Precision Dry Wall</t>
        </is>
      </c>
      <c r="F37" s="53" t="inlineStr">
        <is>
          <t>ACTIVE</t>
        </is>
      </c>
      <c r="G37" s="53" t="inlineStr">
        <is>
          <t>FIXED_PRICE</t>
        </is>
      </c>
      <c r="H37" s="53" t="inlineStr"/>
      <c r="I37" s="53" t="inlineStr"/>
      <c r="J37" s="53" t="inlineStr">
        <is>
          <t>2026-04-21</t>
        </is>
      </c>
      <c r="K37" s="53" t="inlineStr">
        <is>
          <t>2026-04-10</t>
        </is>
      </c>
      <c r="L37" s="53" t="inlineStr"/>
    </row>
    <row r="38">
      <c r="A38" s="53" t="inlineStr">
        <is>
          <t>DS.2026.2408 Courtyards of Westfield 107</t>
        </is>
      </c>
      <c r="B38" s="53" t="inlineStr">
        <is>
          <t>2782708</t>
        </is>
      </c>
      <c r="C38" s="53" t="inlineStr">
        <is>
          <t>DW</t>
        </is>
      </c>
      <c r="D38" s="53" t="inlineStr">
        <is>
          <t>(Unassigned)</t>
        </is>
      </c>
      <c r="E38" s="53" t="inlineStr">
        <is>
          <t>Big Dawg Drywall</t>
        </is>
      </c>
      <c r="F38" s="53" t="inlineStr">
        <is>
          <t>ACTIVE</t>
        </is>
      </c>
      <c r="G38" s="53" t="inlineStr">
        <is>
          <t>FIXED_PRICE</t>
        </is>
      </c>
      <c r="H38" s="53" t="inlineStr"/>
      <c r="I38" s="53" t="inlineStr"/>
      <c r="J38" s="53" t="inlineStr">
        <is>
          <t>2026-04-14</t>
        </is>
      </c>
      <c r="K38" s="53" t="inlineStr">
        <is>
          <t>2026-04-13</t>
        </is>
      </c>
      <c r="L38" s="53" t="inlineStr"/>
    </row>
    <row r="39">
      <c r="A39" s="53" t="inlineStr">
        <is>
          <t>DS.2026.2407 Courtyards of Russel Oaks 126</t>
        </is>
      </c>
      <c r="B39" s="53" t="inlineStr">
        <is>
          <t>2782668</t>
        </is>
      </c>
      <c r="C39" s="53" t="inlineStr">
        <is>
          <t>DW</t>
        </is>
      </c>
      <c r="D39" s="53" t="inlineStr">
        <is>
          <t>(Unassigned)</t>
        </is>
      </c>
      <c r="E39" s="53" t="inlineStr">
        <is>
          <t>Big Dawg Drywall</t>
        </is>
      </c>
      <c r="F39" s="53" t="inlineStr">
        <is>
          <t>ACTIVE</t>
        </is>
      </c>
      <c r="G39" s="53" t="inlineStr">
        <is>
          <t>FIXED_PRICE</t>
        </is>
      </c>
      <c r="H39" s="53" t="inlineStr"/>
      <c r="I39" s="53" t="inlineStr">
        <is>
          <t>IN</t>
        </is>
      </c>
      <c r="J39" s="53" t="inlineStr">
        <is>
          <t>2026-04-14</t>
        </is>
      </c>
      <c r="K39" s="53" t="inlineStr">
        <is>
          <t>2026-04-08</t>
        </is>
      </c>
      <c r="L39" s="53" t="inlineStr"/>
    </row>
    <row r="40">
      <c r="A40" s="53" t="inlineStr">
        <is>
          <t>DS.2026.2406 Premier Custom Homes Quote</t>
        </is>
      </c>
      <c r="B40" s="53" t="inlineStr">
        <is>
          <t>2763556</t>
        </is>
      </c>
      <c r="C40" s="53" t="inlineStr">
        <is>
          <t>UN</t>
        </is>
      </c>
      <c r="D40" s="53" t="inlineStr">
        <is>
          <t>(Unassigned)</t>
        </is>
      </c>
      <c r="E40" s="53" t="inlineStr">
        <is>
          <t>Premier Custom Homes</t>
        </is>
      </c>
      <c r="F40" s="53" t="inlineStr">
        <is>
          <t>ACTIVE</t>
        </is>
      </c>
      <c r="G40" s="53" t="inlineStr">
        <is>
          <t>FIXED_PRICE</t>
        </is>
      </c>
      <c r="H40" s="53" t="inlineStr"/>
      <c r="I40" s="53" t="inlineStr"/>
      <c r="J40" s="53" t="inlineStr">
        <is>
          <t>2026-04-09</t>
        </is>
      </c>
      <c r="K40" s="53" t="inlineStr">
        <is>
          <t>2026-04-06</t>
        </is>
      </c>
      <c r="L40" s="53" t="inlineStr"/>
    </row>
    <row r="41">
      <c r="A41" s="53" t="inlineStr">
        <is>
          <t>DS.2026.2405 21569 Anchor Bay Drive</t>
        </is>
      </c>
      <c r="B41" s="53" t="inlineStr">
        <is>
          <t>2762554</t>
        </is>
      </c>
      <c r="C41" s="53" t="inlineStr">
        <is>
          <t>DW</t>
        </is>
      </c>
      <c r="D41" s="53" t="inlineStr">
        <is>
          <t>(Unassigned)</t>
        </is>
      </c>
      <c r="E41" s="53" t="inlineStr">
        <is>
          <t>Precision Dry Wall</t>
        </is>
      </c>
      <c r="F41" s="53" t="inlineStr">
        <is>
          <t>ACTIVE</t>
        </is>
      </c>
      <c r="G41" s="53" t="inlineStr">
        <is>
          <t>FIXED_PRICE</t>
        </is>
      </c>
      <c r="H41" s="53" t="inlineStr"/>
      <c r="I41" s="53" t="inlineStr">
        <is>
          <t>IN</t>
        </is>
      </c>
      <c r="J41" s="53" t="inlineStr">
        <is>
          <t>2026-04-03</t>
        </is>
      </c>
      <c r="K41" s="53" t="inlineStr">
        <is>
          <t>2026-04-03</t>
        </is>
      </c>
      <c r="L41" s="53" t="inlineStr"/>
    </row>
    <row r="42">
      <c r="A42" s="53" t="inlineStr">
        <is>
          <t>2026.1051 Park 130 Building 8</t>
        </is>
      </c>
      <c r="B42" s="53" t="inlineStr">
        <is>
          <t>2761732</t>
        </is>
      </c>
      <c r="C42" s="53" t="inlineStr">
        <is>
          <t>TI</t>
        </is>
      </c>
      <c r="D42" s="53" t="inlineStr">
        <is>
          <t>Spencer Anderson</t>
        </is>
      </c>
      <c r="E42" s="53" t="inlineStr">
        <is>
          <t>The Peterson Company, LLC</t>
        </is>
      </c>
      <c r="F42" s="53" t="inlineStr">
        <is>
          <t>ACTIVE</t>
        </is>
      </c>
      <c r="G42" s="53" t="inlineStr">
        <is>
          <t>FIXED_PRICE_WITH_AIA_BILLING</t>
        </is>
      </c>
      <c r="H42" s="53" t="inlineStr">
        <is>
          <t>Lebanon</t>
        </is>
      </c>
      <c r="I42" s="53" t="inlineStr">
        <is>
          <t>IN</t>
        </is>
      </c>
      <c r="J42" s="53" t="inlineStr">
        <is>
          <t>2026-05-06</t>
        </is>
      </c>
      <c r="K42" s="53" t="inlineStr">
        <is>
          <t>2026-08-01</t>
        </is>
      </c>
      <c r="L42" s="53" t="inlineStr">
        <is>
          <t>2026-11-01</t>
        </is>
      </c>
    </row>
    <row r="43">
      <c r="A43" s="53" t="inlineStr">
        <is>
          <t>DS.2026.2404 Flores Sandhu Res</t>
        </is>
      </c>
      <c r="B43" s="53" t="inlineStr">
        <is>
          <t>2759560</t>
        </is>
      </c>
      <c r="C43" s="53" t="inlineStr">
        <is>
          <t>DW</t>
        </is>
      </c>
      <c r="D43" s="53" t="inlineStr">
        <is>
          <t>(Unassigned)</t>
        </is>
      </c>
      <c r="E43" s="53" t="inlineStr">
        <is>
          <t>Flores Drywall and Remodeling LLC</t>
        </is>
      </c>
      <c r="F43" s="53" t="inlineStr">
        <is>
          <t>ACTIVE</t>
        </is>
      </c>
      <c r="G43" s="53" t="inlineStr">
        <is>
          <t>FIXED_PRICE</t>
        </is>
      </c>
      <c r="H43" s="53" t="inlineStr"/>
      <c r="I43" s="53" t="inlineStr">
        <is>
          <t>IN</t>
        </is>
      </c>
      <c r="J43" s="53" t="inlineStr">
        <is>
          <t>2026-04-02</t>
        </is>
      </c>
      <c r="K43" s="53" t="inlineStr">
        <is>
          <t>2026-03-31</t>
        </is>
      </c>
      <c r="L43" s="53" t="inlineStr"/>
    </row>
    <row r="44">
      <c r="A44" s="53" t="inlineStr">
        <is>
          <t>DS.2026.2403 Big Dawg Pickup 0327</t>
        </is>
      </c>
      <c r="B44" s="53" t="inlineStr">
        <is>
          <t>2750306</t>
        </is>
      </c>
      <c r="C44" s="53" t="inlineStr">
        <is>
          <t>DW</t>
        </is>
      </c>
      <c r="D44" s="53" t="inlineStr">
        <is>
          <t>(Unassigned)</t>
        </is>
      </c>
      <c r="E44" s="53" t="inlineStr">
        <is>
          <t>Big Dawg Drywall</t>
        </is>
      </c>
      <c r="F44" s="53" t="inlineStr">
        <is>
          <t>ACTIVE</t>
        </is>
      </c>
      <c r="G44" s="53" t="inlineStr">
        <is>
          <t>FIXED_PRICE</t>
        </is>
      </c>
      <c r="H44" s="53" t="inlineStr"/>
      <c r="I44" s="53" t="inlineStr"/>
      <c r="J44" s="53" t="inlineStr">
        <is>
          <t>2026-03-30</t>
        </is>
      </c>
      <c r="K44" s="53" t="inlineStr">
        <is>
          <t>2026-03-27</t>
        </is>
      </c>
      <c r="L44" s="53" t="inlineStr"/>
    </row>
    <row r="45">
      <c r="A45" s="53" t="inlineStr">
        <is>
          <t>DS.2026.2402 Courtyards of Cielo Ranch 17</t>
        </is>
      </c>
      <c r="B45" s="53" t="inlineStr">
        <is>
          <t>2750278</t>
        </is>
      </c>
      <c r="C45" s="53" t="inlineStr">
        <is>
          <t>DW</t>
        </is>
      </c>
      <c r="D45" s="53" t="inlineStr">
        <is>
          <t>(Unassigned)</t>
        </is>
      </c>
      <c r="E45" s="53" t="inlineStr">
        <is>
          <t>Big Dawg Drywall</t>
        </is>
      </c>
      <c r="F45" s="53" t="inlineStr">
        <is>
          <t>ACTIVE</t>
        </is>
      </c>
      <c r="G45" s="53" t="inlineStr">
        <is>
          <t>FIXED_PRICE</t>
        </is>
      </c>
      <c r="H45" s="53" t="inlineStr"/>
      <c r="I45" s="53" t="inlineStr">
        <is>
          <t>IN</t>
        </is>
      </c>
      <c r="J45" s="53" t="inlineStr">
        <is>
          <t>2026-03-30</t>
        </is>
      </c>
      <c r="K45" s="53" t="inlineStr">
        <is>
          <t>2026-03-27</t>
        </is>
      </c>
      <c r="L45" s="53" t="inlineStr"/>
    </row>
    <row r="46">
      <c r="A46" s="53" t="inlineStr">
        <is>
          <t>DS.2026.2401 Flores Kenneland</t>
        </is>
      </c>
      <c r="B46" s="53" t="inlineStr">
        <is>
          <t>2750126</t>
        </is>
      </c>
      <c r="C46" s="53" t="inlineStr">
        <is>
          <t>DW</t>
        </is>
      </c>
      <c r="D46" s="53" t="inlineStr">
        <is>
          <t>(Unassigned)</t>
        </is>
      </c>
      <c r="E46" s="53" t="inlineStr">
        <is>
          <t>Flores Drywall and Remodeling LLC</t>
        </is>
      </c>
      <c r="F46" s="53" t="inlineStr">
        <is>
          <t>ACTIVE</t>
        </is>
      </c>
      <c r="G46" s="53" t="inlineStr">
        <is>
          <t>FIXED_PRICE</t>
        </is>
      </c>
      <c r="H46" s="53" t="inlineStr"/>
      <c r="I46" s="53" t="inlineStr">
        <is>
          <t>IN</t>
        </is>
      </c>
      <c r="J46" s="53" t="inlineStr">
        <is>
          <t>2026-03-30</t>
        </is>
      </c>
      <c r="K46" s="53" t="inlineStr">
        <is>
          <t>2026-03-20</t>
        </is>
      </c>
      <c r="L46" s="53" t="inlineStr">
        <is>
          <t>2026-03-20</t>
        </is>
      </c>
    </row>
    <row r="47">
      <c r="A47" s="53" t="inlineStr">
        <is>
          <t>DS.2026.2400 Courtyards of Russell Oaks 115</t>
        </is>
      </c>
      <c r="B47" s="53" t="inlineStr">
        <is>
          <t>2733362</t>
        </is>
      </c>
      <c r="C47" s="53" t="inlineStr">
        <is>
          <t>DW</t>
        </is>
      </c>
      <c r="D47" s="53" t="inlineStr">
        <is>
          <t>(Unassigned)</t>
        </is>
      </c>
      <c r="E47" s="53" t="inlineStr">
        <is>
          <t>Big Dawg Drywall</t>
        </is>
      </c>
      <c r="F47" s="53" t="inlineStr">
        <is>
          <t>ACTIVE</t>
        </is>
      </c>
      <c r="G47" s="53" t="inlineStr">
        <is>
          <t>FIXED_PRICE</t>
        </is>
      </c>
      <c r="H47" s="53" t="inlineStr"/>
      <c r="I47" s="53" t="inlineStr">
        <is>
          <t>IN</t>
        </is>
      </c>
      <c r="J47" s="53" t="inlineStr">
        <is>
          <t>2026-03-20</t>
        </is>
      </c>
      <c r="K47" s="53" t="inlineStr">
        <is>
          <t>2026-03-19</t>
        </is>
      </c>
      <c r="L47" s="53" t="inlineStr"/>
    </row>
    <row r="48">
      <c r="A48" s="53" t="inlineStr">
        <is>
          <t>DS.2026.2399 Courtyards of Russell Oaks 74</t>
        </is>
      </c>
      <c r="B48" s="53" t="inlineStr">
        <is>
          <t>2733343</t>
        </is>
      </c>
      <c r="C48" s="53" t="inlineStr">
        <is>
          <t>DW</t>
        </is>
      </c>
      <c r="D48" s="53" t="inlineStr">
        <is>
          <t>(Unassigned)</t>
        </is>
      </c>
      <c r="E48" s="53" t="inlineStr">
        <is>
          <t>Big Dawg Drywall</t>
        </is>
      </c>
      <c r="F48" s="53" t="inlineStr">
        <is>
          <t>ACTIVE</t>
        </is>
      </c>
      <c r="G48" s="53" t="inlineStr">
        <is>
          <t>FIXED_PRICE</t>
        </is>
      </c>
      <c r="H48" s="53" t="inlineStr"/>
      <c r="I48" s="53" t="inlineStr">
        <is>
          <t>IN</t>
        </is>
      </c>
      <c r="J48" s="53" t="inlineStr">
        <is>
          <t>2026-03-20</t>
        </is>
      </c>
      <c r="K48" s="53" t="inlineStr">
        <is>
          <t>2026-03-19</t>
        </is>
      </c>
      <c r="L48" s="53" t="inlineStr"/>
    </row>
    <row r="49">
      <c r="A49" s="53" t="inlineStr">
        <is>
          <t>DS.2026.2398 Courtyards of Ceilo Ranch 26</t>
        </is>
      </c>
      <c r="B49" s="53" t="inlineStr">
        <is>
          <t>2733326</t>
        </is>
      </c>
      <c r="C49" s="53" t="inlineStr">
        <is>
          <t>DW</t>
        </is>
      </c>
      <c r="D49" s="53" t="inlineStr">
        <is>
          <t>(Unassigned)</t>
        </is>
      </c>
      <c r="E49" s="53" t="inlineStr">
        <is>
          <t>Big Dawg Drywall</t>
        </is>
      </c>
      <c r="F49" s="53" t="inlineStr">
        <is>
          <t>ACTIVE</t>
        </is>
      </c>
      <c r="G49" s="53" t="inlineStr">
        <is>
          <t>FIXED_PRICE</t>
        </is>
      </c>
      <c r="H49" s="53" t="inlineStr"/>
      <c r="I49" s="53" t="inlineStr">
        <is>
          <t>IN</t>
        </is>
      </c>
      <c r="J49" s="53" t="inlineStr">
        <is>
          <t>2026-03-20</t>
        </is>
      </c>
      <c r="K49" s="53" t="inlineStr">
        <is>
          <t>2026-03-18</t>
        </is>
      </c>
      <c r="L49" s="53" t="inlineStr"/>
    </row>
    <row r="50">
      <c r="A50" s="53" t="inlineStr">
        <is>
          <t>2026.1047 Springdale Building 4 Demising Walls</t>
        </is>
      </c>
      <c r="B50" s="53" t="inlineStr">
        <is>
          <t>2726249</t>
        </is>
      </c>
      <c r="C50" s="53" t="inlineStr">
        <is>
          <t>TI</t>
        </is>
      </c>
      <c r="D50" s="53" t="inlineStr">
        <is>
          <t>Tommy Cohoat</t>
        </is>
      </c>
      <c r="E50" s="53" t="inlineStr">
        <is>
          <t>The Peterson Company, LLC</t>
        </is>
      </c>
      <c r="F50" s="53" t="inlineStr">
        <is>
          <t>ACTIVE</t>
        </is>
      </c>
      <c r="G50" s="53" t="inlineStr">
        <is>
          <t>FIXED_PRICE_WITH_AIA_BILLING</t>
        </is>
      </c>
      <c r="H50" s="53" t="inlineStr">
        <is>
          <t>Springdale</t>
        </is>
      </c>
      <c r="I50" s="53" t="inlineStr">
        <is>
          <t>OH</t>
        </is>
      </c>
      <c r="J50" s="53" t="inlineStr">
        <is>
          <t>2026-04-29</t>
        </is>
      </c>
      <c r="K50" s="53" t="inlineStr">
        <is>
          <t>2026-04-23</t>
        </is>
      </c>
      <c r="L50" s="53" t="inlineStr">
        <is>
          <t>2026-05-29</t>
        </is>
      </c>
    </row>
    <row r="51">
      <c r="A51" s="53" t="inlineStr">
        <is>
          <t>DS.2026.2397 Courtyards of Cielo Ranch 26</t>
        </is>
      </c>
      <c r="B51" s="53" t="inlineStr">
        <is>
          <t>2726122</t>
        </is>
      </c>
      <c r="C51" s="53" t="inlineStr">
        <is>
          <t>DW</t>
        </is>
      </c>
      <c r="D51" s="53" t="inlineStr">
        <is>
          <t>(Unassigned)</t>
        </is>
      </c>
      <c r="E51" s="53" t="inlineStr">
        <is>
          <t>Big Dawg Drywall</t>
        </is>
      </c>
      <c r="F51" s="53" t="inlineStr">
        <is>
          <t>ACTIVE</t>
        </is>
      </c>
      <c r="G51" s="53" t="inlineStr">
        <is>
          <t>FIXED_PRICE</t>
        </is>
      </c>
      <c r="H51" s="53" t="inlineStr"/>
      <c r="I51" s="53" t="inlineStr">
        <is>
          <t>IN</t>
        </is>
      </c>
      <c r="J51" s="53" t="inlineStr">
        <is>
          <t>2026-03-17</t>
        </is>
      </c>
      <c r="K51" s="53" t="inlineStr">
        <is>
          <t>2026-03-13</t>
        </is>
      </c>
      <c r="L51" s="53" t="inlineStr"/>
    </row>
    <row r="52">
      <c r="A52" s="53" t="inlineStr">
        <is>
          <t>2026.1046 Automatic Distributors (Park 130 Bldg 6)</t>
        </is>
      </c>
      <c r="B52" s="53" t="inlineStr">
        <is>
          <t>2715709</t>
        </is>
      </c>
      <c r="C52" s="53" t="inlineStr">
        <is>
          <t>TI</t>
        </is>
      </c>
      <c r="D52" s="53" t="inlineStr">
        <is>
          <t>Cole Garriott</t>
        </is>
      </c>
      <c r="E52" s="53" t="inlineStr">
        <is>
          <t>The Peterson Company, LLC</t>
        </is>
      </c>
      <c r="F52" s="53" t="inlineStr">
        <is>
          <t>ACTIVE</t>
        </is>
      </c>
      <c r="G52" s="53" t="inlineStr">
        <is>
          <t>FIXED_PRICE_WITH_AIA_BILLING</t>
        </is>
      </c>
      <c r="H52" s="53" t="inlineStr">
        <is>
          <t>Whitestown</t>
        </is>
      </c>
      <c r="I52" s="53" t="inlineStr">
        <is>
          <t>IN</t>
        </is>
      </c>
      <c r="J52" s="53" t="inlineStr">
        <is>
          <t>2026-03-18</t>
        </is>
      </c>
      <c r="K52" s="53" t="inlineStr">
        <is>
          <t>2026-04-06</t>
        </is>
      </c>
      <c r="L52" s="53" t="inlineStr">
        <is>
          <t>2026-06-30</t>
        </is>
      </c>
    </row>
    <row r="53">
      <c r="A53" s="53" t="inlineStr">
        <is>
          <t>2026.1045 First OnSite (Ameriplex)</t>
        </is>
      </c>
      <c r="B53" s="53" t="inlineStr">
        <is>
          <t>2712233</t>
        </is>
      </c>
      <c r="C53" s="53" t="inlineStr">
        <is>
          <t>TI</t>
        </is>
      </c>
      <c r="D53" s="53" t="inlineStr">
        <is>
          <t>Spencer Anderson</t>
        </is>
      </c>
      <c r="E53" s="53" t="inlineStr">
        <is>
          <t>Holladay Construction Group</t>
        </is>
      </c>
      <c r="F53" s="53" t="inlineStr">
        <is>
          <t>ACTIVE</t>
        </is>
      </c>
      <c r="G53" s="53" t="inlineStr">
        <is>
          <t>FIXED_PRICE_WITH_AIA_BILLING</t>
        </is>
      </c>
      <c r="H53" s="53" t="inlineStr">
        <is>
          <t>Indianapolis</t>
        </is>
      </c>
      <c r="I53" s="53" t="inlineStr">
        <is>
          <t>IN</t>
        </is>
      </c>
      <c r="J53" s="53" t="inlineStr">
        <is>
          <t>2026-03-13</t>
        </is>
      </c>
      <c r="K53" s="53" t="inlineStr">
        <is>
          <t>2026-03-17</t>
        </is>
      </c>
      <c r="L53" s="53" t="inlineStr"/>
    </row>
    <row r="54">
      <c r="A54" s="53" t="inlineStr">
        <is>
          <t>DS.2026.2396 6252 West Turtle Hill Ct</t>
        </is>
      </c>
      <c r="B54" s="53" t="inlineStr">
        <is>
          <t>2703041</t>
        </is>
      </c>
      <c r="C54" s="53" t="inlineStr">
        <is>
          <t>DW</t>
        </is>
      </c>
      <c r="D54" s="53" t="inlineStr">
        <is>
          <t>(Unassigned)</t>
        </is>
      </c>
      <c r="E54" s="53" t="inlineStr">
        <is>
          <t>Flores Drywall and Remodeling LLC</t>
        </is>
      </c>
      <c r="F54" s="53" t="inlineStr">
        <is>
          <t>ACTIVE</t>
        </is>
      </c>
      <c r="G54" s="53" t="inlineStr">
        <is>
          <t>FIXED_PRICE</t>
        </is>
      </c>
      <c r="H54" s="53" t="inlineStr"/>
      <c r="I54" s="53" t="inlineStr">
        <is>
          <t>IN</t>
        </is>
      </c>
      <c r="J54" s="53" t="inlineStr">
        <is>
          <t>2026-03-05</t>
        </is>
      </c>
      <c r="K54" s="53" t="inlineStr">
        <is>
          <t>2026-03-03</t>
        </is>
      </c>
      <c r="L54" s="53" t="inlineStr"/>
    </row>
    <row r="55">
      <c r="A55" s="53" t="inlineStr">
        <is>
          <t>DS.2026.2395 Courtyards of Westfield 103</t>
        </is>
      </c>
      <c r="B55" s="53" t="inlineStr">
        <is>
          <t>2702940</t>
        </is>
      </c>
      <c r="C55" s="53" t="inlineStr">
        <is>
          <t>DW</t>
        </is>
      </c>
      <c r="D55" s="53" t="inlineStr">
        <is>
          <t>(Unassigned)</t>
        </is>
      </c>
      <c r="E55" s="53" t="inlineStr">
        <is>
          <t>Big Dawg Drywall</t>
        </is>
      </c>
      <c r="F55" s="53" t="inlineStr">
        <is>
          <t>ACTIVE</t>
        </is>
      </c>
      <c r="G55" s="53" t="inlineStr">
        <is>
          <t>FIXED_PRICE</t>
        </is>
      </c>
      <c r="H55" s="53" t="inlineStr"/>
      <c r="I55" s="53" t="inlineStr">
        <is>
          <t>IN</t>
        </is>
      </c>
      <c r="J55" s="53" t="inlineStr">
        <is>
          <t>2026-03-05</t>
        </is>
      </c>
      <c r="K55" s="53" t="inlineStr">
        <is>
          <t>2026-03-03</t>
        </is>
      </c>
      <c r="L55" s="53" t="inlineStr"/>
    </row>
    <row r="56">
      <c r="A56" s="53" t="inlineStr">
        <is>
          <t>2026.1043 Deer Creek Building 1</t>
        </is>
      </c>
      <c r="B56" s="53" t="inlineStr">
        <is>
          <t>2701256</t>
        </is>
      </c>
      <c r="C56" s="53" t="inlineStr">
        <is>
          <t>TI</t>
        </is>
      </c>
      <c r="D56" s="53" t="inlineStr">
        <is>
          <t>Tommy Cohoat</t>
        </is>
      </c>
      <c r="E56" s="53" t="inlineStr">
        <is>
          <t>Patch Development</t>
        </is>
      </c>
      <c r="F56" s="53" t="inlineStr">
        <is>
          <t>ACTIVE</t>
        </is>
      </c>
      <c r="G56" s="53" t="inlineStr">
        <is>
          <t>FIXED_PRICE_WITH_AIA_BILLING</t>
        </is>
      </c>
      <c r="H56" s="53" t="inlineStr">
        <is>
          <t>Noblesville</t>
        </is>
      </c>
      <c r="I56" s="53" t="inlineStr">
        <is>
          <t>IN</t>
        </is>
      </c>
      <c r="J56" s="53" t="inlineStr">
        <is>
          <t>2026-03-10</t>
        </is>
      </c>
      <c r="K56" s="53" t="inlineStr">
        <is>
          <t>2026-03-09</t>
        </is>
      </c>
      <c r="L56" s="53" t="inlineStr"/>
    </row>
    <row r="57">
      <c r="A57" s="53" t="inlineStr">
        <is>
          <t>DS.2026.2394 5778 Marvie Drive</t>
        </is>
      </c>
      <c r="B57" s="53" t="inlineStr">
        <is>
          <t>2686749</t>
        </is>
      </c>
      <c r="C57" s="53" t="inlineStr">
        <is>
          <t>DW</t>
        </is>
      </c>
      <c r="D57" s="53" t="inlineStr">
        <is>
          <t>(Unassigned)</t>
        </is>
      </c>
      <c r="E57" s="53" t="inlineStr">
        <is>
          <t>Flores Drywall and Remodeling LLC</t>
        </is>
      </c>
      <c r="F57" s="53" t="inlineStr">
        <is>
          <t>ACTIVE</t>
        </is>
      </c>
      <c r="G57" s="53" t="inlineStr">
        <is>
          <t>FIXED_PRICE</t>
        </is>
      </c>
      <c r="H57" s="53" t="inlineStr"/>
      <c r="I57" s="53" t="inlineStr">
        <is>
          <t>IN</t>
        </is>
      </c>
      <c r="J57" s="53" t="inlineStr">
        <is>
          <t>2026-02-25</t>
        </is>
      </c>
      <c r="K57" s="53" t="inlineStr">
        <is>
          <t>2026-02-24</t>
        </is>
      </c>
      <c r="L57" s="53" t="inlineStr"/>
    </row>
    <row r="58">
      <c r="A58" s="53" t="inlineStr">
        <is>
          <t>DS.2026.2393 Precision Pickup 0216</t>
        </is>
      </c>
      <c r="B58" s="53" t="inlineStr">
        <is>
          <t>2684477</t>
        </is>
      </c>
      <c r="C58" s="53" t="inlineStr">
        <is>
          <t>DW</t>
        </is>
      </c>
      <c r="D58" s="53" t="inlineStr">
        <is>
          <t>(Unassigned)</t>
        </is>
      </c>
      <c r="E58" s="53" t="inlineStr">
        <is>
          <t>Precision Dry Wall</t>
        </is>
      </c>
      <c r="F58" s="53" t="inlineStr">
        <is>
          <t>ACTIVE</t>
        </is>
      </c>
      <c r="G58" s="53" t="inlineStr">
        <is>
          <t>FIXED_PRICE</t>
        </is>
      </c>
      <c r="H58" s="53" t="inlineStr"/>
      <c r="I58" s="53" t="inlineStr">
        <is>
          <t>IN</t>
        </is>
      </c>
      <c r="J58" s="53" t="inlineStr">
        <is>
          <t>2026-02-24</t>
        </is>
      </c>
      <c r="K58" s="53" t="inlineStr">
        <is>
          <t>2026-02-16</t>
        </is>
      </c>
      <c r="L58" s="53" t="inlineStr"/>
    </row>
    <row r="59">
      <c r="A59" s="53" t="inlineStr">
        <is>
          <t>2026.1056 Senator Banks Office</t>
        </is>
      </c>
      <c r="B59" s="53" t="inlineStr">
        <is>
          <t>2681998</t>
        </is>
      </c>
      <c r="C59" s="53" t="inlineStr">
        <is>
          <t>TI</t>
        </is>
      </c>
      <c r="D59" s="53" t="inlineStr">
        <is>
          <t>Dustin Hurt</t>
        </is>
      </c>
      <c r="E59" s="53" t="inlineStr">
        <is>
          <t>BW Facility Management, LLC</t>
        </is>
      </c>
      <c r="F59" s="53" t="inlineStr">
        <is>
          <t>ACTIVE</t>
        </is>
      </c>
      <c r="G59" s="53" t="inlineStr">
        <is>
          <t>FIXED_PRICE_WITH_AIA_BILLING</t>
        </is>
      </c>
      <c r="H59" s="53" t="inlineStr">
        <is>
          <t>Fishers</t>
        </is>
      </c>
      <c r="I59" s="53" t="inlineStr">
        <is>
          <t>IN</t>
        </is>
      </c>
      <c r="J59" s="53" t="inlineStr">
        <is>
          <t>2026-05-08</t>
        </is>
      </c>
      <c r="K59" s="53" t="inlineStr">
        <is>
          <t>2026-05-08</t>
        </is>
      </c>
      <c r="L59" s="53" t="inlineStr">
        <is>
          <t>2026-07-08</t>
        </is>
      </c>
    </row>
    <row r="60">
      <c r="A60" s="53" t="inlineStr">
        <is>
          <t>DS.2026.2392 3705 Holiday Farms Blvd - Precision</t>
        </is>
      </c>
      <c r="B60" s="53" t="inlineStr">
        <is>
          <t>2676832</t>
        </is>
      </c>
      <c r="C60" s="53" t="inlineStr">
        <is>
          <t>DW</t>
        </is>
      </c>
      <c r="D60" s="53" t="inlineStr">
        <is>
          <t>(Unassigned)</t>
        </is>
      </c>
      <c r="E60" s="53" t="inlineStr">
        <is>
          <t>Precision Dry Wall</t>
        </is>
      </c>
      <c r="F60" s="53" t="inlineStr">
        <is>
          <t>ACTIVE</t>
        </is>
      </c>
      <c r="G60" s="53" t="inlineStr">
        <is>
          <t>FIXED_PRICE</t>
        </is>
      </c>
      <c r="H60" s="53" t="inlineStr"/>
      <c r="I60" s="53" t="inlineStr">
        <is>
          <t>IN</t>
        </is>
      </c>
      <c r="J60" s="53" t="inlineStr">
        <is>
          <t>2026-02-19</t>
        </is>
      </c>
      <c r="K60" s="53" t="inlineStr">
        <is>
          <t>2026-02-18</t>
        </is>
      </c>
      <c r="L60" s="53" t="inlineStr"/>
    </row>
    <row r="61">
      <c r="A61" s="53" t="inlineStr">
        <is>
          <t>DS.2026.2391 0218 Jose Iracheta</t>
        </is>
      </c>
      <c r="B61" s="53" t="inlineStr">
        <is>
          <t>2676780</t>
        </is>
      </c>
      <c r="C61" s="53" t="inlineStr">
        <is>
          <t>UN</t>
        </is>
      </c>
      <c r="D61" s="53" t="inlineStr">
        <is>
          <t>(Unassigned)</t>
        </is>
      </c>
      <c r="E61" s="53" t="inlineStr">
        <is>
          <t>Kjt General Construction</t>
        </is>
      </c>
      <c r="F61" s="53" t="inlineStr">
        <is>
          <t>ACTIVE</t>
        </is>
      </c>
      <c r="G61" s="53" t="inlineStr">
        <is>
          <t>FIXED_PRICE</t>
        </is>
      </c>
      <c r="H61" s="53" t="inlineStr"/>
      <c r="I61" s="53" t="inlineStr">
        <is>
          <t>IN</t>
        </is>
      </c>
      <c r="J61" s="53" t="inlineStr">
        <is>
          <t>2026-02-19</t>
        </is>
      </c>
      <c r="K61" s="53" t="inlineStr">
        <is>
          <t>2026-02-18</t>
        </is>
      </c>
      <c r="L61" s="53" t="inlineStr"/>
    </row>
    <row r="62">
      <c r="A62" s="53" t="inlineStr">
        <is>
          <t>DS.2026.2390 510 W Pine St</t>
        </is>
      </c>
      <c r="B62" s="53" t="inlineStr">
        <is>
          <t>2676758</t>
        </is>
      </c>
      <c r="C62" s="53" t="inlineStr">
        <is>
          <t>DW</t>
        </is>
      </c>
      <c r="D62" s="53" t="inlineStr">
        <is>
          <t>(Unassigned)</t>
        </is>
      </c>
      <c r="E62" s="53" t="inlineStr">
        <is>
          <t>Precision Dry Wall</t>
        </is>
      </c>
      <c r="F62" s="53" t="inlineStr">
        <is>
          <t>ACTIVE</t>
        </is>
      </c>
      <c r="G62" s="53" t="inlineStr">
        <is>
          <t>FIXED_PRICE</t>
        </is>
      </c>
      <c r="H62" s="53" t="inlineStr"/>
      <c r="I62" s="53" t="inlineStr">
        <is>
          <t>IN</t>
        </is>
      </c>
      <c r="J62" s="53" t="inlineStr">
        <is>
          <t>2026-02-19</t>
        </is>
      </c>
      <c r="K62" s="53" t="inlineStr">
        <is>
          <t>2026-02-10</t>
        </is>
      </c>
      <c r="L62" s="53" t="inlineStr"/>
    </row>
    <row r="63">
      <c r="A63" s="53" t="inlineStr">
        <is>
          <t>DS.2026.2389 Courtyards of Russell Oaks 145</t>
        </is>
      </c>
      <c r="B63" s="53" t="inlineStr">
        <is>
          <t>2675379</t>
        </is>
      </c>
      <c r="C63" s="53" t="inlineStr">
        <is>
          <t>DW</t>
        </is>
      </c>
      <c r="D63" s="53" t="inlineStr">
        <is>
          <t>(Unassigned)</t>
        </is>
      </c>
      <c r="E63" s="53" t="inlineStr">
        <is>
          <t>Big Dawg Drywall</t>
        </is>
      </c>
      <c r="F63" s="53" t="inlineStr">
        <is>
          <t>ACTIVE</t>
        </is>
      </c>
      <c r="G63" s="53" t="inlineStr">
        <is>
          <t>FIXED_PRICE</t>
        </is>
      </c>
      <c r="H63" s="53" t="inlineStr"/>
      <c r="I63" s="53" t="inlineStr">
        <is>
          <t>IN</t>
        </is>
      </c>
      <c r="J63" s="53" t="inlineStr">
        <is>
          <t>2026-02-19</t>
        </is>
      </c>
      <c r="K63" s="53" t="inlineStr">
        <is>
          <t>2026-02-17</t>
        </is>
      </c>
      <c r="L63" s="53" t="inlineStr"/>
    </row>
    <row r="64">
      <c r="A64" s="53" t="inlineStr">
        <is>
          <t>DS.2026.2388 Courtyards of Cielo Ranch 13</t>
        </is>
      </c>
      <c r="B64" s="53" t="inlineStr">
        <is>
          <t>2675217</t>
        </is>
      </c>
      <c r="C64" s="53" t="inlineStr">
        <is>
          <t>DW</t>
        </is>
      </c>
      <c r="D64" s="53" t="inlineStr">
        <is>
          <t>(Unassigned)</t>
        </is>
      </c>
      <c r="E64" s="53" t="inlineStr">
        <is>
          <t>Big Dawg Drywall</t>
        </is>
      </c>
      <c r="F64" s="53" t="inlineStr">
        <is>
          <t>ACTIVE</t>
        </is>
      </c>
      <c r="G64" s="53" t="inlineStr">
        <is>
          <t>FIXED_PRICE</t>
        </is>
      </c>
      <c r="H64" s="53" t="inlineStr"/>
      <c r="I64" s="53" t="inlineStr">
        <is>
          <t>IN</t>
        </is>
      </c>
      <c r="J64" s="53" t="inlineStr">
        <is>
          <t>2026-02-19</t>
        </is>
      </c>
      <c r="K64" s="53" t="inlineStr">
        <is>
          <t>2026-02-10</t>
        </is>
      </c>
      <c r="L64" s="53" t="inlineStr"/>
    </row>
    <row r="65">
      <c r="A65" s="53" t="inlineStr">
        <is>
          <t>DS.2026.2387 0204 Jose Irachetta</t>
        </is>
      </c>
      <c r="B65" s="53" t="inlineStr">
        <is>
          <t>2665957</t>
        </is>
      </c>
      <c r="C65" s="53" t="inlineStr">
        <is>
          <t>UN</t>
        </is>
      </c>
      <c r="D65" s="53" t="inlineStr">
        <is>
          <t>(Unassigned)</t>
        </is>
      </c>
      <c r="E65" s="53" t="inlineStr">
        <is>
          <t>Kjt General Construction</t>
        </is>
      </c>
      <c r="F65" s="53" t="inlineStr">
        <is>
          <t>ACTIVE</t>
        </is>
      </c>
      <c r="G65" s="53" t="inlineStr">
        <is>
          <t>FIXED_PRICE</t>
        </is>
      </c>
      <c r="H65" s="53" t="inlineStr"/>
      <c r="I65" s="53" t="inlineStr"/>
      <c r="J65" s="53" t="inlineStr">
        <is>
          <t>2026-02-13</t>
        </is>
      </c>
      <c r="K65" s="53" t="inlineStr">
        <is>
          <t>2026-02-04</t>
        </is>
      </c>
      <c r="L65" s="53" t="inlineStr"/>
    </row>
    <row r="66">
      <c r="A66" s="53" t="inlineStr">
        <is>
          <t>2026.1041 Whiteland Building 2 - Blackhawk</t>
        </is>
      </c>
      <c r="B66" s="53" t="inlineStr">
        <is>
          <t>2656341</t>
        </is>
      </c>
      <c r="C66" s="53" t="inlineStr">
        <is>
          <t>TI</t>
        </is>
      </c>
      <c r="D66" s="53" t="inlineStr">
        <is>
          <t>Spencer Anderson</t>
        </is>
      </c>
      <c r="E66" s="53" t="inlineStr">
        <is>
          <t>Patch Development</t>
        </is>
      </c>
      <c r="F66" s="53" t="inlineStr">
        <is>
          <t>ACTIVE</t>
        </is>
      </c>
      <c r="G66" s="53" t="inlineStr">
        <is>
          <t>FIXED_PRICE_WITH_AIA_BILLING</t>
        </is>
      </c>
      <c r="H66" s="53" t="inlineStr">
        <is>
          <t>Whiteland</t>
        </is>
      </c>
      <c r="I66" s="53" t="inlineStr">
        <is>
          <t>IN</t>
        </is>
      </c>
      <c r="J66" s="53" t="inlineStr">
        <is>
          <t>2026-02-10</t>
        </is>
      </c>
      <c r="K66" s="53" t="inlineStr">
        <is>
          <t>2026-03-30</t>
        </is>
      </c>
      <c r="L66" s="53" t="inlineStr">
        <is>
          <t>2026-04-30</t>
        </is>
      </c>
    </row>
    <row r="67">
      <c r="A67" s="53" t="inlineStr">
        <is>
          <t>2026.1040 Lakeside Books</t>
        </is>
      </c>
      <c r="B67" s="53" t="inlineStr">
        <is>
          <t>2653588</t>
        </is>
      </c>
      <c r="C67" s="53" t="inlineStr">
        <is>
          <t>TI</t>
        </is>
      </c>
      <c r="D67" s="53" t="inlineStr">
        <is>
          <t>Trevor Anderson</t>
        </is>
      </c>
      <c r="E67" s="53" t="inlineStr">
        <is>
          <t>The Peterson Company, LLC</t>
        </is>
      </c>
      <c r="F67" s="53" t="inlineStr">
        <is>
          <t>ACTIVE</t>
        </is>
      </c>
      <c r="G67" s="53" t="inlineStr">
        <is>
          <t>FIXED_PRICE</t>
        </is>
      </c>
      <c r="H67" s="53" t="inlineStr">
        <is>
          <t>Avon</t>
        </is>
      </c>
      <c r="I67" s="53" t="inlineStr">
        <is>
          <t>IN</t>
        </is>
      </c>
      <c r="J67" s="53" t="inlineStr">
        <is>
          <t>2026-05-11</t>
        </is>
      </c>
      <c r="K67" s="53" t="inlineStr">
        <is>
          <t>2026-02-07</t>
        </is>
      </c>
      <c r="L67" s="53" t="inlineStr"/>
    </row>
    <row r="68">
      <c r="A68" s="53" t="inlineStr">
        <is>
          <t>DS.2026.2386 Courtyards of Russell Oaks 125</t>
        </is>
      </c>
      <c r="B68" s="53" t="inlineStr">
        <is>
          <t>2653377</t>
        </is>
      </c>
      <c r="C68" s="53" t="inlineStr">
        <is>
          <t>DW</t>
        </is>
      </c>
      <c r="D68" s="53" t="inlineStr">
        <is>
          <t>(Unassigned)</t>
        </is>
      </c>
      <c r="E68" s="53" t="inlineStr">
        <is>
          <t>Big Dawg Drywall</t>
        </is>
      </c>
      <c r="F68" s="53" t="inlineStr">
        <is>
          <t>ACTIVE</t>
        </is>
      </c>
      <c r="G68" s="53" t="inlineStr">
        <is>
          <t>FIXED_PRICE</t>
        </is>
      </c>
      <c r="H68" s="53" t="inlineStr"/>
      <c r="I68" s="53" t="inlineStr">
        <is>
          <t>IN</t>
        </is>
      </c>
      <c r="J68" s="53" t="inlineStr">
        <is>
          <t>2026-02-06</t>
        </is>
      </c>
      <c r="K68" s="53" t="inlineStr">
        <is>
          <t>2026-02-05</t>
        </is>
      </c>
      <c r="L68" s="53" t="inlineStr"/>
    </row>
    <row r="69">
      <c r="A69" s="53" t="inlineStr">
        <is>
          <t>DS.2026.2385 Courtyards of Russell Oaks 123</t>
        </is>
      </c>
      <c r="B69" s="53" t="inlineStr">
        <is>
          <t>2653351</t>
        </is>
      </c>
      <c r="C69" s="53" t="inlineStr">
        <is>
          <t>DW</t>
        </is>
      </c>
      <c r="D69" s="53" t="inlineStr">
        <is>
          <t>(Unassigned)</t>
        </is>
      </c>
      <c r="E69" s="53" t="inlineStr">
        <is>
          <t>Big Dawg Drywall</t>
        </is>
      </c>
      <c r="F69" s="53" t="inlineStr">
        <is>
          <t>ACTIVE</t>
        </is>
      </c>
      <c r="G69" s="53" t="inlineStr">
        <is>
          <t>FIXED_PRICE</t>
        </is>
      </c>
      <c r="H69" s="53" t="inlineStr"/>
      <c r="I69" s="53" t="inlineStr">
        <is>
          <t>IN</t>
        </is>
      </c>
      <c r="J69" s="53" t="inlineStr">
        <is>
          <t>2026-02-06</t>
        </is>
      </c>
      <c r="K69" s="53" t="inlineStr">
        <is>
          <t>2026-02-05</t>
        </is>
      </c>
      <c r="L69" s="53" t="inlineStr"/>
    </row>
    <row r="70">
      <c r="A70" s="53" t="inlineStr">
        <is>
          <t>DS.2026.2384 225 N St Ave</t>
        </is>
      </c>
      <c r="B70" s="53" t="inlineStr">
        <is>
          <t>2653309</t>
        </is>
      </c>
      <c r="C70" s="53" t="inlineStr">
        <is>
          <t>DW</t>
        </is>
      </c>
      <c r="D70" s="53" t="inlineStr">
        <is>
          <t>(Unassigned)</t>
        </is>
      </c>
      <c r="E70" s="53" t="inlineStr">
        <is>
          <t>Precision Dry Wall</t>
        </is>
      </c>
      <c r="F70" s="53" t="inlineStr">
        <is>
          <t>ACTIVE</t>
        </is>
      </c>
      <c r="G70" s="53" t="inlineStr">
        <is>
          <t>FIXED_PRICE</t>
        </is>
      </c>
      <c r="H70" s="53" t="inlineStr"/>
      <c r="I70" s="53" t="inlineStr">
        <is>
          <t>IN</t>
        </is>
      </c>
      <c r="J70" s="53" t="inlineStr">
        <is>
          <t>2026-02-06</t>
        </is>
      </c>
      <c r="K70" s="53" t="inlineStr">
        <is>
          <t>2026-02-04</t>
        </is>
      </c>
      <c r="L70" s="53" t="inlineStr"/>
    </row>
    <row r="71">
      <c r="A71" s="53" t="inlineStr">
        <is>
          <t>2026.1039 Upland Prospect Street</t>
        </is>
      </c>
      <c r="B71" s="53" t="inlineStr">
        <is>
          <t>2652271</t>
        </is>
      </c>
      <c r="C71" s="53" t="inlineStr">
        <is>
          <t>TI</t>
        </is>
      </c>
      <c r="D71" s="53" t="inlineStr">
        <is>
          <t>Tommy Cohoat</t>
        </is>
      </c>
      <c r="E71" s="53" t="inlineStr">
        <is>
          <t>Bischoff Construction, LLC</t>
        </is>
      </c>
      <c r="F71" s="53" t="inlineStr">
        <is>
          <t>ACTIVE</t>
        </is>
      </c>
      <c r="G71" s="53" t="inlineStr">
        <is>
          <t>FIXED_PRICE</t>
        </is>
      </c>
      <c r="H71" s="53" t="inlineStr">
        <is>
          <t>Indianapolis</t>
        </is>
      </c>
      <c r="I71" s="53" t="inlineStr">
        <is>
          <t>IN</t>
        </is>
      </c>
      <c r="J71" s="53" t="inlineStr">
        <is>
          <t>2026-02-06</t>
        </is>
      </c>
      <c r="K71" s="53" t="inlineStr">
        <is>
          <t>2026-02-02</t>
        </is>
      </c>
      <c r="L71" s="53" t="inlineStr">
        <is>
          <t>2026-02-20</t>
        </is>
      </c>
    </row>
    <row r="72">
      <c r="A72" s="53" t="inlineStr">
        <is>
          <t>DS.2026.2383 Courtyards of Cielo Ranch 37</t>
        </is>
      </c>
      <c r="B72" s="53" t="inlineStr">
        <is>
          <t>2645199</t>
        </is>
      </c>
      <c r="C72" s="53" t="inlineStr">
        <is>
          <t>DW</t>
        </is>
      </c>
      <c r="D72" s="53" t="inlineStr">
        <is>
          <t>(Unassigned)</t>
        </is>
      </c>
      <c r="E72" s="53" t="inlineStr">
        <is>
          <t>Big Dawg Drywall</t>
        </is>
      </c>
      <c r="F72" s="53" t="inlineStr">
        <is>
          <t>ACTIVE</t>
        </is>
      </c>
      <c r="G72" s="53" t="inlineStr">
        <is>
          <t>FIXED_PRICE</t>
        </is>
      </c>
      <c r="H72" s="53" t="inlineStr"/>
      <c r="I72" s="53" t="inlineStr">
        <is>
          <t>IN</t>
        </is>
      </c>
      <c r="J72" s="53" t="inlineStr">
        <is>
          <t>2026-02-03</t>
        </is>
      </c>
      <c r="K72" s="53" t="inlineStr">
        <is>
          <t>2026-02-02</t>
        </is>
      </c>
      <c r="L72" s="53" t="inlineStr"/>
    </row>
    <row r="73">
      <c r="A73" s="53" t="inlineStr">
        <is>
          <t>DS.2026.2382 Cohoat House</t>
        </is>
      </c>
      <c r="B73" s="53" t="inlineStr">
        <is>
          <t>2645179</t>
        </is>
      </c>
      <c r="C73" s="53" t="inlineStr">
        <is>
          <t>DW</t>
        </is>
      </c>
      <c r="D73" s="53" t="inlineStr">
        <is>
          <t>(Unassigned)</t>
        </is>
      </c>
      <c r="E73" s="53" t="inlineStr">
        <is>
          <t>Mendoza</t>
        </is>
      </c>
      <c r="F73" s="53" t="inlineStr">
        <is>
          <t>ACTIVE</t>
        </is>
      </c>
      <c r="G73" s="53" t="inlineStr">
        <is>
          <t>FIXED_PRICE</t>
        </is>
      </c>
      <c r="H73" s="53" t="inlineStr"/>
      <c r="I73" s="53" t="inlineStr">
        <is>
          <t>IN</t>
        </is>
      </c>
      <c r="J73" s="53" t="inlineStr">
        <is>
          <t>2026-02-03</t>
        </is>
      </c>
      <c r="K73" s="53" t="inlineStr">
        <is>
          <t>2026-02-02</t>
        </is>
      </c>
      <c r="L73" s="53" t="inlineStr"/>
    </row>
    <row r="74">
      <c r="A74" s="53" t="inlineStr">
        <is>
          <t>2026.1037 CV - Castle Rock</t>
        </is>
      </c>
      <c r="B74" s="53" t="inlineStr">
        <is>
          <t>2644918</t>
        </is>
      </c>
      <c r="C74" s="53" t="inlineStr">
        <is>
          <t>TI</t>
        </is>
      </c>
      <c r="D74" s="53" t="inlineStr">
        <is>
          <t>Ben Garza</t>
        </is>
      </c>
      <c r="E74" s="53" t="inlineStr">
        <is>
          <t>Bischoff Construction, LLC</t>
        </is>
      </c>
      <c r="F74" s="53" t="inlineStr">
        <is>
          <t>ACTIVE</t>
        </is>
      </c>
      <c r="G74" s="53" t="inlineStr">
        <is>
          <t>FIXED_PRICE</t>
        </is>
      </c>
      <c r="H74" s="53" t="inlineStr">
        <is>
          <t>Castle Rock</t>
        </is>
      </c>
      <c r="I74" s="53" t="inlineStr">
        <is>
          <t>CO</t>
        </is>
      </c>
      <c r="J74" s="53" t="inlineStr">
        <is>
          <t>2026-02-05</t>
        </is>
      </c>
      <c r="K74" s="53" t="inlineStr">
        <is>
          <t>2026-02-02</t>
        </is>
      </c>
      <c r="L74" s="53" t="inlineStr"/>
    </row>
    <row r="75">
      <c r="A75" s="53" t="inlineStr">
        <is>
          <t>2026.1036 Port Laredo Trade Center</t>
        </is>
      </c>
      <c r="B75" s="53" t="inlineStr">
        <is>
          <t>2644454</t>
        </is>
      </c>
      <c r="C75" s="53" t="inlineStr">
        <is>
          <t>TI</t>
        </is>
      </c>
      <c r="D75" s="53" t="inlineStr">
        <is>
          <t>Ben Garza</t>
        </is>
      </c>
      <c r="E75" s="53" t="inlineStr">
        <is>
          <t>ARCO Design/Build</t>
        </is>
      </c>
      <c r="F75" s="53" t="inlineStr">
        <is>
          <t>ACTIVE</t>
        </is>
      </c>
      <c r="G75" s="53" t="inlineStr">
        <is>
          <t>FIXED_PRICE_WITH_AIA_BILLING</t>
        </is>
      </c>
      <c r="H75" s="53" t="inlineStr">
        <is>
          <t>Laredo</t>
        </is>
      </c>
      <c r="I75" s="53" t="inlineStr">
        <is>
          <t>TX</t>
        </is>
      </c>
      <c r="J75" s="53" t="inlineStr">
        <is>
          <t>2026-02-03</t>
        </is>
      </c>
      <c r="K75" s="53" t="inlineStr">
        <is>
          <t>2026-02-05</t>
        </is>
      </c>
      <c r="L75" s="53" t="inlineStr"/>
    </row>
    <row r="76">
      <c r="A76" s="53" t="inlineStr">
        <is>
          <t>DS.2026.2381 Hunt Addition</t>
        </is>
      </c>
      <c r="B76" s="53" t="inlineStr">
        <is>
          <t>2640941</t>
        </is>
      </c>
      <c r="C76" s="53" t="inlineStr">
        <is>
          <t>DW</t>
        </is>
      </c>
      <c r="D76" s="53" t="inlineStr">
        <is>
          <t>(Unassigned)</t>
        </is>
      </c>
      <c r="E76" s="53" t="inlineStr">
        <is>
          <t>Flores Drywall and Remodeling LLC</t>
        </is>
      </c>
      <c r="F76" s="53" t="inlineStr">
        <is>
          <t>ACTIVE</t>
        </is>
      </c>
      <c r="G76" s="53" t="inlineStr">
        <is>
          <t>FIXED_PRICE</t>
        </is>
      </c>
      <c r="H76" s="53" t="inlineStr"/>
      <c r="I76" s="53" t="inlineStr">
        <is>
          <t>IN</t>
        </is>
      </c>
      <c r="J76" s="53" t="inlineStr">
        <is>
          <t>2026-02-02</t>
        </is>
      </c>
      <c r="K76" s="53" t="inlineStr">
        <is>
          <t>2026-01-30</t>
        </is>
      </c>
      <c r="L76" s="53" t="inlineStr"/>
    </row>
    <row r="77">
      <c r="A77" s="53" t="inlineStr">
        <is>
          <t>DS.2026.2380 Mike Valentine 0129</t>
        </is>
      </c>
      <c r="B77" s="53" t="inlineStr">
        <is>
          <t>2637503</t>
        </is>
      </c>
      <c r="C77" s="53" t="inlineStr">
        <is>
          <t>DW</t>
        </is>
      </c>
      <c r="D77" s="53" t="inlineStr">
        <is>
          <t>(Unassigned)</t>
        </is>
      </c>
      <c r="E77" s="53" t="inlineStr">
        <is>
          <t>Michael Valentine</t>
        </is>
      </c>
      <c r="F77" s="53" t="inlineStr">
        <is>
          <t>ACTIVE</t>
        </is>
      </c>
      <c r="G77" s="53" t="inlineStr">
        <is>
          <t>FIXED_PRICE</t>
        </is>
      </c>
      <c r="H77" s="53" t="inlineStr"/>
      <c r="I77" s="53" t="inlineStr"/>
      <c r="J77" s="53" t="inlineStr">
        <is>
          <t>2026-01-29</t>
        </is>
      </c>
      <c r="K77" s="53" t="inlineStr">
        <is>
          <t>2026-01-29</t>
        </is>
      </c>
      <c r="L77" s="53" t="inlineStr"/>
    </row>
    <row r="78">
      <c r="A78" s="53" t="inlineStr">
        <is>
          <t>DS.2026.2379 124 S A Street</t>
        </is>
      </c>
      <c r="B78" s="53" t="inlineStr">
        <is>
          <t>2637443</t>
        </is>
      </c>
      <c r="C78" s="53" t="inlineStr">
        <is>
          <t>DW</t>
        </is>
      </c>
      <c r="D78" s="53" t="inlineStr">
        <is>
          <t>(Unassigned)</t>
        </is>
      </c>
      <c r="E78" s="53" t="inlineStr">
        <is>
          <t>Flores Drywall and Remodeling LLC</t>
        </is>
      </c>
      <c r="F78" s="53" t="inlineStr">
        <is>
          <t>ACTIVE</t>
        </is>
      </c>
      <c r="G78" s="53" t="inlineStr">
        <is>
          <t>FIXED_PRICE</t>
        </is>
      </c>
      <c r="H78" s="53" t="inlineStr"/>
      <c r="I78" s="53" t="inlineStr">
        <is>
          <t>IN</t>
        </is>
      </c>
      <c r="J78" s="53" t="inlineStr">
        <is>
          <t>2026-01-29</t>
        </is>
      </c>
      <c r="K78" s="53" t="inlineStr">
        <is>
          <t>2026-01-29</t>
        </is>
      </c>
      <c r="L78" s="53" t="inlineStr"/>
    </row>
    <row r="79">
      <c r="A79" s="53" t="inlineStr">
        <is>
          <t>DS.2026.2378 Courtyards of Westfield 108</t>
        </is>
      </c>
      <c r="B79" s="53" t="inlineStr">
        <is>
          <t>2637384</t>
        </is>
      </c>
      <c r="C79" s="53" t="inlineStr">
        <is>
          <t>DW</t>
        </is>
      </c>
      <c r="D79" s="53" t="inlineStr">
        <is>
          <t>(Unassigned)</t>
        </is>
      </c>
      <c r="E79" s="53" t="inlineStr">
        <is>
          <t>Big Dawg Drywall</t>
        </is>
      </c>
      <c r="F79" s="53" t="inlineStr">
        <is>
          <t>ACTIVE</t>
        </is>
      </c>
      <c r="G79" s="53" t="inlineStr">
        <is>
          <t>FIXED_PRICE</t>
        </is>
      </c>
      <c r="H79" s="53" t="inlineStr"/>
      <c r="I79" s="53" t="inlineStr">
        <is>
          <t>IN</t>
        </is>
      </c>
      <c r="J79" s="53" t="inlineStr">
        <is>
          <t>2026-01-29</t>
        </is>
      </c>
      <c r="K79" s="53" t="inlineStr">
        <is>
          <t>2026-01-29</t>
        </is>
      </c>
      <c r="L79" s="53" t="inlineStr"/>
    </row>
    <row r="80">
      <c r="A80" s="53" t="inlineStr">
        <is>
          <t>DS.2026.2377 Courtyards of Cielo Ranch 38</t>
        </is>
      </c>
      <c r="B80" s="53" t="inlineStr">
        <is>
          <t>2637358</t>
        </is>
      </c>
      <c r="C80" s="53" t="inlineStr">
        <is>
          <t>DW</t>
        </is>
      </c>
      <c r="D80" s="53" t="inlineStr">
        <is>
          <t>(Unassigned)</t>
        </is>
      </c>
      <c r="E80" s="53" t="inlineStr">
        <is>
          <t>Big Dawg Drywall</t>
        </is>
      </c>
      <c r="F80" s="53" t="inlineStr">
        <is>
          <t>ACTIVE</t>
        </is>
      </c>
      <c r="G80" s="53" t="inlineStr">
        <is>
          <t>FIXED_PRICE</t>
        </is>
      </c>
      <c r="H80" s="53" t="inlineStr"/>
      <c r="I80" s="53" t="inlineStr">
        <is>
          <t>IN</t>
        </is>
      </c>
      <c r="J80" s="53" t="inlineStr">
        <is>
          <t>2026-01-29</t>
        </is>
      </c>
      <c r="K80" s="53" t="inlineStr">
        <is>
          <t>2026-01-28</t>
        </is>
      </c>
      <c r="L80" s="53" t="inlineStr"/>
    </row>
    <row r="81">
      <c r="A81" s="53" t="inlineStr">
        <is>
          <t>DS.2026.2376 5724 E Southport Rd</t>
        </is>
      </c>
      <c r="B81" s="53" t="inlineStr">
        <is>
          <t>2637329</t>
        </is>
      </c>
      <c r="C81" s="53" t="inlineStr">
        <is>
          <t>DW</t>
        </is>
      </c>
      <c r="D81" s="53" t="inlineStr">
        <is>
          <t>(Unassigned)</t>
        </is>
      </c>
      <c r="E81" s="53" t="inlineStr">
        <is>
          <t>Precision Dry Wall</t>
        </is>
      </c>
      <c r="F81" s="53" t="inlineStr">
        <is>
          <t>ACTIVE</t>
        </is>
      </c>
      <c r="G81" s="53" t="inlineStr">
        <is>
          <t>FIXED_PRICE</t>
        </is>
      </c>
      <c r="H81" s="53" t="inlineStr"/>
      <c r="I81" s="53" t="inlineStr">
        <is>
          <t>IN</t>
        </is>
      </c>
      <c r="J81" s="53" t="inlineStr">
        <is>
          <t>2026-01-29</t>
        </is>
      </c>
      <c r="K81" s="53" t="inlineStr">
        <is>
          <t>2026-01-27</t>
        </is>
      </c>
      <c r="L81" s="53" t="inlineStr"/>
    </row>
    <row r="82">
      <c r="A82" s="53" t="inlineStr">
        <is>
          <t>DS.2026.2375 1802 Alabama St</t>
        </is>
      </c>
      <c r="B82" s="53" t="inlineStr">
        <is>
          <t>2637311</t>
        </is>
      </c>
      <c r="C82" s="53" t="inlineStr">
        <is>
          <t>DW</t>
        </is>
      </c>
      <c r="D82" s="53" t="inlineStr">
        <is>
          <t>(Unassigned)</t>
        </is>
      </c>
      <c r="E82" s="53" t="inlineStr">
        <is>
          <t>Pro Fix Drywaller, LLC</t>
        </is>
      </c>
      <c r="F82" s="53" t="inlineStr">
        <is>
          <t>ACTIVE</t>
        </is>
      </c>
      <c r="G82" s="53" t="inlineStr">
        <is>
          <t>FIXED_PRICE</t>
        </is>
      </c>
      <c r="H82" s="53" t="inlineStr"/>
      <c r="I82" s="53" t="inlineStr"/>
      <c r="J82" s="53" t="inlineStr">
        <is>
          <t>2026-01-29</t>
        </is>
      </c>
      <c r="K82" s="53" t="inlineStr">
        <is>
          <t>2026-01-27</t>
        </is>
      </c>
      <c r="L82" s="53" t="inlineStr"/>
    </row>
    <row r="83">
      <c r="A83" s="53" t="inlineStr">
        <is>
          <t>DS.2026.2374 Precision Pickup 0127</t>
        </is>
      </c>
      <c r="B83" s="53" t="inlineStr">
        <is>
          <t>2636260</t>
        </is>
      </c>
      <c r="C83" s="53" t="inlineStr">
        <is>
          <t>DW</t>
        </is>
      </c>
      <c r="D83" s="53" t="inlineStr">
        <is>
          <t>(Unassigned)</t>
        </is>
      </c>
      <c r="E83" s="53" t="inlineStr">
        <is>
          <t>Precision Dry Wall</t>
        </is>
      </c>
      <c r="F83" s="53" t="inlineStr">
        <is>
          <t>ACTIVE</t>
        </is>
      </c>
      <c r="G83" s="53" t="inlineStr">
        <is>
          <t>FIXED_PRICE</t>
        </is>
      </c>
      <c r="H83" s="53" t="inlineStr"/>
      <c r="I83" s="53" t="inlineStr">
        <is>
          <t>IN</t>
        </is>
      </c>
      <c r="J83" s="53" t="inlineStr">
        <is>
          <t>2026-01-29</t>
        </is>
      </c>
      <c r="K83" s="53" t="inlineStr">
        <is>
          <t>2026-01-27</t>
        </is>
      </c>
      <c r="L83" s="53" t="inlineStr"/>
    </row>
    <row r="84">
      <c r="A84" s="53" t="inlineStr">
        <is>
          <t>DS.2026.2373 Precision Pickup 0120</t>
        </is>
      </c>
      <c r="B84" s="53" t="inlineStr">
        <is>
          <t>2623919</t>
        </is>
      </c>
      <c r="C84" s="53" t="inlineStr">
        <is>
          <t>DW</t>
        </is>
      </c>
      <c r="D84" s="53" t="inlineStr">
        <is>
          <t>(Unassigned)</t>
        </is>
      </c>
      <c r="E84" s="53" t="inlineStr">
        <is>
          <t>Precision Dry Wall</t>
        </is>
      </c>
      <c r="F84" s="53" t="inlineStr">
        <is>
          <t>ACTIVE</t>
        </is>
      </c>
      <c r="G84" s="53" t="inlineStr">
        <is>
          <t>FIXED_PRICE</t>
        </is>
      </c>
      <c r="H84" s="53" t="inlineStr"/>
      <c r="I84" s="53" t="inlineStr">
        <is>
          <t>IN</t>
        </is>
      </c>
      <c r="J84" s="53" t="inlineStr">
        <is>
          <t>2026-01-22</t>
        </is>
      </c>
      <c r="K84" s="53" t="inlineStr">
        <is>
          <t>2026-01-20</t>
        </is>
      </c>
      <c r="L84" s="53" t="inlineStr"/>
    </row>
    <row r="85">
      <c r="A85" s="53" t="inlineStr">
        <is>
          <t>DS.2026.2372 Big Dawg Pickup 0115</t>
        </is>
      </c>
      <c r="B85" s="53" t="inlineStr">
        <is>
          <t>2623903</t>
        </is>
      </c>
      <c r="C85" s="53" t="inlineStr">
        <is>
          <t>DW</t>
        </is>
      </c>
      <c r="D85" s="53" t="inlineStr">
        <is>
          <t>(Unassigned)</t>
        </is>
      </c>
      <c r="E85" s="53" t="inlineStr">
        <is>
          <t>Big Dawg Drywall</t>
        </is>
      </c>
      <c r="F85" s="53" t="inlineStr">
        <is>
          <t>ACTIVE</t>
        </is>
      </c>
      <c r="G85" s="53" t="inlineStr">
        <is>
          <t>FIXED_PRICE</t>
        </is>
      </c>
      <c r="H85" s="53" t="inlineStr"/>
      <c r="I85" s="53" t="inlineStr">
        <is>
          <t>IN</t>
        </is>
      </c>
      <c r="J85" s="53" t="inlineStr">
        <is>
          <t>2026-01-22</t>
        </is>
      </c>
      <c r="K85" s="53" t="inlineStr">
        <is>
          <t>2026-01-22</t>
        </is>
      </c>
      <c r="L85" s="53" t="inlineStr"/>
    </row>
    <row r="86">
      <c r="A86" s="53" t="inlineStr">
        <is>
          <t>DS.2026.2371 13429 E 116th St</t>
        </is>
      </c>
      <c r="B86" s="53" t="inlineStr">
        <is>
          <t>2623826</t>
        </is>
      </c>
      <c r="C86" s="53" t="inlineStr">
        <is>
          <t>DW</t>
        </is>
      </c>
      <c r="D86" s="53" t="inlineStr">
        <is>
          <t>(Unassigned)</t>
        </is>
      </c>
      <c r="E86" s="53" t="inlineStr">
        <is>
          <t>Precision Dry Wall</t>
        </is>
      </c>
      <c r="F86" s="53" t="inlineStr">
        <is>
          <t>ACTIVE</t>
        </is>
      </c>
      <c r="G86" s="53" t="inlineStr">
        <is>
          <t>FIXED_PRICE</t>
        </is>
      </c>
      <c r="H86" s="53" t="inlineStr"/>
      <c r="I86" s="53" t="inlineStr">
        <is>
          <t>IN</t>
        </is>
      </c>
      <c r="J86" s="53" t="inlineStr">
        <is>
          <t>2026-01-22</t>
        </is>
      </c>
      <c r="K86" s="53" t="inlineStr">
        <is>
          <t>2026-01-21</t>
        </is>
      </c>
      <c r="L86" s="53" t="inlineStr"/>
    </row>
    <row r="87">
      <c r="A87" s="53" t="inlineStr">
        <is>
          <t>DS.2026.2370 Courtyards of Westfield 106</t>
        </is>
      </c>
      <c r="B87" s="53" t="inlineStr">
        <is>
          <t>2623802</t>
        </is>
      </c>
      <c r="C87" s="53" t="inlineStr">
        <is>
          <t>DW</t>
        </is>
      </c>
      <c r="D87" s="53" t="inlineStr">
        <is>
          <t>(Unassigned)</t>
        </is>
      </c>
      <c r="E87" s="53" t="inlineStr">
        <is>
          <t>Big Dawg Drywall</t>
        </is>
      </c>
      <c r="F87" s="53" t="inlineStr">
        <is>
          <t>ACTIVE</t>
        </is>
      </c>
      <c r="G87" s="53" t="inlineStr">
        <is>
          <t>FIXED_PRICE</t>
        </is>
      </c>
      <c r="H87" s="53" t="inlineStr"/>
      <c r="I87" s="53" t="inlineStr">
        <is>
          <t>IN</t>
        </is>
      </c>
      <c r="J87" s="53" t="inlineStr">
        <is>
          <t>2026-01-22</t>
        </is>
      </c>
      <c r="K87" s="53" t="inlineStr">
        <is>
          <t>2026-01-22</t>
        </is>
      </c>
      <c r="L87" s="53" t="inlineStr"/>
    </row>
    <row r="88">
      <c r="A88" s="53" t="inlineStr">
        <is>
          <t>DS.2026.2369 Courtyards of Westfield 111</t>
        </is>
      </c>
      <c r="B88" s="53" t="inlineStr">
        <is>
          <t>2623780</t>
        </is>
      </c>
      <c r="C88" s="53" t="inlineStr">
        <is>
          <t>DW</t>
        </is>
      </c>
      <c r="D88" s="53" t="inlineStr">
        <is>
          <t>(Unassigned)</t>
        </is>
      </c>
      <c r="E88" s="53" t="inlineStr">
        <is>
          <t>Big Dawg Drywall</t>
        </is>
      </c>
      <c r="F88" s="53" t="inlineStr">
        <is>
          <t>ACTIVE</t>
        </is>
      </c>
      <c r="G88" s="53" t="inlineStr">
        <is>
          <t>FIXED_PRICE</t>
        </is>
      </c>
      <c r="H88" s="53" t="inlineStr"/>
      <c r="I88" s="53" t="inlineStr">
        <is>
          <t>IN</t>
        </is>
      </c>
      <c r="J88" s="53" t="inlineStr">
        <is>
          <t>2026-01-22</t>
        </is>
      </c>
      <c r="K88" s="53" t="inlineStr">
        <is>
          <t>2026-01-19</t>
        </is>
      </c>
      <c r="L88" s="53" t="inlineStr"/>
    </row>
    <row r="89">
      <c r="A89" s="53" t="inlineStr">
        <is>
          <t>DS.2026.2368 Courtyards of Russell Oaks 60</t>
        </is>
      </c>
      <c r="B89" s="53" t="inlineStr">
        <is>
          <t>2612889</t>
        </is>
      </c>
      <c r="C89" s="53" t="inlineStr">
        <is>
          <t>DW</t>
        </is>
      </c>
      <c r="D89" s="53" t="inlineStr">
        <is>
          <t>(Unassigned)</t>
        </is>
      </c>
      <c r="E89" s="53" t="inlineStr">
        <is>
          <t>Big Dawg Drywall</t>
        </is>
      </c>
      <c r="F89" s="53" t="inlineStr">
        <is>
          <t>ACTIVE</t>
        </is>
      </c>
      <c r="G89" s="53" t="inlineStr">
        <is>
          <t>FIXED_PRICE</t>
        </is>
      </c>
      <c r="H89" s="53" t="inlineStr"/>
      <c r="I89" s="53" t="inlineStr">
        <is>
          <t>IN</t>
        </is>
      </c>
      <c r="J89" s="53" t="inlineStr">
        <is>
          <t>2026-01-16</t>
        </is>
      </c>
      <c r="K89" s="53" t="inlineStr">
        <is>
          <t>2026-01-12</t>
        </is>
      </c>
      <c r="L89" s="53" t="inlineStr"/>
    </row>
    <row r="90">
      <c r="A90" s="53" t="inlineStr">
        <is>
          <t>DS.2026.2367 Courtyards of Russell Oaks 126</t>
        </is>
      </c>
      <c r="B90" s="53" t="inlineStr">
        <is>
          <t>2607541</t>
        </is>
      </c>
      <c r="C90" s="53" t="inlineStr">
        <is>
          <t>DW</t>
        </is>
      </c>
      <c r="D90" s="53" t="inlineStr">
        <is>
          <t>(Unassigned)</t>
        </is>
      </c>
      <c r="E90" s="53" t="inlineStr">
        <is>
          <t>Big Dawg Drywall</t>
        </is>
      </c>
      <c r="F90" s="53" t="inlineStr">
        <is>
          <t>ACTIVE</t>
        </is>
      </c>
      <c r="G90" s="53" t="inlineStr">
        <is>
          <t>FIXED_PRICE</t>
        </is>
      </c>
      <c r="H90" s="53" t="inlineStr"/>
      <c r="I90" s="53" t="inlineStr"/>
      <c r="J90" s="53" t="inlineStr">
        <is>
          <t>2026-01-14</t>
        </is>
      </c>
      <c r="K90" s="53" t="inlineStr">
        <is>
          <t>2026-01-12</t>
        </is>
      </c>
      <c r="L90" s="53" t="inlineStr"/>
    </row>
    <row r="91">
      <c r="A91" s="53" t="inlineStr">
        <is>
          <t>DS.2026.2366 Courtyards of Cielo Ranch 15</t>
        </is>
      </c>
      <c r="B91" s="53" t="inlineStr">
        <is>
          <t>2601418</t>
        </is>
      </c>
      <c r="C91" s="53" t="inlineStr">
        <is>
          <t>DW</t>
        </is>
      </c>
      <c r="D91" s="53" t="inlineStr">
        <is>
          <t>(Unassigned)</t>
        </is>
      </c>
      <c r="E91" s="53" t="inlineStr">
        <is>
          <t>Big Dawg Drywall</t>
        </is>
      </c>
      <c r="F91" s="53" t="inlineStr">
        <is>
          <t>ACTIVE</t>
        </is>
      </c>
      <c r="G91" s="53" t="inlineStr">
        <is>
          <t>FIXED_PRICE</t>
        </is>
      </c>
      <c r="H91" s="53" t="inlineStr"/>
      <c r="I91" s="53" t="inlineStr">
        <is>
          <t>IN</t>
        </is>
      </c>
      <c r="J91" s="53" t="inlineStr">
        <is>
          <t>2026-01-12</t>
        </is>
      </c>
      <c r="K91" s="53" t="inlineStr">
        <is>
          <t>2026-01-08</t>
        </is>
      </c>
      <c r="L91" s="53" t="inlineStr"/>
    </row>
    <row r="92">
      <c r="A92" s="53" t="inlineStr">
        <is>
          <t>DS.2026.2365 GSI Sackstedor Bloomington</t>
        </is>
      </c>
      <c r="B92" s="53" t="inlineStr">
        <is>
          <t>2594757</t>
        </is>
      </c>
      <c r="C92" s="53" t="inlineStr">
        <is>
          <t>DW</t>
        </is>
      </c>
      <c r="D92" s="53" t="inlineStr">
        <is>
          <t>(Unassigned)</t>
        </is>
      </c>
      <c r="E92" s="53" t="inlineStr">
        <is>
          <t>GSI - Gregory Scott Inabnit LLC</t>
        </is>
      </c>
      <c r="F92" s="53" t="inlineStr">
        <is>
          <t>ACTIVE</t>
        </is>
      </c>
      <c r="G92" s="53" t="inlineStr">
        <is>
          <t>FIXED_PRICE</t>
        </is>
      </c>
      <c r="H92" s="53" t="inlineStr"/>
      <c r="I92" s="53" t="inlineStr"/>
      <c r="J92" s="53" t="inlineStr">
        <is>
          <t>2026-01-07</t>
        </is>
      </c>
      <c r="K92" s="53" t="inlineStr">
        <is>
          <t>2026-01-06</t>
        </is>
      </c>
      <c r="L92" s="53" t="inlineStr"/>
    </row>
    <row r="93">
      <c r="A93" s="53" t="inlineStr">
        <is>
          <t>DS.2026.2364 GSI 1-6</t>
        </is>
      </c>
      <c r="B93" s="53" t="inlineStr">
        <is>
          <t>2594626</t>
        </is>
      </c>
      <c r="C93" s="53" t="inlineStr">
        <is>
          <t>DW</t>
        </is>
      </c>
      <c r="D93" s="53" t="inlineStr">
        <is>
          <t>(Unassigned)</t>
        </is>
      </c>
      <c r="E93" s="53" t="inlineStr">
        <is>
          <t>GSI - Gregory Scott Inabnit LLC</t>
        </is>
      </c>
      <c r="F93" s="53" t="inlineStr">
        <is>
          <t>ACTIVE</t>
        </is>
      </c>
      <c r="G93" s="53" t="inlineStr">
        <is>
          <t>FIXED_PRICE</t>
        </is>
      </c>
      <c r="H93" s="53" t="inlineStr"/>
      <c r="I93" s="53" t="inlineStr">
        <is>
          <t>IN</t>
        </is>
      </c>
      <c r="J93" s="53" t="inlineStr">
        <is>
          <t>2026-01-07</t>
        </is>
      </c>
      <c r="K93" s="53" t="inlineStr">
        <is>
          <t>2026-01-06</t>
        </is>
      </c>
      <c r="L93" s="53" t="inlineStr"/>
    </row>
    <row r="94">
      <c r="A94" s="53" t="inlineStr">
        <is>
          <t>DS.2026.2363 Courtyards of Westfield 96</t>
        </is>
      </c>
      <c r="B94" s="53" t="inlineStr">
        <is>
          <t>2594581</t>
        </is>
      </c>
      <c r="C94" s="53" t="inlineStr">
        <is>
          <t>DW</t>
        </is>
      </c>
      <c r="D94" s="53" t="inlineStr">
        <is>
          <t>(Unassigned)</t>
        </is>
      </c>
      <c r="E94" s="53" t="inlineStr">
        <is>
          <t>Big Dawg Drywall</t>
        </is>
      </c>
      <c r="F94" s="53" t="inlineStr">
        <is>
          <t>ACTIVE</t>
        </is>
      </c>
      <c r="G94" s="53" t="inlineStr">
        <is>
          <t>FIXED_PRICE</t>
        </is>
      </c>
      <c r="H94" s="53" t="inlineStr"/>
      <c r="I94" s="53" t="inlineStr">
        <is>
          <t>IN</t>
        </is>
      </c>
      <c r="J94" s="53" t="inlineStr">
        <is>
          <t>2026-01-07</t>
        </is>
      </c>
      <c r="K94" s="53" t="inlineStr">
        <is>
          <t>2026-01-05</t>
        </is>
      </c>
      <c r="L94" s="53" t="inlineStr"/>
    </row>
    <row r="95">
      <c r="A95" s="53" t="inlineStr">
        <is>
          <t>DS.2026.2362 Courtyards of Russel Oaks 127</t>
        </is>
      </c>
      <c r="B95" s="53" t="inlineStr">
        <is>
          <t>2589539</t>
        </is>
      </c>
      <c r="C95" s="53" t="inlineStr">
        <is>
          <t>DW</t>
        </is>
      </c>
      <c r="D95" s="53" t="inlineStr">
        <is>
          <t>(Unassigned)</t>
        </is>
      </c>
      <c r="E95" s="53" t="inlineStr">
        <is>
          <t>Big Dawg Drywall</t>
        </is>
      </c>
      <c r="F95" s="53" t="inlineStr">
        <is>
          <t>ACTIVE</t>
        </is>
      </c>
      <c r="G95" s="53" t="inlineStr">
        <is>
          <t>FIXED_PRICE</t>
        </is>
      </c>
      <c r="H95" s="53" t="inlineStr"/>
      <c r="I95" s="53" t="inlineStr">
        <is>
          <t>IN</t>
        </is>
      </c>
      <c r="J95" s="53" t="inlineStr">
        <is>
          <t>2026-01-05</t>
        </is>
      </c>
      <c r="K95" s="53" t="inlineStr">
        <is>
          <t>2026-01-02</t>
        </is>
      </c>
      <c r="L95" s="53" t="inlineStr"/>
    </row>
    <row r="96">
      <c r="A96" s="53" t="inlineStr">
        <is>
          <t>2026.1033 Avon Demising Wall</t>
        </is>
      </c>
      <c r="B96" s="53" t="inlineStr">
        <is>
          <t>2586526</t>
        </is>
      </c>
      <c r="C96" s="53" t="inlineStr">
        <is>
          <t>TI</t>
        </is>
      </c>
      <c r="D96" s="53" t="inlineStr">
        <is>
          <t>Ben Garza</t>
        </is>
      </c>
      <c r="E96" s="53" t="inlineStr">
        <is>
          <t>The Peterson Company, LLC</t>
        </is>
      </c>
      <c r="F96" s="53" t="inlineStr">
        <is>
          <t>ACTIVE</t>
        </is>
      </c>
      <c r="G96" s="53" t="inlineStr">
        <is>
          <t>FIXED_PRICE_WITH_AIA_BILLING</t>
        </is>
      </c>
      <c r="H96" s="53" t="inlineStr">
        <is>
          <t>Avon</t>
        </is>
      </c>
      <c r="I96" s="53" t="inlineStr">
        <is>
          <t>IN</t>
        </is>
      </c>
      <c r="J96" s="53" t="inlineStr">
        <is>
          <t>2026-02-24</t>
        </is>
      </c>
      <c r="K96" s="53" t="inlineStr">
        <is>
          <t>2026-03-02</t>
        </is>
      </c>
      <c r="L96" s="53" t="inlineStr"/>
    </row>
    <row r="97">
      <c r="A97" s="53" t="inlineStr">
        <is>
          <t>DS.2025.2361 Courtyards of Westfield 104</t>
        </is>
      </c>
      <c r="B97" s="53" t="inlineStr">
        <is>
          <t>2585536</t>
        </is>
      </c>
      <c r="C97" s="53" t="inlineStr">
        <is>
          <t>DW</t>
        </is>
      </c>
      <c r="D97" s="53" t="inlineStr">
        <is>
          <t>(Unassigned)</t>
        </is>
      </c>
      <c r="E97" s="53" t="inlineStr">
        <is>
          <t>Big Dawg Drywall</t>
        </is>
      </c>
      <c r="F97" s="53" t="inlineStr">
        <is>
          <t>ACTIVE</t>
        </is>
      </c>
      <c r="G97" s="53" t="inlineStr">
        <is>
          <t>FIXED_PRICE</t>
        </is>
      </c>
      <c r="H97" s="53" t="inlineStr"/>
      <c r="I97" s="53" t="inlineStr"/>
      <c r="J97" s="53" t="inlineStr">
        <is>
          <t>2025-12-31</t>
        </is>
      </c>
      <c r="K97" s="53" t="inlineStr">
        <is>
          <t>2025-12-31</t>
        </is>
      </c>
      <c r="L97" s="53" t="inlineStr"/>
    </row>
    <row r="98">
      <c r="A98" s="53" t="inlineStr">
        <is>
          <t>DS.2025.2360 GSI Duplex Bloomington</t>
        </is>
      </c>
      <c r="B98" s="53" t="inlineStr">
        <is>
          <t>2584758</t>
        </is>
      </c>
      <c r="C98" s="53" t="inlineStr">
        <is>
          <t>DW</t>
        </is>
      </c>
      <c r="D98" s="53" t="inlineStr">
        <is>
          <t>(Unassigned)</t>
        </is>
      </c>
      <c r="E98" s="53" t="inlineStr">
        <is>
          <t>GSI - Gregory Scott Inabnit LLC</t>
        </is>
      </c>
      <c r="F98" s="53" t="inlineStr">
        <is>
          <t>ACTIVE</t>
        </is>
      </c>
      <c r="G98" s="53" t="inlineStr">
        <is>
          <t>FIXED_PRICE</t>
        </is>
      </c>
      <c r="H98" s="53" t="inlineStr"/>
      <c r="I98" s="53" t="inlineStr">
        <is>
          <t>IN</t>
        </is>
      </c>
      <c r="J98" s="53" t="inlineStr">
        <is>
          <t>2025-12-31</t>
        </is>
      </c>
      <c r="K98" s="53" t="inlineStr">
        <is>
          <t>2025-12-29</t>
        </is>
      </c>
      <c r="L98" s="53" t="inlineStr"/>
    </row>
    <row r="99">
      <c r="A99" s="53" t="inlineStr">
        <is>
          <t>DS.2025.2359 Courtyards of Westfield 105</t>
        </is>
      </c>
      <c r="B99" s="53" t="inlineStr">
        <is>
          <t>2584752</t>
        </is>
      </c>
      <c r="C99" s="53" t="inlineStr">
        <is>
          <t>DW</t>
        </is>
      </c>
      <c r="D99" s="53" t="inlineStr">
        <is>
          <t>(Unassigned)</t>
        </is>
      </c>
      <c r="E99" s="53" t="inlineStr">
        <is>
          <t>Big Dawg Drywall</t>
        </is>
      </c>
      <c r="F99" s="53" t="inlineStr">
        <is>
          <t>ACTIVE</t>
        </is>
      </c>
      <c r="G99" s="53" t="inlineStr">
        <is>
          <t>FIXED_PRICE</t>
        </is>
      </c>
      <c r="H99" s="53" t="inlineStr"/>
      <c r="I99" s="53" t="inlineStr">
        <is>
          <t>IN</t>
        </is>
      </c>
      <c r="J99" s="53" t="inlineStr">
        <is>
          <t>2025-12-31</t>
        </is>
      </c>
      <c r="K99" s="53" t="inlineStr">
        <is>
          <t>2025-12-30</t>
        </is>
      </c>
      <c r="L99" s="53" t="inlineStr"/>
    </row>
    <row r="100">
      <c r="A100" s="53" t="inlineStr">
        <is>
          <t>DS.2025.2358 Courtyards of Cielo Ranch 7</t>
        </is>
      </c>
      <c r="B100" s="53" t="inlineStr">
        <is>
          <t>2584749</t>
        </is>
      </c>
      <c r="C100" s="53" t="inlineStr">
        <is>
          <t>DW</t>
        </is>
      </c>
      <c r="D100" s="53" t="inlineStr">
        <is>
          <t>(Unassigned)</t>
        </is>
      </c>
      <c r="E100" s="53" t="inlineStr">
        <is>
          <t>Big Dawg Drywall</t>
        </is>
      </c>
      <c r="F100" s="53" t="inlineStr">
        <is>
          <t>ACTIVE</t>
        </is>
      </c>
      <c r="G100" s="53" t="inlineStr">
        <is>
          <t>FIXED_PRICE</t>
        </is>
      </c>
      <c r="H100" s="53" t="inlineStr"/>
      <c r="I100" s="53" t="inlineStr">
        <is>
          <t>IN</t>
        </is>
      </c>
      <c r="J100" s="53" t="inlineStr">
        <is>
          <t>2025-12-31</t>
        </is>
      </c>
      <c r="K100" s="53" t="inlineStr">
        <is>
          <t>2025-12-24</t>
        </is>
      </c>
      <c r="L100" s="53" t="inlineStr"/>
    </row>
    <row r="101">
      <c r="A101" s="53" t="inlineStr">
        <is>
          <t>DS.2025.2357 3704 South Whetstine Rd</t>
        </is>
      </c>
      <c r="B101" s="53" t="inlineStr">
        <is>
          <t>2584742</t>
        </is>
      </c>
      <c r="C101" s="53" t="inlineStr">
        <is>
          <t>DW</t>
        </is>
      </c>
      <c r="D101" s="53" t="inlineStr">
        <is>
          <t>(Unassigned)</t>
        </is>
      </c>
      <c r="E101" s="53" t="inlineStr">
        <is>
          <t>Total Drywall Solutions Inc</t>
        </is>
      </c>
      <c r="F101" s="53" t="inlineStr">
        <is>
          <t>ACTIVE</t>
        </is>
      </c>
      <c r="G101" s="53" t="inlineStr">
        <is>
          <t>FIXED_PRICE</t>
        </is>
      </c>
      <c r="H101" s="53" t="inlineStr"/>
      <c r="I101" s="53" t="inlineStr">
        <is>
          <t>IN</t>
        </is>
      </c>
      <c r="J101" s="53" t="inlineStr">
        <is>
          <t>2025-12-31</t>
        </is>
      </c>
      <c r="K101" s="53" t="inlineStr">
        <is>
          <t>2025-12-23</t>
        </is>
      </c>
      <c r="L101" s="53" t="inlineStr"/>
    </row>
    <row r="102">
      <c r="A102" s="53" t="inlineStr">
        <is>
          <t>Priority Way Office</t>
        </is>
      </c>
      <c r="B102" s="53" t="inlineStr">
        <is>
          <t>2579439</t>
        </is>
      </c>
      <c r="C102" s="53" t="inlineStr">
        <is>
          <t>UN</t>
        </is>
      </c>
      <c r="D102" s="53" t="inlineStr">
        <is>
          <t>(Unassigned)</t>
        </is>
      </c>
      <c r="E102" s="53" t="inlineStr">
        <is>
          <t>MDG Real Estate LLC</t>
        </is>
      </c>
      <c r="F102" s="53" t="inlineStr">
        <is>
          <t>ACTIVE</t>
        </is>
      </c>
      <c r="G102" s="53" t="inlineStr">
        <is>
          <t>FIXED_PRICE</t>
        </is>
      </c>
      <c r="H102" s="53" t="inlineStr">
        <is>
          <t>Indianapolis</t>
        </is>
      </c>
      <c r="I102" s="53" t="inlineStr">
        <is>
          <t>IN</t>
        </is>
      </c>
      <c r="J102" s="53" t="inlineStr">
        <is>
          <t>2026-03-09</t>
        </is>
      </c>
      <c r="K102" s="53" t="inlineStr">
        <is>
          <t>2025-12-22</t>
        </is>
      </c>
      <c r="L102" s="53" t="inlineStr">
        <is>
          <t>2026-03-31</t>
        </is>
      </c>
    </row>
    <row r="103">
      <c r="A103" s="53" t="inlineStr">
        <is>
          <t>DS.2025.2356 Courtyards of Ceilo Ranch 127</t>
        </is>
      </c>
      <c r="B103" s="53" t="inlineStr">
        <is>
          <t>2579268</t>
        </is>
      </c>
      <c r="C103" s="53" t="inlineStr">
        <is>
          <t>DW</t>
        </is>
      </c>
      <c r="D103" s="53" t="inlineStr">
        <is>
          <t>(Unassigned)</t>
        </is>
      </c>
      <c r="E103" s="53" t="inlineStr">
        <is>
          <t>Big Dawg Drywall</t>
        </is>
      </c>
      <c r="F103" s="53" t="inlineStr">
        <is>
          <t>ACTIVE</t>
        </is>
      </c>
      <c r="G103" s="53" t="inlineStr">
        <is>
          <t>FIXED_PRICE</t>
        </is>
      </c>
      <c r="H103" s="53" t="inlineStr"/>
      <c r="I103" s="53" t="inlineStr">
        <is>
          <t>IN</t>
        </is>
      </c>
      <c r="J103" s="53" t="inlineStr">
        <is>
          <t>2025-12-23</t>
        </is>
      </c>
      <c r="K103" s="53" t="inlineStr">
        <is>
          <t>2025-12-22</t>
        </is>
      </c>
      <c r="L103" s="53" t="inlineStr"/>
    </row>
    <row r="104">
      <c r="A104" s="53" t="inlineStr">
        <is>
          <t>DS.2025.2355 Courtyards of Ceilo Ranch 36</t>
        </is>
      </c>
      <c r="B104" s="53" t="inlineStr">
        <is>
          <t>2579242</t>
        </is>
      </c>
      <c r="C104" s="53" t="inlineStr">
        <is>
          <t>DW</t>
        </is>
      </c>
      <c r="D104" s="53" t="inlineStr">
        <is>
          <t>(Unassigned)</t>
        </is>
      </c>
      <c r="E104" s="53" t="inlineStr">
        <is>
          <t>Big Dawg Drywall</t>
        </is>
      </c>
      <c r="F104" s="53" t="inlineStr">
        <is>
          <t>ACTIVE</t>
        </is>
      </c>
      <c r="G104" s="53" t="inlineStr">
        <is>
          <t>FIXED_PRICE</t>
        </is>
      </c>
      <c r="H104" s="53" t="inlineStr"/>
      <c r="I104" s="53" t="inlineStr">
        <is>
          <t>IN</t>
        </is>
      </c>
      <c r="J104" s="53" t="inlineStr">
        <is>
          <t>2025-12-23</t>
        </is>
      </c>
      <c r="K104" s="53" t="inlineStr">
        <is>
          <t>2025-12-22</t>
        </is>
      </c>
      <c r="L104" s="53" t="inlineStr"/>
    </row>
    <row r="105">
      <c r="A105" s="53" t="inlineStr">
        <is>
          <t>DS.2025.2354 GSI Triplex</t>
        </is>
      </c>
      <c r="B105" s="53" t="inlineStr">
        <is>
          <t>2575648</t>
        </is>
      </c>
      <c r="C105" s="53" t="inlineStr">
        <is>
          <t>DW</t>
        </is>
      </c>
      <c r="D105" s="53" t="inlineStr">
        <is>
          <t>(Unassigned)</t>
        </is>
      </c>
      <c r="E105" s="53" t="inlineStr">
        <is>
          <t>GSI - Gregory Scott Inabnit LLC</t>
        </is>
      </c>
      <c r="F105" s="53" t="inlineStr">
        <is>
          <t>ACTIVE</t>
        </is>
      </c>
      <c r="G105" s="53" t="inlineStr">
        <is>
          <t>FIXED_PRICE</t>
        </is>
      </c>
      <c r="H105" s="53" t="inlineStr"/>
      <c r="I105" s="53" t="inlineStr">
        <is>
          <t>IN</t>
        </is>
      </c>
      <c r="J105" s="53" t="inlineStr">
        <is>
          <t>2025-12-19</t>
        </is>
      </c>
      <c r="K105" s="53" t="inlineStr">
        <is>
          <t>2025-12-11</t>
        </is>
      </c>
      <c r="L105" s="53" t="inlineStr"/>
    </row>
    <row r="106">
      <c r="A106" s="53" t="inlineStr">
        <is>
          <t>DS.2025.2353 Courtyards of Westfield 95</t>
        </is>
      </c>
      <c r="B106" s="53" t="inlineStr">
        <is>
          <t>2575437</t>
        </is>
      </c>
      <c r="C106" s="53" t="inlineStr">
        <is>
          <t>DW</t>
        </is>
      </c>
      <c r="D106" s="53" t="inlineStr">
        <is>
          <t>(Unassigned)</t>
        </is>
      </c>
      <c r="E106" s="53" t="inlineStr">
        <is>
          <t>Big Dawg Drywall</t>
        </is>
      </c>
      <c r="F106" s="53" t="inlineStr">
        <is>
          <t>ACTIVE</t>
        </is>
      </c>
      <c r="G106" s="53" t="inlineStr">
        <is>
          <t>FIXED_PRICE</t>
        </is>
      </c>
      <c r="H106" s="53" t="inlineStr"/>
      <c r="I106" s="53" t="inlineStr"/>
      <c r="J106" s="53" t="inlineStr">
        <is>
          <t>2025-12-19</t>
        </is>
      </c>
      <c r="K106" s="53" t="inlineStr">
        <is>
          <t>2025-12-16</t>
        </is>
      </c>
      <c r="L106" s="53" t="inlineStr"/>
    </row>
    <row r="107">
      <c r="A107" s="53" t="inlineStr">
        <is>
          <t>DS.2025.2352 Charlstown Manor Lot 86</t>
        </is>
      </c>
      <c r="B107" s="53" t="inlineStr">
        <is>
          <t>2569388</t>
        </is>
      </c>
      <c r="C107" s="53" t="inlineStr">
        <is>
          <t>DW</t>
        </is>
      </c>
      <c r="D107" s="53" t="inlineStr">
        <is>
          <t>(Unassigned)</t>
        </is>
      </c>
      <c r="E107" s="53" t="inlineStr">
        <is>
          <t>GSI - Gregory Scott Inabnit LLC</t>
        </is>
      </c>
      <c r="F107" s="53" t="inlineStr">
        <is>
          <t>ACTIVE</t>
        </is>
      </c>
      <c r="G107" s="53" t="inlineStr">
        <is>
          <t>FIXED_PRICE</t>
        </is>
      </c>
      <c r="H107" s="53" t="inlineStr"/>
      <c r="I107" s="53" t="inlineStr">
        <is>
          <t>IN</t>
        </is>
      </c>
      <c r="J107" s="53" t="inlineStr">
        <is>
          <t>2025-12-16</t>
        </is>
      </c>
      <c r="K107" s="53" t="inlineStr">
        <is>
          <t>2025-12-15</t>
        </is>
      </c>
      <c r="L107" s="53" t="inlineStr"/>
    </row>
    <row r="108">
      <c r="A108" s="53" t="inlineStr">
        <is>
          <t>DS.2025.2351 Courtyards of Cielo Ranch 1</t>
        </is>
      </c>
      <c r="B108" s="53" t="inlineStr">
        <is>
          <t>2569308</t>
        </is>
      </c>
      <c r="C108" s="53" t="inlineStr">
        <is>
          <t>DW</t>
        </is>
      </c>
      <c r="D108" s="53" t="inlineStr">
        <is>
          <t>(Unassigned)</t>
        </is>
      </c>
      <c r="E108" s="53" t="inlineStr">
        <is>
          <t>Big Dawg Drywall</t>
        </is>
      </c>
      <c r="F108" s="53" t="inlineStr">
        <is>
          <t>ACTIVE</t>
        </is>
      </c>
      <c r="G108" s="53" t="inlineStr">
        <is>
          <t>FIXED_PRICE</t>
        </is>
      </c>
      <c r="H108" s="53" t="inlineStr"/>
      <c r="I108" s="53" t="inlineStr">
        <is>
          <t>IN</t>
        </is>
      </c>
      <c r="J108" s="53" t="inlineStr">
        <is>
          <t>2025-12-16</t>
        </is>
      </c>
      <c r="K108" s="53" t="inlineStr">
        <is>
          <t>2025-12-15</t>
        </is>
      </c>
      <c r="L108" s="53" t="inlineStr"/>
    </row>
    <row r="109">
      <c r="A109" s="53" t="inlineStr">
        <is>
          <t>DS.2025.2350 Courtyards of Westfield 95</t>
        </is>
      </c>
      <c r="B109" s="53" t="inlineStr">
        <is>
          <t>2563362</t>
        </is>
      </c>
      <c r="C109" s="53" t="inlineStr">
        <is>
          <t>DW</t>
        </is>
      </c>
      <c r="D109" s="53" t="inlineStr">
        <is>
          <t>(Unassigned)</t>
        </is>
      </c>
      <c r="E109" s="53" t="inlineStr">
        <is>
          <t>Big Dawg Drywall</t>
        </is>
      </c>
      <c r="F109" s="53" t="inlineStr">
        <is>
          <t>ACTIVE</t>
        </is>
      </c>
      <c r="G109" s="53" t="inlineStr">
        <is>
          <t>FIXED_PRICE</t>
        </is>
      </c>
      <c r="H109" s="53" t="inlineStr"/>
      <c r="I109" s="53" t="inlineStr">
        <is>
          <t>IN</t>
        </is>
      </c>
      <c r="J109" s="53" t="inlineStr">
        <is>
          <t>2025-12-12</t>
        </is>
      </c>
      <c r="K109" s="53" t="inlineStr">
        <is>
          <t>2025-12-11</t>
        </is>
      </c>
      <c r="L109" s="53" t="inlineStr"/>
    </row>
    <row r="110">
      <c r="A110" s="53" t="inlineStr">
        <is>
          <t>DS.2025.2349 208 N Washington Street</t>
        </is>
      </c>
      <c r="B110" s="53" t="inlineStr">
        <is>
          <t>2563168</t>
        </is>
      </c>
      <c r="C110" s="53" t="inlineStr">
        <is>
          <t>DW</t>
        </is>
      </c>
      <c r="D110" s="53" t="inlineStr">
        <is>
          <t>(Unassigned)</t>
        </is>
      </c>
      <c r="E110" s="53" t="inlineStr">
        <is>
          <t>Total Drywall Solutions Inc</t>
        </is>
      </c>
      <c r="F110" s="53" t="inlineStr">
        <is>
          <t>ACTIVE</t>
        </is>
      </c>
      <c r="G110" s="53" t="inlineStr">
        <is>
          <t>FIXED_PRICE</t>
        </is>
      </c>
      <c r="H110" s="53" t="inlineStr"/>
      <c r="I110" s="53" t="inlineStr">
        <is>
          <t>IN</t>
        </is>
      </c>
      <c r="J110" s="53" t="inlineStr">
        <is>
          <t>2025-12-18</t>
        </is>
      </c>
      <c r="K110" s="53" t="inlineStr">
        <is>
          <t>2025-12-10</t>
        </is>
      </c>
      <c r="L110" s="53" t="inlineStr"/>
    </row>
    <row r="111">
      <c r="A111" s="53" t="inlineStr">
        <is>
          <t>DS.2025.2348 133 First Ave NE</t>
        </is>
      </c>
      <c r="B111" s="53" t="inlineStr">
        <is>
          <t>2560326</t>
        </is>
      </c>
      <c r="C111" s="53" t="inlineStr">
        <is>
          <t>DW</t>
        </is>
      </c>
      <c r="D111" s="53" t="inlineStr">
        <is>
          <t>(Unassigned)</t>
        </is>
      </c>
      <c r="E111" s="53" t="inlineStr">
        <is>
          <t>Precision Dry Wall</t>
        </is>
      </c>
      <c r="F111" s="53" t="inlineStr">
        <is>
          <t>ACTIVE</t>
        </is>
      </c>
      <c r="G111" s="53" t="inlineStr">
        <is>
          <t>FIXED_PRICE</t>
        </is>
      </c>
      <c r="H111" s="53" t="inlineStr"/>
      <c r="I111" s="53" t="inlineStr">
        <is>
          <t>IN</t>
        </is>
      </c>
      <c r="J111" s="53" t="inlineStr">
        <is>
          <t>2025-12-10</t>
        </is>
      </c>
      <c r="K111" s="53" t="inlineStr">
        <is>
          <t>2025-12-09</t>
        </is>
      </c>
      <c r="L111" s="53" t="inlineStr"/>
    </row>
    <row r="112">
      <c r="A112" s="53" t="inlineStr">
        <is>
          <t>DS.2025.2347 807 Spruce St</t>
        </is>
      </c>
      <c r="B112" s="53" t="inlineStr">
        <is>
          <t>2560223</t>
        </is>
      </c>
      <c r="C112" s="53" t="inlineStr">
        <is>
          <t>DW</t>
        </is>
      </c>
      <c r="D112" s="53" t="inlineStr">
        <is>
          <t>(Unassigned)</t>
        </is>
      </c>
      <c r="E112" s="53" t="inlineStr">
        <is>
          <t>Pro Fix Drywaller, LLC</t>
        </is>
      </c>
      <c r="F112" s="53" t="inlineStr">
        <is>
          <t>ACTIVE</t>
        </is>
      </c>
      <c r="G112" s="53" t="inlineStr">
        <is>
          <t>FIXED_PRICE</t>
        </is>
      </c>
      <c r="H112" s="53" t="inlineStr"/>
      <c r="I112" s="53" t="inlineStr"/>
      <c r="J112" s="53" t="inlineStr">
        <is>
          <t>2025-12-10</t>
        </is>
      </c>
      <c r="K112" s="53" t="inlineStr">
        <is>
          <t>2025-12-09</t>
        </is>
      </c>
      <c r="L112" s="53" t="inlineStr"/>
    </row>
    <row r="113">
      <c r="A113" s="53" t="inlineStr">
        <is>
          <t>DS.2025.2346 Jeff West House</t>
        </is>
      </c>
      <c r="B113" s="53" t="inlineStr">
        <is>
          <t>2552755</t>
        </is>
      </c>
      <c r="C113" s="53" t="inlineStr">
        <is>
          <t>DW</t>
        </is>
      </c>
      <c r="D113" s="53" t="inlineStr">
        <is>
          <t>(Unassigned)</t>
        </is>
      </c>
      <c r="E113" s="53" t="inlineStr">
        <is>
          <t>Jeff West Homes</t>
        </is>
      </c>
      <c r="F113" s="53" t="inlineStr">
        <is>
          <t>ACTIVE</t>
        </is>
      </c>
      <c r="G113" s="53" t="inlineStr">
        <is>
          <t>FIXED_PRICE</t>
        </is>
      </c>
      <c r="H113" s="53" t="inlineStr"/>
      <c r="I113" s="53" t="inlineStr">
        <is>
          <t>IN</t>
        </is>
      </c>
      <c r="J113" s="53" t="inlineStr">
        <is>
          <t>2025-12-05</t>
        </is>
      </c>
      <c r="K113" s="53" t="inlineStr">
        <is>
          <t>2025-12-04</t>
        </is>
      </c>
      <c r="L113" s="53" t="inlineStr"/>
    </row>
    <row r="114">
      <c r="A114" s="53" t="inlineStr">
        <is>
          <t>DS.2025.2345 S &amp; W Homes</t>
        </is>
      </c>
      <c r="B114" s="53" t="inlineStr">
        <is>
          <t>2552722</t>
        </is>
      </c>
      <c r="C114" s="53" t="inlineStr">
        <is>
          <t>DW</t>
        </is>
      </c>
      <c r="D114" s="53" t="inlineStr">
        <is>
          <t>(Unassigned)</t>
        </is>
      </c>
      <c r="E114" s="53" t="inlineStr">
        <is>
          <t>GSI - Gregory Scott Inabnit LLC</t>
        </is>
      </c>
      <c r="F114" s="53" t="inlineStr">
        <is>
          <t>ACTIVE</t>
        </is>
      </c>
      <c r="G114" s="53" t="inlineStr">
        <is>
          <t>FIXED_PRICE</t>
        </is>
      </c>
      <c r="H114" s="53" t="inlineStr"/>
      <c r="I114" s="53" t="inlineStr">
        <is>
          <t>IN</t>
        </is>
      </c>
      <c r="J114" s="53" t="inlineStr">
        <is>
          <t>2025-12-05</t>
        </is>
      </c>
      <c r="K114" s="53" t="inlineStr">
        <is>
          <t>2025-12-04</t>
        </is>
      </c>
      <c r="L114" s="53" t="inlineStr"/>
    </row>
    <row r="115">
      <c r="A115" s="53" t="inlineStr">
        <is>
          <t>DS.2025.2344 Courtyards of Russel Okas 119</t>
        </is>
      </c>
      <c r="B115" s="53" t="inlineStr">
        <is>
          <t>2552670</t>
        </is>
      </c>
      <c r="C115" s="53" t="inlineStr">
        <is>
          <t>DW</t>
        </is>
      </c>
      <c r="D115" s="53" t="inlineStr">
        <is>
          <t>(Unassigned)</t>
        </is>
      </c>
      <c r="E115" s="53" t="inlineStr">
        <is>
          <t>Big Dawg Drywall</t>
        </is>
      </c>
      <c r="F115" s="53" t="inlineStr">
        <is>
          <t>ACTIVE</t>
        </is>
      </c>
      <c r="G115" s="53" t="inlineStr">
        <is>
          <t>FIXED_PRICE</t>
        </is>
      </c>
      <c r="H115" s="53" t="inlineStr"/>
      <c r="I115" s="53" t="inlineStr">
        <is>
          <t>IN</t>
        </is>
      </c>
      <c r="J115" s="53" t="inlineStr">
        <is>
          <t>2025-12-05</t>
        </is>
      </c>
      <c r="K115" s="53" t="inlineStr">
        <is>
          <t>2025-12-03</t>
        </is>
      </c>
      <c r="L115" s="53" t="inlineStr"/>
    </row>
    <row r="116">
      <c r="A116" s="53" t="inlineStr">
        <is>
          <t>DS.2025.2343 Big Dawg Pickup 12-4</t>
        </is>
      </c>
      <c r="B116" s="53" t="inlineStr">
        <is>
          <t>2552143</t>
        </is>
      </c>
      <c r="C116" s="53" t="inlineStr">
        <is>
          <t>DW</t>
        </is>
      </c>
      <c r="D116" s="53" t="inlineStr">
        <is>
          <t>(Unassigned)</t>
        </is>
      </c>
      <c r="E116" s="53" t="inlineStr">
        <is>
          <t>Big Dawg Drywall</t>
        </is>
      </c>
      <c r="F116" s="53" t="inlineStr">
        <is>
          <t>ACTIVE</t>
        </is>
      </c>
      <c r="G116" s="53" t="inlineStr">
        <is>
          <t>FIXED_PRICE</t>
        </is>
      </c>
      <c r="H116" s="53" t="inlineStr"/>
      <c r="I116" s="53" t="inlineStr"/>
      <c r="J116" s="53" t="inlineStr">
        <is>
          <t>2025-12-05</t>
        </is>
      </c>
      <c r="K116" s="53" t="inlineStr">
        <is>
          <t>2025-12-04</t>
        </is>
      </c>
      <c r="L116" s="53" t="inlineStr"/>
    </row>
    <row r="117">
      <c r="A117" s="53" t="inlineStr">
        <is>
          <t>DS.2025.2342 Courtyards of Westfield 116</t>
        </is>
      </c>
      <c r="B117" s="53" t="inlineStr">
        <is>
          <t>2548777</t>
        </is>
      </c>
      <c r="C117" s="53" t="inlineStr">
        <is>
          <t>DW</t>
        </is>
      </c>
      <c r="D117" s="53" t="inlineStr">
        <is>
          <t>(Unassigned)</t>
        </is>
      </c>
      <c r="E117" s="53" t="inlineStr">
        <is>
          <t>Big Dawg Drywall</t>
        </is>
      </c>
      <c r="F117" s="53" t="inlineStr">
        <is>
          <t>ACTIVE</t>
        </is>
      </c>
      <c r="G117" s="53" t="inlineStr">
        <is>
          <t>FIXED_PRICE</t>
        </is>
      </c>
      <c r="H117" s="53" t="inlineStr"/>
      <c r="I117" s="53" t="inlineStr">
        <is>
          <t>IN</t>
        </is>
      </c>
      <c r="J117" s="53" t="inlineStr">
        <is>
          <t>2025-12-03</t>
        </is>
      </c>
      <c r="K117" s="53" t="inlineStr">
        <is>
          <t>2025-12-02</t>
        </is>
      </c>
      <c r="L117" s="53" t="inlineStr"/>
    </row>
    <row r="118">
      <c r="A118" s="53" t="inlineStr">
        <is>
          <t>DS.2025.2341 8677 Bash St</t>
        </is>
      </c>
      <c r="B118" s="53" t="inlineStr">
        <is>
          <t>2548714</t>
        </is>
      </c>
      <c r="C118" s="53" t="inlineStr">
        <is>
          <t>DW</t>
        </is>
      </c>
      <c r="D118" s="53" t="inlineStr">
        <is>
          <t>(Unassigned)</t>
        </is>
      </c>
      <c r="E118" s="53" t="inlineStr">
        <is>
          <t>Flores Drywall and Remodeling LLC</t>
        </is>
      </c>
      <c r="F118" s="53" t="inlineStr">
        <is>
          <t>ACTIVE</t>
        </is>
      </c>
      <c r="G118" s="53" t="inlineStr">
        <is>
          <t>FIXED_PRICE</t>
        </is>
      </c>
      <c r="H118" s="53" t="inlineStr"/>
      <c r="I118" s="53" t="inlineStr">
        <is>
          <t>IN</t>
        </is>
      </c>
      <c r="J118" s="53" t="inlineStr">
        <is>
          <t>2025-12-03</t>
        </is>
      </c>
      <c r="K118" s="53" t="inlineStr">
        <is>
          <t>2025-12-01</t>
        </is>
      </c>
      <c r="L118" s="53" t="inlineStr"/>
    </row>
    <row r="119">
      <c r="A119" s="53" t="inlineStr">
        <is>
          <t>DS.2025.2340 1573 Chatham Drive</t>
        </is>
      </c>
      <c r="B119" s="53" t="inlineStr">
        <is>
          <t>2545375</t>
        </is>
      </c>
      <c r="C119" s="53" t="inlineStr">
        <is>
          <t>DW</t>
        </is>
      </c>
      <c r="D119" s="53" t="inlineStr">
        <is>
          <t>(Unassigned)</t>
        </is>
      </c>
      <c r="E119" s="53" t="inlineStr">
        <is>
          <t>Iracheta Drywall</t>
        </is>
      </c>
      <c r="F119" s="53" t="inlineStr">
        <is>
          <t>ACTIVE</t>
        </is>
      </c>
      <c r="G119" s="53" t="inlineStr">
        <is>
          <t>FIXED_PRICE</t>
        </is>
      </c>
      <c r="H119" s="53" t="inlineStr"/>
      <c r="I119" s="53" t="inlineStr"/>
      <c r="J119" s="53" t="inlineStr">
        <is>
          <t>2025-12-02</t>
        </is>
      </c>
      <c r="K119" s="53" t="inlineStr">
        <is>
          <t>2025-11-18</t>
        </is>
      </c>
      <c r="L119" s="53" t="inlineStr"/>
    </row>
    <row r="120">
      <c r="A120" s="53" t="inlineStr">
        <is>
          <t>2025.1028 Northpoint</t>
        </is>
      </c>
      <c r="B120" s="53" t="inlineStr">
        <is>
          <t>2545100</t>
        </is>
      </c>
      <c r="C120" s="53" t="inlineStr">
        <is>
          <t>TI</t>
        </is>
      </c>
      <c r="D120" s="53" t="inlineStr">
        <is>
          <t>Trevor Anderson</t>
        </is>
      </c>
      <c r="E120" s="53" t="inlineStr">
        <is>
          <t>Patch Development</t>
        </is>
      </c>
      <c r="F120" s="53" t="inlineStr">
        <is>
          <t>ACTIVE</t>
        </is>
      </c>
      <c r="G120" s="53" t="inlineStr">
        <is>
          <t>FIXED_PRICE_WITH_AIA_BILLING</t>
        </is>
      </c>
      <c r="H120" s="53" t="inlineStr">
        <is>
          <t>Westfield</t>
        </is>
      </c>
      <c r="I120" s="53" t="inlineStr">
        <is>
          <t>IN</t>
        </is>
      </c>
      <c r="J120" s="53" t="inlineStr">
        <is>
          <t>2025-12-29</t>
        </is>
      </c>
      <c r="K120" s="53" t="inlineStr">
        <is>
          <t>2025-12-22</t>
        </is>
      </c>
      <c r="L120" s="53" t="inlineStr"/>
    </row>
    <row r="121">
      <c r="A121" s="53" t="inlineStr">
        <is>
          <t>MF.2026.1044 Everstead Apartments</t>
        </is>
      </c>
      <c r="B121" s="53" t="inlineStr">
        <is>
          <t>2541102</t>
        </is>
      </c>
      <c r="C121" s="53" t="inlineStr">
        <is>
          <t>MF</t>
        </is>
      </c>
      <c r="D121" s="53" t="inlineStr">
        <is>
          <t>Ben Garza</t>
        </is>
      </c>
      <c r="E121" s="53" t="inlineStr">
        <is>
          <t>Grand Contracting</t>
        </is>
      </c>
      <c r="F121" s="53" t="inlineStr">
        <is>
          <t>ACTIVE</t>
        </is>
      </c>
      <c r="G121" s="53" t="inlineStr">
        <is>
          <t>FIXED_PRICE_WITH_AIA_BILLING</t>
        </is>
      </c>
      <c r="H121" s="53" t="inlineStr">
        <is>
          <t>Whitestown</t>
        </is>
      </c>
      <c r="I121" s="53" t="inlineStr">
        <is>
          <t>IN</t>
        </is>
      </c>
      <c r="J121" s="53" t="inlineStr">
        <is>
          <t>2026-04-29</t>
        </is>
      </c>
      <c r="K121" s="53" t="inlineStr">
        <is>
          <t>2026-05-04</t>
        </is>
      </c>
      <c r="L121" s="53" t="inlineStr"/>
    </row>
    <row r="122">
      <c r="A122" s="53" t="inlineStr">
        <is>
          <t>2025.1026 HNTB Buildout (Salesforce Tower)</t>
        </is>
      </c>
      <c r="B122" s="53" t="inlineStr">
        <is>
          <t>2541097</t>
        </is>
      </c>
      <c r="C122" s="53" t="inlineStr">
        <is>
          <t>TI</t>
        </is>
      </c>
      <c r="D122" s="53" t="inlineStr">
        <is>
          <t>Ben Garza</t>
        </is>
      </c>
      <c r="E122" s="53" t="inlineStr">
        <is>
          <t>Skender Construction of Indiana LLC</t>
        </is>
      </c>
      <c r="F122" s="53" t="inlineStr">
        <is>
          <t>ACTIVE</t>
        </is>
      </c>
      <c r="G122" s="53" t="inlineStr">
        <is>
          <t>FIXED_PRICE_WITH_AIA_BILLING</t>
        </is>
      </c>
      <c r="H122" s="53" t="inlineStr">
        <is>
          <t>Indianapolis</t>
        </is>
      </c>
      <c r="I122" s="53" t="inlineStr">
        <is>
          <t>IN</t>
        </is>
      </c>
      <c r="J122" s="53" t="inlineStr">
        <is>
          <t>2025-12-08</t>
        </is>
      </c>
      <c r="K122" s="53" t="inlineStr">
        <is>
          <t>2025-12-08</t>
        </is>
      </c>
      <c r="L122" s="53" t="inlineStr">
        <is>
          <t>2026-05-15</t>
        </is>
      </c>
    </row>
    <row r="123">
      <c r="A123" s="53" t="inlineStr">
        <is>
          <t>2026.1034 Stella's Ice Cream Shop</t>
        </is>
      </c>
      <c r="B123" s="53" t="inlineStr">
        <is>
          <t>2541065</t>
        </is>
      </c>
      <c r="C123" s="53" t="inlineStr">
        <is>
          <t>TI</t>
        </is>
      </c>
      <c r="D123" s="53" t="inlineStr">
        <is>
          <t>Shawn Welcher</t>
        </is>
      </c>
      <c r="E123" s="53" t="inlineStr">
        <is>
          <t>The ACTS Collaborative, LLC</t>
        </is>
      </c>
      <c r="F123" s="53" t="inlineStr">
        <is>
          <t>ACTIVE</t>
        </is>
      </c>
      <c r="G123" s="53" t="inlineStr">
        <is>
          <t>FIXED_PRICE_WITH_AIA_BILLING</t>
        </is>
      </c>
      <c r="H123" s="53" t="inlineStr">
        <is>
          <t>Westfield</t>
        </is>
      </c>
      <c r="I123" s="53" t="inlineStr">
        <is>
          <t>IN</t>
        </is>
      </c>
      <c r="J123" s="53" t="inlineStr">
        <is>
          <t>2026-02-27</t>
        </is>
      </c>
      <c r="K123" s="53" t="inlineStr">
        <is>
          <t>2026-02-20</t>
        </is>
      </c>
      <c r="L123" s="53" t="inlineStr"/>
    </row>
    <row r="124">
      <c r="A124" s="53" t="inlineStr">
        <is>
          <t>DS.2025.2339 1952 N Central Ave</t>
        </is>
      </c>
      <c r="B124" s="53" t="inlineStr">
        <is>
          <t>2540055</t>
        </is>
      </c>
      <c r="C124" s="53" t="inlineStr">
        <is>
          <t>DW</t>
        </is>
      </c>
      <c r="D124" s="53" t="inlineStr">
        <is>
          <t>(Unassigned)</t>
        </is>
      </c>
      <c r="E124" s="53" t="inlineStr">
        <is>
          <t>Pro Fix Drywaller, LLC</t>
        </is>
      </c>
      <c r="F124" s="53" t="inlineStr">
        <is>
          <t>ACTIVE</t>
        </is>
      </c>
      <c r="G124" s="53" t="inlineStr">
        <is>
          <t>FIXED_PRICE</t>
        </is>
      </c>
      <c r="H124" s="53" t="inlineStr"/>
      <c r="I124" s="53" t="inlineStr">
        <is>
          <t>IN</t>
        </is>
      </c>
      <c r="J124" s="53" t="inlineStr">
        <is>
          <t>2025-11-26</t>
        </is>
      </c>
      <c r="K124" s="53" t="inlineStr">
        <is>
          <t>2025-11-26</t>
        </is>
      </c>
      <c r="L124" s="53" t="inlineStr"/>
    </row>
    <row r="125">
      <c r="A125" s="53" t="inlineStr">
        <is>
          <t>DS.2025.2338 7655 W Julia Drive</t>
        </is>
      </c>
      <c r="B125" s="53" t="inlineStr">
        <is>
          <t>2538950</t>
        </is>
      </c>
      <c r="C125" s="53" t="inlineStr">
        <is>
          <t>DW</t>
        </is>
      </c>
      <c r="D125" s="53" t="inlineStr">
        <is>
          <t>(Unassigned)</t>
        </is>
      </c>
      <c r="E125" s="53" t="inlineStr">
        <is>
          <t>GSI - Gregory Scott Inabnit LLC</t>
        </is>
      </c>
      <c r="F125" s="53" t="inlineStr">
        <is>
          <t>ACTIVE</t>
        </is>
      </c>
      <c r="G125" s="53" t="inlineStr">
        <is>
          <t>FIXED_PRICE</t>
        </is>
      </c>
      <c r="H125" s="53" t="inlineStr"/>
      <c r="I125" s="53" t="inlineStr">
        <is>
          <t>IN</t>
        </is>
      </c>
      <c r="J125" s="53" t="inlineStr">
        <is>
          <t>2025-11-25</t>
        </is>
      </c>
      <c r="K125" s="53" t="inlineStr">
        <is>
          <t>2025-11-24</t>
        </is>
      </c>
      <c r="L125" s="53" t="inlineStr"/>
    </row>
    <row r="126">
      <c r="A126" s="53" t="inlineStr">
        <is>
          <t>DS.2025.2337 Courtyards of Cielo Ranch 7</t>
        </is>
      </c>
      <c r="B126" s="53" t="inlineStr">
        <is>
          <t>2538818</t>
        </is>
      </c>
      <c r="C126" s="53" t="inlineStr">
        <is>
          <t>DW</t>
        </is>
      </c>
      <c r="D126" s="53" t="inlineStr">
        <is>
          <t>(Unassigned)</t>
        </is>
      </c>
      <c r="E126" s="53" t="inlineStr">
        <is>
          <t>Big Dawg Drywall</t>
        </is>
      </c>
      <c r="F126" s="53" t="inlineStr">
        <is>
          <t>ACTIVE</t>
        </is>
      </c>
      <c r="G126" s="53" t="inlineStr">
        <is>
          <t>FIXED_PRICE</t>
        </is>
      </c>
      <c r="H126" s="53" t="inlineStr"/>
      <c r="I126" s="53" t="inlineStr">
        <is>
          <t>IN</t>
        </is>
      </c>
      <c r="J126" s="53" t="inlineStr">
        <is>
          <t>2025-11-25</t>
        </is>
      </c>
      <c r="K126" s="53" t="inlineStr">
        <is>
          <t>2025-11-24</t>
        </is>
      </c>
      <c r="L126" s="53" t="inlineStr"/>
    </row>
    <row r="127">
      <c r="A127" s="53" t="inlineStr">
        <is>
          <t>DS.2025.2336 Courtyards of Cielo Ranch 24</t>
        </is>
      </c>
      <c r="B127" s="53" t="inlineStr">
        <is>
          <t>2538718</t>
        </is>
      </c>
      <c r="C127" s="53" t="inlineStr">
        <is>
          <t>DW</t>
        </is>
      </c>
      <c r="D127" s="53" t="inlineStr">
        <is>
          <t>(Unassigned)</t>
        </is>
      </c>
      <c r="E127" s="53" t="inlineStr">
        <is>
          <t>Big Dawg Drywall</t>
        </is>
      </c>
      <c r="F127" s="53" t="inlineStr">
        <is>
          <t>ACTIVE</t>
        </is>
      </c>
      <c r="G127" s="53" t="inlineStr">
        <is>
          <t>FIXED_PRICE</t>
        </is>
      </c>
      <c r="H127" s="53" t="inlineStr"/>
      <c r="I127" s="53" t="inlineStr">
        <is>
          <t>IN</t>
        </is>
      </c>
      <c r="J127" s="53" t="inlineStr">
        <is>
          <t>2025-11-25</t>
        </is>
      </c>
      <c r="K127" s="53" t="inlineStr">
        <is>
          <t>2025-11-24</t>
        </is>
      </c>
      <c r="L127" s="53" t="inlineStr"/>
    </row>
    <row r="128">
      <c r="A128" s="53" t="inlineStr">
        <is>
          <t>DS.2025.2335 Courtyards of Cielo Ranch 23</t>
        </is>
      </c>
      <c r="B128" s="53" t="inlineStr">
        <is>
          <t>2538410</t>
        </is>
      </c>
      <c r="C128" s="53" t="inlineStr">
        <is>
          <t>DW</t>
        </is>
      </c>
      <c r="D128" s="53" t="inlineStr">
        <is>
          <t>(Unassigned)</t>
        </is>
      </c>
      <c r="E128" s="53" t="inlineStr">
        <is>
          <t>Big Dawg Drywall</t>
        </is>
      </c>
      <c r="F128" s="53" t="inlineStr">
        <is>
          <t>ACTIVE</t>
        </is>
      </c>
      <c r="G128" s="53" t="inlineStr">
        <is>
          <t>FIXED_PRICE</t>
        </is>
      </c>
      <c r="H128" s="53" t="inlineStr"/>
      <c r="I128" s="53" t="inlineStr">
        <is>
          <t>IN</t>
        </is>
      </c>
      <c r="J128" s="53" t="inlineStr">
        <is>
          <t>2025-11-25</t>
        </is>
      </c>
      <c r="K128" s="53" t="inlineStr">
        <is>
          <t>2025-11-24</t>
        </is>
      </c>
      <c r="L128" s="53" t="inlineStr"/>
    </row>
    <row r="129">
      <c r="A129" s="53" t="inlineStr">
        <is>
          <t>DS.2025.2334 Courtyards of Russell Oaks 61</t>
        </is>
      </c>
      <c r="B129" s="53" t="inlineStr">
        <is>
          <t>2536742</t>
        </is>
      </c>
      <c r="C129" s="53" t="inlineStr">
        <is>
          <t>DW</t>
        </is>
      </c>
      <c r="D129" s="53" t="inlineStr">
        <is>
          <t>(Unassigned)</t>
        </is>
      </c>
      <c r="E129" s="53" t="inlineStr">
        <is>
          <t>Big Dawg Drywall</t>
        </is>
      </c>
      <c r="F129" s="53" t="inlineStr">
        <is>
          <t>ACTIVE</t>
        </is>
      </c>
      <c r="G129" s="53" t="inlineStr">
        <is>
          <t>FIXED_PRICE</t>
        </is>
      </c>
      <c r="H129" s="53" t="inlineStr"/>
      <c r="I129" s="53" t="inlineStr">
        <is>
          <t>IN</t>
        </is>
      </c>
      <c r="J129" s="53" t="inlineStr">
        <is>
          <t>2025-11-24</t>
        </is>
      </c>
      <c r="K129" s="53" t="inlineStr">
        <is>
          <t>2025-11-21</t>
        </is>
      </c>
      <c r="L129" s="53" t="inlineStr"/>
    </row>
    <row r="130">
      <c r="A130" s="53" t="inlineStr">
        <is>
          <t>DS.2025.2333 7814 E Old US 50</t>
        </is>
      </c>
      <c r="B130" s="53" t="inlineStr">
        <is>
          <t>2532793</t>
        </is>
      </c>
      <c r="C130" s="53" t="inlineStr">
        <is>
          <t>DW</t>
        </is>
      </c>
      <c r="D130" s="53" t="inlineStr">
        <is>
          <t>(Unassigned)</t>
        </is>
      </c>
      <c r="E130" s="53" t="inlineStr">
        <is>
          <t>Total Drywall Solutions Inc</t>
        </is>
      </c>
      <c r="F130" s="53" t="inlineStr">
        <is>
          <t>ACTIVE</t>
        </is>
      </c>
      <c r="G130" s="53" t="inlineStr">
        <is>
          <t>FIXED_PRICE</t>
        </is>
      </c>
      <c r="H130" s="53" t="inlineStr"/>
      <c r="I130" s="53" t="inlineStr"/>
      <c r="J130" s="53" t="inlineStr">
        <is>
          <t>2025-11-20</t>
        </is>
      </c>
      <c r="K130" s="53" t="inlineStr">
        <is>
          <t>2025-11-19</t>
        </is>
      </c>
      <c r="L130" s="53" t="inlineStr"/>
    </row>
    <row r="131">
      <c r="A131" s="53" t="inlineStr">
        <is>
          <t>DS.2025.2332 Courtyards of Westfield 109</t>
        </is>
      </c>
      <c r="B131" s="53" t="inlineStr">
        <is>
          <t>2532772</t>
        </is>
      </c>
      <c r="C131" s="53" t="inlineStr">
        <is>
          <t>DW</t>
        </is>
      </c>
      <c r="D131" s="53" t="inlineStr">
        <is>
          <t>(Unassigned)</t>
        </is>
      </c>
      <c r="E131" s="53" t="inlineStr">
        <is>
          <t>Big Dawg Drywall</t>
        </is>
      </c>
      <c r="F131" s="53" t="inlineStr">
        <is>
          <t>ACTIVE</t>
        </is>
      </c>
      <c r="G131" s="53" t="inlineStr">
        <is>
          <t>FIXED_PRICE</t>
        </is>
      </c>
      <c r="H131" s="53" t="inlineStr"/>
      <c r="I131" s="53" t="inlineStr">
        <is>
          <t>IN</t>
        </is>
      </c>
      <c r="J131" s="53" t="inlineStr">
        <is>
          <t>2025-11-20</t>
        </is>
      </c>
      <c r="K131" s="53" t="inlineStr">
        <is>
          <t>2025-11-19</t>
        </is>
      </c>
      <c r="L131" s="53" t="inlineStr"/>
    </row>
    <row r="132">
      <c r="A132" s="53" t="inlineStr">
        <is>
          <t>DS.2025.2331 Courtyards of Russell Oaks 65</t>
        </is>
      </c>
      <c r="B132" s="53" t="inlineStr">
        <is>
          <t>2532740</t>
        </is>
      </c>
      <c r="C132" s="53" t="inlineStr">
        <is>
          <t>DW</t>
        </is>
      </c>
      <c r="D132" s="53" t="inlineStr">
        <is>
          <t>(Unassigned)</t>
        </is>
      </c>
      <c r="E132" s="53" t="inlineStr">
        <is>
          <t>Big Dawg Drywall</t>
        </is>
      </c>
      <c r="F132" s="53" t="inlineStr">
        <is>
          <t>ACTIVE</t>
        </is>
      </c>
      <c r="G132" s="53" t="inlineStr">
        <is>
          <t>FIXED_PRICE</t>
        </is>
      </c>
      <c r="H132" s="53" t="inlineStr"/>
      <c r="I132" s="53" t="inlineStr">
        <is>
          <t>IN</t>
        </is>
      </c>
      <c r="J132" s="53" t="inlineStr">
        <is>
          <t>2025-11-20</t>
        </is>
      </c>
      <c r="K132" s="53" t="inlineStr">
        <is>
          <t>2025-11-19</t>
        </is>
      </c>
      <c r="L132" s="53" t="inlineStr"/>
    </row>
    <row r="133">
      <c r="A133" s="53" t="inlineStr">
        <is>
          <t>DS.2025.2330 GSI Stonecrest 11-18</t>
        </is>
      </c>
      <c r="B133" s="53" t="inlineStr">
        <is>
          <t>2532662</t>
        </is>
      </c>
      <c r="C133" s="53" t="inlineStr">
        <is>
          <t>DW</t>
        </is>
      </c>
      <c r="D133" s="53" t="inlineStr">
        <is>
          <t>(Unassigned)</t>
        </is>
      </c>
      <c r="E133" s="53" t="inlineStr">
        <is>
          <t>GSI - Gregory Scott Inabnit LLC</t>
        </is>
      </c>
      <c r="F133" s="53" t="inlineStr">
        <is>
          <t>ACTIVE</t>
        </is>
      </c>
      <c r="G133" s="53" t="inlineStr">
        <is>
          <t>FIXED_PRICE</t>
        </is>
      </c>
      <c r="H133" s="53" t="inlineStr"/>
      <c r="I133" s="53" t="inlineStr">
        <is>
          <t>IN</t>
        </is>
      </c>
      <c r="J133" s="53" t="inlineStr">
        <is>
          <t>2025-11-20</t>
        </is>
      </c>
      <c r="K133" s="53" t="inlineStr">
        <is>
          <t>2025-11-18</t>
        </is>
      </c>
      <c r="L133" s="53" t="inlineStr"/>
    </row>
    <row r="134">
      <c r="A134" s="53" t="inlineStr">
        <is>
          <t>DS.2025.2329 Courtyards of Westfield Lot 90</t>
        </is>
      </c>
      <c r="B134" s="53" t="inlineStr">
        <is>
          <t>2528354</t>
        </is>
      </c>
      <c r="C134" s="53" t="inlineStr">
        <is>
          <t>DW</t>
        </is>
      </c>
      <c r="D134" s="53" t="inlineStr">
        <is>
          <t>(Unassigned)</t>
        </is>
      </c>
      <c r="E134" s="53" t="inlineStr">
        <is>
          <t>Big Dawg Drywall</t>
        </is>
      </c>
      <c r="F134" s="53" t="inlineStr">
        <is>
          <t>ACTIVE</t>
        </is>
      </c>
      <c r="G134" s="53" t="inlineStr">
        <is>
          <t>FIXED_PRICE</t>
        </is>
      </c>
      <c r="H134" s="53" t="inlineStr"/>
      <c r="I134" s="53" t="inlineStr">
        <is>
          <t>IN</t>
        </is>
      </c>
      <c r="J134" s="53" t="inlineStr">
        <is>
          <t>2025-11-18</t>
        </is>
      </c>
      <c r="K134" s="53" t="inlineStr">
        <is>
          <t>2025-11-17</t>
        </is>
      </c>
      <c r="L134" s="53" t="inlineStr"/>
    </row>
    <row r="135">
      <c r="A135" s="53" t="inlineStr">
        <is>
          <t>2026.1042 SND2 at ILP Bldg IV Whitestown</t>
        </is>
      </c>
      <c r="B135" s="53" t="inlineStr">
        <is>
          <t>2526957</t>
        </is>
      </c>
      <c r="C135" s="53" t="inlineStr">
        <is>
          <t>TI</t>
        </is>
      </c>
      <c r="D135" s="53" t="inlineStr">
        <is>
          <t>Trevor Anderson</t>
        </is>
      </c>
      <c r="E135" s="53" t="inlineStr">
        <is>
          <t>Compass Commercial Construction Group</t>
        </is>
      </c>
      <c r="F135" s="53" t="inlineStr">
        <is>
          <t>ACTIVE</t>
        </is>
      </c>
      <c r="G135" s="53" t="inlineStr">
        <is>
          <t>FIXED_PRICE_WITH_AIA_BILLING</t>
        </is>
      </c>
      <c r="H135" s="53" t="inlineStr">
        <is>
          <t>Whitestown</t>
        </is>
      </c>
      <c r="I135" s="53" t="inlineStr">
        <is>
          <t>IN</t>
        </is>
      </c>
      <c r="J135" s="53" t="inlineStr">
        <is>
          <t>2026-02-23</t>
        </is>
      </c>
      <c r="K135" s="53" t="inlineStr">
        <is>
          <t>2026-03-16</t>
        </is>
      </c>
      <c r="L135" s="53" t="inlineStr">
        <is>
          <t>2026-06-23</t>
        </is>
      </c>
    </row>
    <row r="136">
      <c r="A136" s="53" t="inlineStr">
        <is>
          <t>DS.2025.2328 Walnut Townhouses</t>
        </is>
      </c>
      <c r="B136" s="53" t="inlineStr">
        <is>
          <t>2523333</t>
        </is>
      </c>
      <c r="C136" s="53" t="inlineStr">
        <is>
          <t>DW</t>
        </is>
      </c>
      <c r="D136" s="53" t="inlineStr">
        <is>
          <t>(Unassigned)</t>
        </is>
      </c>
      <c r="E136" s="53" t="inlineStr">
        <is>
          <t>Flores Drywall and Remodeling LLC</t>
        </is>
      </c>
      <c r="F136" s="53" t="inlineStr">
        <is>
          <t>ACTIVE</t>
        </is>
      </c>
      <c r="G136" s="53" t="inlineStr">
        <is>
          <t>FIXED_PRICE</t>
        </is>
      </c>
      <c r="H136" s="53" t="inlineStr"/>
      <c r="I136" s="53" t="inlineStr">
        <is>
          <t>IN</t>
        </is>
      </c>
      <c r="J136" s="53" t="inlineStr">
        <is>
          <t>2025-11-14</t>
        </is>
      </c>
      <c r="K136" s="53" t="inlineStr">
        <is>
          <t>2025-11-10</t>
        </is>
      </c>
      <c r="L136" s="53" t="inlineStr"/>
    </row>
    <row r="137">
      <c r="A137" s="53" t="inlineStr">
        <is>
          <t>DS.2025.2327 Courtyards of Cielo Ranch 12</t>
        </is>
      </c>
      <c r="B137" s="53" t="inlineStr">
        <is>
          <t>2522921</t>
        </is>
      </c>
      <c r="C137" s="53" t="inlineStr">
        <is>
          <t>DW</t>
        </is>
      </c>
      <c r="D137" s="53" t="inlineStr">
        <is>
          <t>(Unassigned)</t>
        </is>
      </c>
      <c r="E137" s="53" t="inlineStr">
        <is>
          <t>Big Dawg Drywall</t>
        </is>
      </c>
      <c r="F137" s="53" t="inlineStr">
        <is>
          <t>ACTIVE</t>
        </is>
      </c>
      <c r="G137" s="53" t="inlineStr">
        <is>
          <t>FIXED_PRICE</t>
        </is>
      </c>
      <c r="H137" s="53" t="inlineStr"/>
      <c r="I137" s="53" t="inlineStr">
        <is>
          <t>IN</t>
        </is>
      </c>
      <c r="J137" s="53" t="inlineStr">
        <is>
          <t>2025-11-14</t>
        </is>
      </c>
      <c r="K137" s="53" t="inlineStr">
        <is>
          <t>2025-11-13</t>
        </is>
      </c>
      <c r="L137" s="53" t="inlineStr"/>
    </row>
    <row r="138">
      <c r="A138" s="53" t="inlineStr">
        <is>
          <t>DS.2025.2326 Courtyards of Russell Oaks 64</t>
        </is>
      </c>
      <c r="B138" s="53" t="inlineStr">
        <is>
          <t>2521531</t>
        </is>
      </c>
      <c r="C138" s="53" t="inlineStr">
        <is>
          <t>DW</t>
        </is>
      </c>
      <c r="D138" s="53" t="inlineStr">
        <is>
          <t>(Unassigned)</t>
        </is>
      </c>
      <c r="E138" s="53" t="inlineStr">
        <is>
          <t>Big Dawg Drywall</t>
        </is>
      </c>
      <c r="F138" s="53" t="inlineStr">
        <is>
          <t>ACTIVE</t>
        </is>
      </c>
      <c r="G138" s="53" t="inlineStr">
        <is>
          <t>FIXED_PRICE</t>
        </is>
      </c>
      <c r="H138" s="53" t="inlineStr"/>
      <c r="I138" s="53" t="inlineStr">
        <is>
          <t>IN</t>
        </is>
      </c>
      <c r="J138" s="53" t="inlineStr">
        <is>
          <t>2025-11-13</t>
        </is>
      </c>
      <c r="K138" s="53" t="inlineStr">
        <is>
          <t>2025-11-12</t>
        </is>
      </c>
      <c r="L138" s="53" t="inlineStr"/>
    </row>
    <row r="139">
      <c r="A139" s="53" t="inlineStr">
        <is>
          <t>2025.1024 Metro Lion</t>
        </is>
      </c>
      <c r="B139" s="53" t="inlineStr">
        <is>
          <t>2520350</t>
        </is>
      </c>
      <c r="C139" s="53" t="inlineStr">
        <is>
          <t>TI</t>
        </is>
      </c>
      <c r="D139" s="53" t="inlineStr">
        <is>
          <t>Ben Garza</t>
        </is>
      </c>
      <c r="E139" s="53" t="inlineStr">
        <is>
          <t>DEEM, LLC</t>
        </is>
      </c>
      <c r="F139" s="53" t="inlineStr">
        <is>
          <t>ACTIVE</t>
        </is>
      </c>
      <c r="G139" s="53" t="inlineStr">
        <is>
          <t>FIXED_PRICE_WITH_AIA_BILLING</t>
        </is>
      </c>
      <c r="H139" s="53" t="inlineStr">
        <is>
          <t>Indianapolis</t>
        </is>
      </c>
      <c r="I139" s="53" t="inlineStr">
        <is>
          <t>IN</t>
        </is>
      </c>
      <c r="J139" s="53" t="inlineStr">
        <is>
          <t>2026-01-05</t>
        </is>
      </c>
      <c r="K139" s="53" t="inlineStr">
        <is>
          <t>2025-11-14</t>
        </is>
      </c>
      <c r="L139" s="53" t="inlineStr">
        <is>
          <t>2026-02-15</t>
        </is>
      </c>
    </row>
    <row r="140">
      <c r="A140" s="53" t="inlineStr">
        <is>
          <t>DS.2025.2325 6693 E 500 N</t>
        </is>
      </c>
      <c r="B140" s="53" t="inlineStr">
        <is>
          <t>2519527</t>
        </is>
      </c>
      <c r="C140" s="53" t="inlineStr">
        <is>
          <t>DW</t>
        </is>
      </c>
      <c r="D140" s="53" t="inlineStr">
        <is>
          <t>(Unassigned)</t>
        </is>
      </c>
      <c r="E140" s="53" t="inlineStr">
        <is>
          <t>Total Drywall Solutions Inc</t>
        </is>
      </c>
      <c r="F140" s="53" t="inlineStr">
        <is>
          <t>ACTIVE</t>
        </is>
      </c>
      <c r="G140" s="53" t="inlineStr">
        <is>
          <t>FIXED_PRICE</t>
        </is>
      </c>
      <c r="H140" s="53" t="inlineStr"/>
      <c r="I140" s="53" t="inlineStr">
        <is>
          <t>IN</t>
        </is>
      </c>
      <c r="J140" s="53" t="inlineStr">
        <is>
          <t>2025-11-12</t>
        </is>
      </c>
      <c r="K140" s="53" t="inlineStr">
        <is>
          <t>2025-11-11</t>
        </is>
      </c>
      <c r="L140" s="53" t="inlineStr"/>
    </row>
    <row r="141">
      <c r="A141" s="53" t="inlineStr">
        <is>
          <t>DS.2025.2324 6504 N 1200 E</t>
        </is>
      </c>
      <c r="B141" s="53" t="inlineStr">
        <is>
          <t>2519463</t>
        </is>
      </c>
      <c r="C141" s="53" t="inlineStr">
        <is>
          <t>DW</t>
        </is>
      </c>
      <c r="D141" s="53" t="inlineStr">
        <is>
          <t>(Unassigned)</t>
        </is>
      </c>
      <c r="E141" s="53" t="inlineStr">
        <is>
          <t>Total Drywall Solutions Inc</t>
        </is>
      </c>
      <c r="F141" s="53" t="inlineStr">
        <is>
          <t>ACTIVE</t>
        </is>
      </c>
      <c r="G141" s="53" t="inlineStr">
        <is>
          <t>FIXED_PRICE</t>
        </is>
      </c>
      <c r="H141" s="53" t="inlineStr"/>
      <c r="I141" s="53" t="inlineStr">
        <is>
          <t>IN</t>
        </is>
      </c>
      <c r="J141" s="53" t="inlineStr">
        <is>
          <t>2025-11-12</t>
        </is>
      </c>
      <c r="K141" s="53" t="inlineStr">
        <is>
          <t>2025-11-11</t>
        </is>
      </c>
      <c r="L141" s="53" t="inlineStr"/>
    </row>
    <row r="142">
      <c r="A142" s="53" t="inlineStr">
        <is>
          <t>DS.2025.2323 11890 E 800 N</t>
        </is>
      </c>
      <c r="B142" s="53" t="inlineStr">
        <is>
          <t>2519426</t>
        </is>
      </c>
      <c r="C142" s="53" t="inlineStr">
        <is>
          <t>DW</t>
        </is>
      </c>
      <c r="D142" s="53" t="inlineStr">
        <is>
          <t>(Unassigned)</t>
        </is>
      </c>
      <c r="E142" s="53" t="inlineStr">
        <is>
          <t>Total Drywall Solutions Inc</t>
        </is>
      </c>
      <c r="F142" s="53" t="inlineStr">
        <is>
          <t>ACTIVE</t>
        </is>
      </c>
      <c r="G142" s="53" t="inlineStr">
        <is>
          <t>FIXED_PRICE</t>
        </is>
      </c>
      <c r="H142" s="53" t="inlineStr"/>
      <c r="I142" s="53" t="inlineStr">
        <is>
          <t>IN</t>
        </is>
      </c>
      <c r="J142" s="53" t="inlineStr">
        <is>
          <t>2025-11-12</t>
        </is>
      </c>
      <c r="K142" s="53" t="inlineStr">
        <is>
          <t>2025-11-11</t>
        </is>
      </c>
      <c r="L142" s="53" t="inlineStr"/>
    </row>
    <row r="143">
      <c r="A143" s="53" t="inlineStr">
        <is>
          <t>DS.2025.2322 Courtyards of Russell Oaks 124</t>
        </is>
      </c>
      <c r="B143" s="53" t="inlineStr">
        <is>
          <t>2517615</t>
        </is>
      </c>
      <c r="C143" s="53" t="inlineStr">
        <is>
          <t>DW</t>
        </is>
      </c>
      <c r="D143" s="53" t="inlineStr">
        <is>
          <t>(Unassigned)</t>
        </is>
      </c>
      <c r="E143" s="53" t="inlineStr">
        <is>
          <t>Big Dawg Drywall</t>
        </is>
      </c>
      <c r="F143" s="53" t="inlineStr">
        <is>
          <t>ACTIVE</t>
        </is>
      </c>
      <c r="G143" s="53" t="inlineStr">
        <is>
          <t>FIXED_PRICE</t>
        </is>
      </c>
      <c r="H143" s="53" t="inlineStr"/>
      <c r="I143" s="53" t="inlineStr">
        <is>
          <t>IN</t>
        </is>
      </c>
      <c r="J143" s="53" t="inlineStr">
        <is>
          <t>2025-11-11</t>
        </is>
      </c>
      <c r="K143" s="53" t="inlineStr">
        <is>
          <t>2025-11-06</t>
        </is>
      </c>
      <c r="L143" s="53" t="inlineStr"/>
    </row>
    <row r="144">
      <c r="A144" s="53" t="inlineStr">
        <is>
          <t>DS.2025.2321 Courtyards of Cielo Ranch 33</t>
        </is>
      </c>
      <c r="B144" s="53" t="inlineStr">
        <is>
          <t>2517594</t>
        </is>
      </c>
      <c r="C144" s="53" t="inlineStr">
        <is>
          <t>DW</t>
        </is>
      </c>
      <c r="D144" s="53" t="inlineStr">
        <is>
          <t>(Unassigned)</t>
        </is>
      </c>
      <c r="E144" s="53" t="inlineStr">
        <is>
          <t>Big Dawg Drywall</t>
        </is>
      </c>
      <c r="F144" s="53" t="inlineStr">
        <is>
          <t>ACTIVE</t>
        </is>
      </c>
      <c r="G144" s="53" t="inlineStr">
        <is>
          <t>FIXED_PRICE</t>
        </is>
      </c>
      <c r="H144" s="53" t="inlineStr"/>
      <c r="I144" s="53" t="inlineStr">
        <is>
          <t>IN</t>
        </is>
      </c>
      <c r="J144" s="53" t="inlineStr">
        <is>
          <t>2025-11-11</t>
        </is>
      </c>
      <c r="K144" s="53" t="inlineStr">
        <is>
          <t>2025-11-11</t>
        </is>
      </c>
      <c r="L144" s="53" t="inlineStr"/>
    </row>
    <row r="145">
      <c r="A145" s="53" t="inlineStr">
        <is>
          <t>DS.2025.2320 Courtyards of Cielo Ranch 27</t>
        </is>
      </c>
      <c r="B145" s="53" t="inlineStr">
        <is>
          <t>2517552</t>
        </is>
      </c>
      <c r="C145" s="53" t="inlineStr">
        <is>
          <t>DW</t>
        </is>
      </c>
      <c r="D145" s="53" t="inlineStr">
        <is>
          <t>(Unassigned)</t>
        </is>
      </c>
      <c r="E145" s="53" t="inlineStr">
        <is>
          <t>Big Dawg Drywall</t>
        </is>
      </c>
      <c r="F145" s="53" t="inlineStr">
        <is>
          <t>ACTIVE</t>
        </is>
      </c>
      <c r="G145" s="53" t="inlineStr">
        <is>
          <t>FIXED_PRICE</t>
        </is>
      </c>
      <c r="H145" s="53" t="inlineStr"/>
      <c r="I145" s="53" t="inlineStr">
        <is>
          <t>IN</t>
        </is>
      </c>
      <c r="J145" s="53" t="inlineStr">
        <is>
          <t>2025-11-11</t>
        </is>
      </c>
      <c r="K145" s="53" t="inlineStr">
        <is>
          <t>2025-11-06</t>
        </is>
      </c>
      <c r="L145" s="53" t="inlineStr"/>
    </row>
    <row r="146">
      <c r="A146" s="53" t="inlineStr">
        <is>
          <t>DS.2025.2319 5288 Oak Grove Rd</t>
        </is>
      </c>
      <c r="B146" s="53" t="inlineStr">
        <is>
          <t>2510293</t>
        </is>
      </c>
      <c r="C146" s="53" t="inlineStr">
        <is>
          <t>DW</t>
        </is>
      </c>
      <c r="D146" s="53" t="inlineStr">
        <is>
          <t>(Unassigned)</t>
        </is>
      </c>
      <c r="E146" s="53" t="inlineStr">
        <is>
          <t>Total Drywall Solutions Inc</t>
        </is>
      </c>
      <c r="F146" s="53" t="inlineStr">
        <is>
          <t>ACTIVE</t>
        </is>
      </c>
      <c r="G146" s="53" t="inlineStr">
        <is>
          <t>FIXED_PRICE</t>
        </is>
      </c>
      <c r="H146" s="53" t="inlineStr"/>
      <c r="I146" s="53" t="inlineStr">
        <is>
          <t>IN</t>
        </is>
      </c>
      <c r="J146" s="53" t="inlineStr">
        <is>
          <t>2025-11-06</t>
        </is>
      </c>
      <c r="K146" s="53" t="inlineStr">
        <is>
          <t>2025-11-05</t>
        </is>
      </c>
      <c r="L146" s="53" t="inlineStr"/>
    </row>
    <row r="147">
      <c r="A147" s="53" t="inlineStr">
        <is>
          <t>DS.2025.2318 GSI Stonecrest 11-4</t>
        </is>
      </c>
      <c r="B147" s="53" t="inlineStr">
        <is>
          <t>2508315</t>
        </is>
      </c>
      <c r="C147" s="53" t="inlineStr">
        <is>
          <t>DW</t>
        </is>
      </c>
      <c r="D147" s="53" t="inlineStr">
        <is>
          <t>(Unassigned)</t>
        </is>
      </c>
      <c r="E147" s="53" t="inlineStr">
        <is>
          <t>GSI - Gregory Scott Inabnit LLC</t>
        </is>
      </c>
      <c r="F147" s="53" t="inlineStr">
        <is>
          <t>ACTIVE</t>
        </is>
      </c>
      <c r="G147" s="53" t="inlineStr">
        <is>
          <t>FIXED_PRICE</t>
        </is>
      </c>
      <c r="H147" s="53" t="inlineStr"/>
      <c r="I147" s="53" t="inlineStr">
        <is>
          <t>IN</t>
        </is>
      </c>
      <c r="J147" s="53" t="inlineStr">
        <is>
          <t>2025-11-05</t>
        </is>
      </c>
      <c r="K147" s="53" t="inlineStr">
        <is>
          <t>2025-11-04</t>
        </is>
      </c>
      <c r="L147" s="53" t="inlineStr"/>
    </row>
    <row r="148">
      <c r="A148" s="53" t="inlineStr">
        <is>
          <t>DS.2025.2317 Courtyards of Ceilo Ranch 23</t>
        </is>
      </c>
      <c r="B148" s="53" t="inlineStr">
        <is>
          <t>2508262</t>
        </is>
      </c>
      <c r="C148" s="53" t="inlineStr">
        <is>
          <t>DW</t>
        </is>
      </c>
      <c r="D148" s="53" t="inlineStr">
        <is>
          <t>(Unassigned)</t>
        </is>
      </c>
      <c r="E148" s="53" t="inlineStr">
        <is>
          <t>Big Dawg Drywall</t>
        </is>
      </c>
      <c r="F148" s="53" t="inlineStr">
        <is>
          <t>ACTIVE</t>
        </is>
      </c>
      <c r="G148" s="53" t="inlineStr">
        <is>
          <t>FIXED_PRICE</t>
        </is>
      </c>
      <c r="H148" s="53" t="inlineStr"/>
      <c r="I148" s="53" t="inlineStr">
        <is>
          <t>IN</t>
        </is>
      </c>
      <c r="J148" s="53" t="inlineStr">
        <is>
          <t>2025-11-05</t>
        </is>
      </c>
      <c r="K148" s="53" t="inlineStr">
        <is>
          <t>2025-11-04</t>
        </is>
      </c>
      <c r="L148" s="53" t="inlineStr"/>
    </row>
    <row r="149">
      <c r="A149" s="53" t="inlineStr">
        <is>
          <t>2025.1023 Vikan Products BTS</t>
        </is>
      </c>
      <c r="B149" s="53" t="inlineStr">
        <is>
          <t>2505636</t>
        </is>
      </c>
      <c r="C149" s="53" t="inlineStr">
        <is>
          <t>TI</t>
        </is>
      </c>
      <c r="D149" s="53" t="inlineStr">
        <is>
          <t>Cole Garriott</t>
        </is>
      </c>
      <c r="E149" s="53" t="inlineStr">
        <is>
          <t>The Peterson Company, LLC</t>
        </is>
      </c>
      <c r="F149" s="53" t="inlineStr">
        <is>
          <t>ACTIVE</t>
        </is>
      </c>
      <c r="G149" s="53" t="inlineStr">
        <is>
          <t>FIXED_PRICE_WITH_AIA_BILLING</t>
        </is>
      </c>
      <c r="H149" s="53" t="inlineStr">
        <is>
          <t>Westfield</t>
        </is>
      </c>
      <c r="I149" s="53" t="inlineStr">
        <is>
          <t>IN</t>
        </is>
      </c>
      <c r="J149" s="53" t="inlineStr">
        <is>
          <t>2025-11-06</t>
        </is>
      </c>
      <c r="K149" s="53" t="inlineStr">
        <is>
          <t>2025-12-08</t>
        </is>
      </c>
      <c r="L149" s="53" t="inlineStr">
        <is>
          <t>2026-03-31</t>
        </is>
      </c>
    </row>
    <row r="150">
      <c r="A150" s="53" t="inlineStr">
        <is>
          <t>DS.2025.2316 Courtyards of Cielo Ranch 8</t>
        </is>
      </c>
      <c r="B150" s="53" t="inlineStr">
        <is>
          <t>2500441</t>
        </is>
      </c>
      <c r="C150" s="53" t="inlineStr">
        <is>
          <t>DW</t>
        </is>
      </c>
      <c r="D150" s="53" t="inlineStr">
        <is>
          <t>(Unassigned)</t>
        </is>
      </c>
      <c r="E150" s="53" t="inlineStr">
        <is>
          <t>Big Dawg Drywall</t>
        </is>
      </c>
      <c r="F150" s="53" t="inlineStr">
        <is>
          <t>ACTIVE</t>
        </is>
      </c>
      <c r="G150" s="53" t="inlineStr">
        <is>
          <t>FIXED_PRICE</t>
        </is>
      </c>
      <c r="H150" s="53" t="inlineStr"/>
      <c r="I150" s="53" t="inlineStr">
        <is>
          <t>IN</t>
        </is>
      </c>
      <c r="J150" s="53" t="inlineStr">
        <is>
          <t>2025-10-31</t>
        </is>
      </c>
      <c r="K150" s="53" t="inlineStr">
        <is>
          <t>2025-10-31</t>
        </is>
      </c>
      <c r="L150" s="53" t="inlineStr"/>
    </row>
    <row r="151">
      <c r="A151" s="53" t="inlineStr">
        <is>
          <t>DS.2025.2315 GSI Brookville</t>
        </is>
      </c>
      <c r="B151" s="53" t="inlineStr">
        <is>
          <t>2499386</t>
        </is>
      </c>
      <c r="C151" s="53" t="inlineStr">
        <is>
          <t>DW</t>
        </is>
      </c>
      <c r="D151" s="53" t="inlineStr">
        <is>
          <t>(Unassigned)</t>
        </is>
      </c>
      <c r="E151" s="53" t="inlineStr">
        <is>
          <t>GSI - Gregory Scott Inabnit LLC</t>
        </is>
      </c>
      <c r="F151" s="53" t="inlineStr">
        <is>
          <t>ACTIVE</t>
        </is>
      </c>
      <c r="G151" s="53" t="inlineStr">
        <is>
          <t>FIXED_PRICE</t>
        </is>
      </c>
      <c r="H151" s="53" t="inlineStr"/>
      <c r="I151" s="53" t="inlineStr">
        <is>
          <t>IN</t>
        </is>
      </c>
      <c r="J151" s="53" t="inlineStr">
        <is>
          <t>2025-10-30</t>
        </is>
      </c>
      <c r="K151" s="53" t="inlineStr">
        <is>
          <t>2025-10-30</t>
        </is>
      </c>
      <c r="L151" s="53" t="inlineStr"/>
    </row>
    <row r="152">
      <c r="A152" s="53" t="inlineStr">
        <is>
          <t>DS.2025.2314 R18 Holiday Farms</t>
        </is>
      </c>
      <c r="B152" s="53" t="inlineStr">
        <is>
          <t>2498252</t>
        </is>
      </c>
      <c r="C152" s="53" t="inlineStr">
        <is>
          <t>DW</t>
        </is>
      </c>
      <c r="D152" s="53" t="inlineStr">
        <is>
          <t>(Unassigned)</t>
        </is>
      </c>
      <c r="E152" s="53" t="inlineStr">
        <is>
          <t>Flores Drywall and Remodeling LLC</t>
        </is>
      </c>
      <c r="F152" s="53" t="inlineStr">
        <is>
          <t>ACTIVE</t>
        </is>
      </c>
      <c r="G152" s="53" t="inlineStr">
        <is>
          <t>FIXED_PRICE</t>
        </is>
      </c>
      <c r="H152" s="53" t="inlineStr"/>
      <c r="I152" s="53" t="inlineStr">
        <is>
          <t>IN</t>
        </is>
      </c>
      <c r="J152" s="53" t="inlineStr">
        <is>
          <t>2025-10-30</t>
        </is>
      </c>
      <c r="K152" s="53" t="inlineStr">
        <is>
          <t>2025-10-27</t>
        </is>
      </c>
      <c r="L152" s="53" t="inlineStr"/>
    </row>
    <row r="153">
      <c r="A153" s="53" t="inlineStr">
        <is>
          <t>DS.2025.2313 McDowell Residence</t>
        </is>
      </c>
      <c r="B153" s="53" t="inlineStr">
        <is>
          <t>2498183</t>
        </is>
      </c>
      <c r="C153" s="53" t="inlineStr">
        <is>
          <t>DW</t>
        </is>
      </c>
      <c r="D153" s="53" t="inlineStr">
        <is>
          <t>(Unassigned)</t>
        </is>
      </c>
      <c r="E153" s="53" t="inlineStr">
        <is>
          <t>Flores Drywall and Remodeling LLC</t>
        </is>
      </c>
      <c r="F153" s="53" t="inlineStr">
        <is>
          <t>ACTIVE</t>
        </is>
      </c>
      <c r="G153" s="53" t="inlineStr">
        <is>
          <t>FIXED_PRICE</t>
        </is>
      </c>
      <c r="H153" s="53" t="inlineStr"/>
      <c r="I153" s="53" t="inlineStr">
        <is>
          <t>IN</t>
        </is>
      </c>
      <c r="J153" s="53" t="inlineStr">
        <is>
          <t>2025-10-30</t>
        </is>
      </c>
      <c r="K153" s="53" t="inlineStr">
        <is>
          <t>2025-10-29</t>
        </is>
      </c>
      <c r="L153" s="53" t="inlineStr"/>
    </row>
    <row r="154">
      <c r="A154" s="53" t="inlineStr">
        <is>
          <t>DS.2025.2312 Plantation Drive Flores</t>
        </is>
      </c>
      <c r="B154" s="53" t="inlineStr">
        <is>
          <t>2498101</t>
        </is>
      </c>
      <c r="C154" s="53" t="inlineStr">
        <is>
          <t>DW</t>
        </is>
      </c>
      <c r="D154" s="53" t="inlineStr">
        <is>
          <t>(Unassigned)</t>
        </is>
      </c>
      <c r="E154" s="53" t="inlineStr">
        <is>
          <t>Flores Drywall and Remodeling LLC</t>
        </is>
      </c>
      <c r="F154" s="53" t="inlineStr">
        <is>
          <t>ACTIVE</t>
        </is>
      </c>
      <c r="G154" s="53" t="inlineStr">
        <is>
          <t>FIXED_PRICE</t>
        </is>
      </c>
      <c r="H154" s="53" t="inlineStr"/>
      <c r="I154" s="53" t="inlineStr">
        <is>
          <t>IN</t>
        </is>
      </c>
      <c r="J154" s="53" t="inlineStr">
        <is>
          <t>2025-10-30</t>
        </is>
      </c>
      <c r="K154" s="53" t="inlineStr">
        <is>
          <t>2025-10-28</t>
        </is>
      </c>
      <c r="L154" s="53" t="inlineStr"/>
    </row>
    <row r="155">
      <c r="A155" s="53" t="inlineStr">
        <is>
          <t>DS.2025.2311 15111 Mooring Cir W</t>
        </is>
      </c>
      <c r="B155" s="53" t="inlineStr">
        <is>
          <t>2498026</t>
        </is>
      </c>
      <c r="C155" s="53" t="inlineStr">
        <is>
          <t>DW</t>
        </is>
      </c>
      <c r="D155" s="53" t="inlineStr">
        <is>
          <t>(Unassigned)</t>
        </is>
      </c>
      <c r="E155" s="53" t="inlineStr">
        <is>
          <t>Mendoza</t>
        </is>
      </c>
      <c r="F155" s="53" t="inlineStr">
        <is>
          <t>ACTIVE</t>
        </is>
      </c>
      <c r="G155" s="53" t="inlineStr">
        <is>
          <t>FIXED_PRICE</t>
        </is>
      </c>
      <c r="H155" s="53" t="inlineStr"/>
      <c r="I155" s="53" t="inlineStr"/>
      <c r="J155" s="53" t="inlineStr">
        <is>
          <t>2025-10-30</t>
        </is>
      </c>
      <c r="K155" s="53" t="inlineStr">
        <is>
          <t>2025-10-28</t>
        </is>
      </c>
      <c r="L155" s="53" t="inlineStr">
        <is>
          <t>2025-10-28</t>
        </is>
      </c>
    </row>
    <row r="156">
      <c r="A156" s="53" t="inlineStr">
        <is>
          <t>DS.2025.2310 Courtyards of Cielo Ranch 12</t>
        </is>
      </c>
      <c r="B156" s="53" t="inlineStr">
        <is>
          <t>2497952</t>
        </is>
      </c>
      <c r="C156" s="53" t="inlineStr">
        <is>
          <t>DW</t>
        </is>
      </c>
      <c r="D156" s="53" t="inlineStr">
        <is>
          <t>(Unassigned)</t>
        </is>
      </c>
      <c r="E156" s="53" t="inlineStr">
        <is>
          <t>Big Dawg Drywall</t>
        </is>
      </c>
      <c r="F156" s="53" t="inlineStr">
        <is>
          <t>ACTIVE</t>
        </is>
      </c>
      <c r="G156" s="53" t="inlineStr">
        <is>
          <t>FIXED_PRICE</t>
        </is>
      </c>
      <c r="H156" s="53" t="inlineStr"/>
      <c r="I156" s="53" t="inlineStr"/>
      <c r="J156" s="53" t="inlineStr">
        <is>
          <t>2025-10-30</t>
        </is>
      </c>
      <c r="K156" s="53" t="inlineStr">
        <is>
          <t>2025-10-28</t>
        </is>
      </c>
      <c r="L156" s="53" t="inlineStr"/>
    </row>
    <row r="157">
      <c r="A157" s="53" t="inlineStr">
        <is>
          <t>DS.2025.2309 6936 Sun River Drive</t>
        </is>
      </c>
      <c r="B157" s="53" t="inlineStr">
        <is>
          <t>2491974</t>
        </is>
      </c>
      <c r="C157" s="53" t="inlineStr">
        <is>
          <t>DW</t>
        </is>
      </c>
      <c r="D157" s="53" t="inlineStr">
        <is>
          <t>(Unassigned)</t>
        </is>
      </c>
      <c r="E157" s="53" t="inlineStr">
        <is>
          <t>Precision Dry Wall</t>
        </is>
      </c>
      <c r="F157" s="53" t="inlineStr">
        <is>
          <t>ACTIVE</t>
        </is>
      </c>
      <c r="G157" s="53" t="inlineStr">
        <is>
          <t>FIXED_PRICE</t>
        </is>
      </c>
      <c r="H157" s="53" t="inlineStr"/>
      <c r="I157" s="53" t="inlineStr">
        <is>
          <t>IN</t>
        </is>
      </c>
      <c r="J157" s="53" t="inlineStr">
        <is>
          <t>2025-10-27</t>
        </is>
      </c>
      <c r="K157" s="53" t="inlineStr">
        <is>
          <t>2025-10-27</t>
        </is>
      </c>
      <c r="L157" s="53" t="inlineStr"/>
    </row>
    <row r="158">
      <c r="A158" s="53" t="inlineStr">
        <is>
          <t>DS.2025.2308 Courtyards of Westfield 112</t>
        </is>
      </c>
      <c r="B158" s="53" t="inlineStr">
        <is>
          <t>2491878</t>
        </is>
      </c>
      <c r="C158" s="53" t="inlineStr">
        <is>
          <t>DW</t>
        </is>
      </c>
      <c r="D158" s="53" t="inlineStr">
        <is>
          <t>(Unassigned)</t>
        </is>
      </c>
      <c r="E158" s="53" t="inlineStr">
        <is>
          <t>Big Dawg Drywall</t>
        </is>
      </c>
      <c r="F158" s="53" t="inlineStr">
        <is>
          <t>ACTIVE</t>
        </is>
      </c>
      <c r="G158" s="53" t="inlineStr">
        <is>
          <t>FIXED_PRICE</t>
        </is>
      </c>
      <c r="H158" s="53" t="inlineStr"/>
      <c r="I158" s="53" t="inlineStr">
        <is>
          <t>IN</t>
        </is>
      </c>
      <c r="J158" s="53" t="inlineStr">
        <is>
          <t>2025-10-27</t>
        </is>
      </c>
      <c r="K158" s="53" t="inlineStr">
        <is>
          <t>2025-10-24</t>
        </is>
      </c>
      <c r="L158" s="53" t="inlineStr"/>
    </row>
    <row r="159">
      <c r="A159" s="53" t="inlineStr">
        <is>
          <t>DS.2025.2307 Mendoza Drywall company-15535 Stony Creek Way</t>
        </is>
      </c>
      <c r="B159" s="53" t="inlineStr">
        <is>
          <t>2491611</t>
        </is>
      </c>
      <c r="C159" s="53" t="inlineStr">
        <is>
          <t>DW</t>
        </is>
      </c>
      <c r="D159" s="53" t="inlineStr">
        <is>
          <t>(Unassigned)</t>
        </is>
      </c>
      <c r="E159" s="53" t="inlineStr">
        <is>
          <t>Mendoza</t>
        </is>
      </c>
      <c r="F159" s="53" t="inlineStr">
        <is>
          <t>ACTIVE</t>
        </is>
      </c>
      <c r="G159" s="53" t="inlineStr">
        <is>
          <t>FIXED_PRICE</t>
        </is>
      </c>
      <c r="H159" s="53" t="inlineStr"/>
      <c r="I159" s="53" t="inlineStr"/>
      <c r="J159" s="53" t="inlineStr">
        <is>
          <t>2025-10-27</t>
        </is>
      </c>
      <c r="K159" s="53" t="inlineStr">
        <is>
          <t>2025-10-24</t>
        </is>
      </c>
      <c r="L159" s="53" t="inlineStr"/>
    </row>
    <row r="160">
      <c r="A160" s="53" t="inlineStr">
        <is>
          <t>DS.2025.2306 Courtyards of Russell Oaks 118</t>
        </is>
      </c>
      <c r="B160" s="53" t="inlineStr">
        <is>
          <t>2488150</t>
        </is>
      </c>
      <c r="C160" s="53" t="inlineStr">
        <is>
          <t>DW</t>
        </is>
      </c>
      <c r="D160" s="53" t="inlineStr">
        <is>
          <t>(Unassigned)</t>
        </is>
      </c>
      <c r="E160" s="53" t="inlineStr">
        <is>
          <t>Big Dawg Drywall</t>
        </is>
      </c>
      <c r="F160" s="53" t="inlineStr">
        <is>
          <t>ACTIVE</t>
        </is>
      </c>
      <c r="G160" s="53" t="inlineStr">
        <is>
          <t>FIXED_PRICE</t>
        </is>
      </c>
      <c r="H160" s="53" t="inlineStr"/>
      <c r="I160" s="53" t="inlineStr">
        <is>
          <t>IN</t>
        </is>
      </c>
      <c r="J160" s="53" t="inlineStr">
        <is>
          <t>2025-10-24</t>
        </is>
      </c>
      <c r="K160" s="53" t="inlineStr">
        <is>
          <t>2025-10-22</t>
        </is>
      </c>
      <c r="L160" s="53" t="inlineStr"/>
    </row>
    <row r="161">
      <c r="A161" s="53" t="inlineStr">
        <is>
          <t>DS.2025.2305 Courtyards of Russell Oaks 62</t>
        </is>
      </c>
      <c r="B161" s="53" t="inlineStr">
        <is>
          <t>2488125</t>
        </is>
      </c>
      <c r="C161" s="53" t="inlineStr">
        <is>
          <t>DW</t>
        </is>
      </c>
      <c r="D161" s="53" t="inlineStr">
        <is>
          <t>(Unassigned)</t>
        </is>
      </c>
      <c r="E161" s="53" t="inlineStr">
        <is>
          <t>Big Dawg Drywall</t>
        </is>
      </c>
      <c r="F161" s="53" t="inlineStr">
        <is>
          <t>ACTIVE</t>
        </is>
      </c>
      <c r="G161" s="53" t="inlineStr">
        <is>
          <t>FIXED_PRICE</t>
        </is>
      </c>
      <c r="H161" s="53" t="inlineStr"/>
      <c r="I161" s="53" t="inlineStr">
        <is>
          <t>IN</t>
        </is>
      </c>
      <c r="J161" s="53" t="inlineStr">
        <is>
          <t>2025-10-24</t>
        </is>
      </c>
      <c r="K161" s="53" t="inlineStr">
        <is>
          <t>2025-10-22</t>
        </is>
      </c>
      <c r="L161" s="53" t="inlineStr"/>
    </row>
    <row r="162">
      <c r="A162" s="53" t="inlineStr">
        <is>
          <t>DS.2025.2304 Charlstown Manor 10-22</t>
        </is>
      </c>
      <c r="B162" s="53" t="inlineStr">
        <is>
          <t>2488086</t>
        </is>
      </c>
      <c r="C162" s="53" t="inlineStr">
        <is>
          <t>DW</t>
        </is>
      </c>
      <c r="D162" s="53" t="inlineStr">
        <is>
          <t>(Unassigned)</t>
        </is>
      </c>
      <c r="E162" s="53" t="inlineStr">
        <is>
          <t>GSI - Gregory Scott Inabnit LLC</t>
        </is>
      </c>
      <c r="F162" s="53" t="inlineStr">
        <is>
          <t>ACTIVE</t>
        </is>
      </c>
      <c r="G162" s="53" t="inlineStr">
        <is>
          <t>FIXED_PRICE</t>
        </is>
      </c>
      <c r="H162" s="53" t="inlineStr"/>
      <c r="I162" s="53" t="inlineStr">
        <is>
          <t>IN</t>
        </is>
      </c>
      <c r="J162" s="53" t="inlineStr">
        <is>
          <t>2025-10-24</t>
        </is>
      </c>
      <c r="K162" s="53" t="inlineStr">
        <is>
          <t>2025-10-22</t>
        </is>
      </c>
      <c r="L162" s="53" t="inlineStr"/>
    </row>
    <row r="163">
      <c r="A163" s="53" t="inlineStr">
        <is>
          <t>DS.2025.2303 Big Dawg Pickup 10-17</t>
        </is>
      </c>
      <c r="B163" s="53" t="inlineStr">
        <is>
          <t>2481041</t>
        </is>
      </c>
      <c r="C163" s="53" t="inlineStr">
        <is>
          <t>DW</t>
        </is>
      </c>
      <c r="D163" s="53" t="inlineStr">
        <is>
          <t>(Unassigned)</t>
        </is>
      </c>
      <c r="E163" s="53" t="inlineStr">
        <is>
          <t>Big Dawg Drywall</t>
        </is>
      </c>
      <c r="F163" s="53" t="inlineStr">
        <is>
          <t>ACTIVE</t>
        </is>
      </c>
      <c r="G163" s="53" t="inlineStr">
        <is>
          <t>FIXED_PRICE</t>
        </is>
      </c>
      <c r="H163" s="53" t="inlineStr"/>
      <c r="I163" s="53" t="inlineStr"/>
      <c r="J163" s="53" t="inlineStr">
        <is>
          <t>2025-10-21</t>
        </is>
      </c>
      <c r="K163" s="53" t="inlineStr">
        <is>
          <t>2025-10-17</t>
        </is>
      </c>
      <c r="L163" s="53" t="inlineStr"/>
    </row>
    <row r="164">
      <c r="A164" s="53" t="inlineStr">
        <is>
          <t>DS.2025.2302 14 E South St</t>
        </is>
      </c>
      <c r="B164" s="53" t="inlineStr">
        <is>
          <t>2480320</t>
        </is>
      </c>
      <c r="C164" s="53" t="inlineStr">
        <is>
          <t>DW</t>
        </is>
      </c>
      <c r="D164" s="53" t="inlineStr">
        <is>
          <t>(Unassigned)</t>
        </is>
      </c>
      <c r="E164" s="53" t="inlineStr">
        <is>
          <t>Flores Drywall and Remodeling LLC</t>
        </is>
      </c>
      <c r="F164" s="53" t="inlineStr">
        <is>
          <t>ACTIVE</t>
        </is>
      </c>
      <c r="G164" s="53" t="inlineStr">
        <is>
          <t>FIXED_PRICE</t>
        </is>
      </c>
      <c r="H164" s="53" t="inlineStr"/>
      <c r="I164" s="53" t="inlineStr">
        <is>
          <t>IN</t>
        </is>
      </c>
      <c r="J164" s="53" t="inlineStr">
        <is>
          <t>2025-10-20</t>
        </is>
      </c>
      <c r="K164" s="53" t="inlineStr">
        <is>
          <t>2025-10-20</t>
        </is>
      </c>
      <c r="L164" s="53" t="inlineStr"/>
    </row>
    <row r="165">
      <c r="A165" s="53" t="inlineStr">
        <is>
          <t>DS.2025.2301 Courtyards of Cielo Ranch 39</t>
        </is>
      </c>
      <c r="B165" s="53" t="inlineStr">
        <is>
          <t>2480064</t>
        </is>
      </c>
      <c r="C165" s="53" t="inlineStr">
        <is>
          <t>DW</t>
        </is>
      </c>
      <c r="D165" s="53" t="inlineStr">
        <is>
          <t>(Unassigned)</t>
        </is>
      </c>
      <c r="E165" s="53" t="inlineStr">
        <is>
          <t>Big Dawg Drywall</t>
        </is>
      </c>
      <c r="F165" s="53" t="inlineStr">
        <is>
          <t>ACTIVE</t>
        </is>
      </c>
      <c r="G165" s="53" t="inlineStr">
        <is>
          <t>FIXED_PRICE</t>
        </is>
      </c>
      <c r="H165" s="53" t="inlineStr"/>
      <c r="I165" s="53" t="inlineStr">
        <is>
          <t>IN</t>
        </is>
      </c>
      <c r="J165" s="53" t="inlineStr">
        <is>
          <t>2025-10-20</t>
        </is>
      </c>
      <c r="K165" s="53" t="inlineStr">
        <is>
          <t>2025-10-20</t>
        </is>
      </c>
      <c r="L165" s="53" t="inlineStr">
        <is>
          <t>2025-10-20</t>
        </is>
      </c>
    </row>
    <row r="166">
      <c r="A166" s="53" t="inlineStr">
        <is>
          <t>DS.2025.2300 Courtyards of Cielo Ranch 10</t>
        </is>
      </c>
      <c r="B166" s="53" t="inlineStr">
        <is>
          <t>2479977</t>
        </is>
      </c>
      <c r="C166" s="53" t="inlineStr">
        <is>
          <t>DW</t>
        </is>
      </c>
      <c r="D166" s="53" t="inlineStr">
        <is>
          <t>(Unassigned)</t>
        </is>
      </c>
      <c r="E166" s="53" t="inlineStr">
        <is>
          <t>Big Dawg Drywall</t>
        </is>
      </c>
      <c r="F166" s="53" t="inlineStr">
        <is>
          <t>ACTIVE</t>
        </is>
      </c>
      <c r="G166" s="53" t="inlineStr">
        <is>
          <t>FIXED_PRICE</t>
        </is>
      </c>
      <c r="H166" s="53" t="inlineStr"/>
      <c r="I166" s="53" t="inlineStr">
        <is>
          <t>IN</t>
        </is>
      </c>
      <c r="J166" s="53" t="inlineStr">
        <is>
          <t>2025-10-20</t>
        </is>
      </c>
      <c r="K166" s="53" t="inlineStr">
        <is>
          <t>2025-10-20</t>
        </is>
      </c>
      <c r="L166" s="53" t="inlineStr"/>
    </row>
    <row r="167">
      <c r="A167" s="53" t="inlineStr">
        <is>
          <t>DS.2025.2299 4435 Strathmore Lane</t>
        </is>
      </c>
      <c r="B167" s="53" t="inlineStr">
        <is>
          <t>2475602</t>
        </is>
      </c>
      <c r="C167" s="53" t="inlineStr">
        <is>
          <t>DW</t>
        </is>
      </c>
      <c r="D167" s="53" t="inlineStr">
        <is>
          <t>(Unassigned)</t>
        </is>
      </c>
      <c r="E167" s="53" t="inlineStr">
        <is>
          <t>Precision Dry Wall</t>
        </is>
      </c>
      <c r="F167" s="53" t="inlineStr">
        <is>
          <t>ACTIVE</t>
        </is>
      </c>
      <c r="G167" s="53" t="inlineStr">
        <is>
          <t>FIXED_PRICE</t>
        </is>
      </c>
      <c r="H167" s="53" t="inlineStr"/>
      <c r="I167" s="53" t="inlineStr">
        <is>
          <t>IN</t>
        </is>
      </c>
      <c r="J167" s="53" t="inlineStr">
        <is>
          <t>2025-10-16</t>
        </is>
      </c>
      <c r="K167" s="53" t="inlineStr">
        <is>
          <t>2025-10-15</t>
        </is>
      </c>
      <c r="L167" s="53" t="inlineStr"/>
    </row>
    <row r="168">
      <c r="A168" s="53" t="inlineStr">
        <is>
          <t>DS.2025.2298 GSI Bloomington</t>
        </is>
      </c>
      <c r="B168" s="53" t="inlineStr">
        <is>
          <t>2475493</t>
        </is>
      </c>
      <c r="C168" s="53" t="inlineStr">
        <is>
          <t>DW</t>
        </is>
      </c>
      <c r="D168" s="53" t="inlineStr">
        <is>
          <t>(Unassigned)</t>
        </is>
      </c>
      <c r="E168" s="53" t="inlineStr">
        <is>
          <t>GSI - Gregory Scott Inabnit LLC</t>
        </is>
      </c>
      <c r="F168" s="53" t="inlineStr">
        <is>
          <t>ACTIVE</t>
        </is>
      </c>
      <c r="G168" s="53" t="inlineStr">
        <is>
          <t>FIXED_PRICE</t>
        </is>
      </c>
      <c r="H168" s="53" t="inlineStr"/>
      <c r="I168" s="53" t="inlineStr">
        <is>
          <t>IN</t>
        </is>
      </c>
      <c r="J168" s="53" t="inlineStr">
        <is>
          <t>2025-10-16</t>
        </is>
      </c>
      <c r="K168" s="53" t="inlineStr">
        <is>
          <t>2025-10-15</t>
        </is>
      </c>
      <c r="L168" s="53" t="inlineStr"/>
    </row>
    <row r="169">
      <c r="A169" s="53" t="inlineStr">
        <is>
          <t>DS.2025.2297 Courtyards of Cielo Ranch 28</t>
        </is>
      </c>
      <c r="B169" s="53" t="inlineStr">
        <is>
          <t>2475432</t>
        </is>
      </c>
      <c r="C169" s="53" t="inlineStr">
        <is>
          <t>DW</t>
        </is>
      </c>
      <c r="D169" s="53" t="inlineStr">
        <is>
          <t>(Unassigned)</t>
        </is>
      </c>
      <c r="E169" s="53" t="inlineStr">
        <is>
          <t>Big Dawg Drywall</t>
        </is>
      </c>
      <c r="F169" s="53" t="inlineStr">
        <is>
          <t>ACTIVE</t>
        </is>
      </c>
      <c r="G169" s="53" t="inlineStr">
        <is>
          <t>FIXED_PRICE</t>
        </is>
      </c>
      <c r="H169" s="53" t="inlineStr"/>
      <c r="I169" s="53" t="inlineStr">
        <is>
          <t>IN</t>
        </is>
      </c>
      <c r="J169" s="53" t="inlineStr">
        <is>
          <t>2025-10-16</t>
        </is>
      </c>
      <c r="K169" s="53" t="inlineStr">
        <is>
          <t>2025-10-15</t>
        </is>
      </c>
      <c r="L169" s="53" t="inlineStr"/>
    </row>
    <row r="170">
      <c r="A170" s="53" t="inlineStr">
        <is>
          <t>2025.1031 Pita Way</t>
        </is>
      </c>
      <c r="B170" s="53" t="inlineStr">
        <is>
          <t>2472092</t>
        </is>
      </c>
      <c r="C170" s="53" t="inlineStr">
        <is>
          <t>TI</t>
        </is>
      </c>
      <c r="D170" s="53" t="inlineStr">
        <is>
          <t>Spencer Anderson</t>
        </is>
      </c>
      <c r="E170" s="53" t="inlineStr">
        <is>
          <t>Kort Builders, Inc</t>
        </is>
      </c>
      <c r="F170" s="53" t="inlineStr">
        <is>
          <t>ACTIVE</t>
        </is>
      </c>
      <c r="G170" s="53" t="inlineStr">
        <is>
          <t>FIXED_PRICE_WITH_AIA_BILLING</t>
        </is>
      </c>
      <c r="H170" s="53" t="inlineStr">
        <is>
          <t>Westfield</t>
        </is>
      </c>
      <c r="I170" s="53" t="inlineStr">
        <is>
          <t>IN</t>
        </is>
      </c>
      <c r="J170" s="53" t="inlineStr">
        <is>
          <t>2025-12-10</t>
        </is>
      </c>
      <c r="K170" s="53" t="inlineStr">
        <is>
          <t>2025-12-01</t>
        </is>
      </c>
      <c r="L170" s="53" t="inlineStr">
        <is>
          <t>2026-01-15</t>
        </is>
      </c>
    </row>
    <row r="171">
      <c r="A171" s="53" t="inlineStr">
        <is>
          <t>DS.2025.2296 4380 Strathmore Lane</t>
        </is>
      </c>
      <c r="B171" s="53" t="inlineStr">
        <is>
          <t>2469780</t>
        </is>
      </c>
      <c r="C171" s="53" t="inlineStr">
        <is>
          <t>DW</t>
        </is>
      </c>
      <c r="D171" s="53" t="inlineStr">
        <is>
          <t>(Unassigned)</t>
        </is>
      </c>
      <c r="E171" s="53" t="inlineStr">
        <is>
          <t>Precision Dry Wall</t>
        </is>
      </c>
      <c r="F171" s="53" t="inlineStr">
        <is>
          <t>ACTIVE</t>
        </is>
      </c>
      <c r="G171" s="53" t="inlineStr">
        <is>
          <t>FIXED_PRICE</t>
        </is>
      </c>
      <c r="H171" s="53" t="inlineStr"/>
      <c r="I171" s="53" t="inlineStr"/>
      <c r="J171" s="53" t="inlineStr">
        <is>
          <t>2025-10-14</t>
        </is>
      </c>
      <c r="K171" s="53" t="inlineStr">
        <is>
          <t>2025-10-14</t>
        </is>
      </c>
      <c r="L171" s="53" t="inlineStr"/>
    </row>
    <row r="172">
      <c r="A172" s="53" t="inlineStr">
        <is>
          <t>DS.2025.2295 Courtyards of Cielo Ranch 35</t>
        </is>
      </c>
      <c r="B172" s="53" t="inlineStr">
        <is>
          <t>2469724</t>
        </is>
      </c>
      <c r="C172" s="53" t="inlineStr">
        <is>
          <t>DW</t>
        </is>
      </c>
      <c r="D172" s="53" t="inlineStr">
        <is>
          <t>(Unassigned)</t>
        </is>
      </c>
      <c r="E172" s="53" t="inlineStr">
        <is>
          <t>Big Dawg Drywall</t>
        </is>
      </c>
      <c r="F172" s="53" t="inlineStr">
        <is>
          <t>ACTIVE</t>
        </is>
      </c>
      <c r="G172" s="53" t="inlineStr">
        <is>
          <t>FIXED_PRICE</t>
        </is>
      </c>
      <c r="H172" s="53" t="inlineStr"/>
      <c r="I172" s="53" t="inlineStr">
        <is>
          <t>IN</t>
        </is>
      </c>
      <c r="J172" s="53" t="inlineStr">
        <is>
          <t>2025-10-14</t>
        </is>
      </c>
      <c r="K172" s="53" t="inlineStr">
        <is>
          <t>2025-10-14</t>
        </is>
      </c>
      <c r="L172" s="53" t="inlineStr"/>
    </row>
    <row r="173">
      <c r="A173" s="53" t="inlineStr">
        <is>
          <t>DS.2025.2294 Courtyards of Cielo Ranch 9</t>
        </is>
      </c>
      <c r="B173" s="53" t="inlineStr">
        <is>
          <t>2469631</t>
        </is>
      </c>
      <c r="C173" s="53" t="inlineStr">
        <is>
          <t>DW</t>
        </is>
      </c>
      <c r="D173" s="53" t="inlineStr">
        <is>
          <t>(Unassigned)</t>
        </is>
      </c>
      <c r="E173" s="53" t="inlineStr">
        <is>
          <t>Big Dawg Drywall</t>
        </is>
      </c>
      <c r="F173" s="53" t="inlineStr">
        <is>
          <t>ACTIVE</t>
        </is>
      </c>
      <c r="G173" s="53" t="inlineStr">
        <is>
          <t>FIXED_PRICE</t>
        </is>
      </c>
      <c r="H173" s="53" t="inlineStr"/>
      <c r="I173" s="53" t="inlineStr"/>
      <c r="J173" s="53" t="inlineStr">
        <is>
          <t>2025-10-14</t>
        </is>
      </c>
      <c r="K173" s="53" t="inlineStr">
        <is>
          <t>2025-10-14</t>
        </is>
      </c>
      <c r="L173" s="53" t="inlineStr"/>
    </row>
    <row r="174">
      <c r="A174" s="53" t="inlineStr">
        <is>
          <t>DS.2025.2293 1248 Chatham Ridge Court</t>
        </is>
      </c>
      <c r="B174" s="53" t="inlineStr">
        <is>
          <t>2468636</t>
        </is>
      </c>
      <c r="C174" s="53" t="inlineStr">
        <is>
          <t>DW</t>
        </is>
      </c>
      <c r="D174" s="53" t="inlineStr">
        <is>
          <t>(Unassigned)</t>
        </is>
      </c>
      <c r="E174" s="53" t="inlineStr">
        <is>
          <t>Pro Fix Drywaller, LLC</t>
        </is>
      </c>
      <c r="F174" s="53" t="inlineStr">
        <is>
          <t>ACTIVE</t>
        </is>
      </c>
      <c r="G174" s="53" t="inlineStr">
        <is>
          <t>FIXED_PRICE</t>
        </is>
      </c>
      <c r="H174" s="53" t="inlineStr"/>
      <c r="I174" s="53" t="inlineStr">
        <is>
          <t>IN</t>
        </is>
      </c>
      <c r="J174" s="53" t="inlineStr">
        <is>
          <t>2025-10-13</t>
        </is>
      </c>
      <c r="K174" s="53" t="inlineStr">
        <is>
          <t>2025-10-13</t>
        </is>
      </c>
      <c r="L174" s="53" t="inlineStr"/>
    </row>
    <row r="175">
      <c r="A175" s="53" t="inlineStr">
        <is>
          <t>DS.2025.2292 Courtyards of Russell Oaks 121</t>
        </is>
      </c>
      <c r="B175" s="53" t="inlineStr">
        <is>
          <t>2468607</t>
        </is>
      </c>
      <c r="C175" s="53" t="inlineStr">
        <is>
          <t>DW</t>
        </is>
      </c>
      <c r="D175" s="53" t="inlineStr">
        <is>
          <t>(Unassigned)</t>
        </is>
      </c>
      <c r="E175" s="53" t="inlineStr">
        <is>
          <t>Big Dawg Drywall</t>
        </is>
      </c>
      <c r="F175" s="53" t="inlineStr">
        <is>
          <t>ACTIVE</t>
        </is>
      </c>
      <c r="G175" s="53" t="inlineStr">
        <is>
          <t>FIXED_PRICE</t>
        </is>
      </c>
      <c r="H175" s="53" t="inlineStr"/>
      <c r="I175" s="53" t="inlineStr">
        <is>
          <t>IN</t>
        </is>
      </c>
      <c r="J175" s="53" t="inlineStr">
        <is>
          <t>2025-10-13</t>
        </is>
      </c>
      <c r="K175" s="53" t="inlineStr">
        <is>
          <t>2025-10-13</t>
        </is>
      </c>
      <c r="L175" s="53" t="inlineStr"/>
    </row>
    <row r="176">
      <c r="A176" s="53" t="inlineStr">
        <is>
          <t>DS.2025.2291 Courtyards of Russell Oaks 63</t>
        </is>
      </c>
      <c r="B176" s="53" t="inlineStr">
        <is>
          <t>2468570</t>
        </is>
      </c>
      <c r="C176" s="53" t="inlineStr">
        <is>
          <t>DW</t>
        </is>
      </c>
      <c r="D176" s="53" t="inlineStr">
        <is>
          <t>(Unassigned)</t>
        </is>
      </c>
      <c r="E176" s="53" t="inlineStr">
        <is>
          <t>Big Dawg Drywall</t>
        </is>
      </c>
      <c r="F176" s="53" t="inlineStr">
        <is>
          <t>ACTIVE</t>
        </is>
      </c>
      <c r="G176" s="53" t="inlineStr">
        <is>
          <t>FIXED_PRICE</t>
        </is>
      </c>
      <c r="H176" s="53" t="inlineStr"/>
      <c r="I176" s="53" t="inlineStr">
        <is>
          <t>IN</t>
        </is>
      </c>
      <c r="J176" s="53" t="inlineStr">
        <is>
          <t>2025-10-13</t>
        </is>
      </c>
      <c r="K176" s="53" t="inlineStr">
        <is>
          <t>2025-10-13</t>
        </is>
      </c>
      <c r="L176" s="53" t="inlineStr"/>
    </row>
    <row r="177">
      <c r="A177" s="53" t="inlineStr">
        <is>
          <t>DS.2025.2290 Walnut Town Homes</t>
        </is>
      </c>
      <c r="B177" s="53" t="inlineStr">
        <is>
          <t>2468525</t>
        </is>
      </c>
      <c r="C177" s="53" t="inlineStr">
        <is>
          <t>DW</t>
        </is>
      </c>
      <c r="D177" s="53" t="inlineStr">
        <is>
          <t>(Unassigned)</t>
        </is>
      </c>
      <c r="E177" s="53" t="inlineStr">
        <is>
          <t>Flores Drywall and Remodeling LLC</t>
        </is>
      </c>
      <c r="F177" s="53" t="inlineStr">
        <is>
          <t>ACTIVE</t>
        </is>
      </c>
      <c r="G177" s="53" t="inlineStr">
        <is>
          <t>FIXED_PRICE</t>
        </is>
      </c>
      <c r="H177" s="53" t="inlineStr"/>
      <c r="I177" s="53" t="inlineStr">
        <is>
          <t>IN</t>
        </is>
      </c>
      <c r="J177" s="53" t="inlineStr">
        <is>
          <t>2025-10-13</t>
        </is>
      </c>
      <c r="K177" s="53" t="inlineStr">
        <is>
          <t>2025-10-10</t>
        </is>
      </c>
      <c r="L177" s="53" t="inlineStr"/>
    </row>
    <row r="178">
      <c r="A178" s="53" t="inlineStr">
        <is>
          <t>DS.2025.2289 Courtyards of Westfield 118</t>
        </is>
      </c>
      <c r="B178" s="53" t="inlineStr">
        <is>
          <t>2468496</t>
        </is>
      </c>
      <c r="C178" s="53" t="inlineStr">
        <is>
          <t>DW</t>
        </is>
      </c>
      <c r="D178" s="53" t="inlineStr">
        <is>
          <t>(Unassigned)</t>
        </is>
      </c>
      <c r="E178" s="53" t="inlineStr">
        <is>
          <t>Big Dawg Drywall</t>
        </is>
      </c>
      <c r="F178" s="53" t="inlineStr">
        <is>
          <t>ACTIVE</t>
        </is>
      </c>
      <c r="G178" s="53" t="inlineStr">
        <is>
          <t>FIXED_PRICE</t>
        </is>
      </c>
      <c r="H178" s="53" t="inlineStr"/>
      <c r="I178" s="53" t="inlineStr">
        <is>
          <t>IN</t>
        </is>
      </c>
      <c r="J178" s="53" t="inlineStr">
        <is>
          <t>2025-10-13</t>
        </is>
      </c>
      <c r="K178" s="53" t="inlineStr">
        <is>
          <t>2025-10-09</t>
        </is>
      </c>
      <c r="L178" s="53" t="inlineStr"/>
    </row>
    <row r="179">
      <c r="A179" s="53" t="inlineStr">
        <is>
          <t>DS.2025.2288 Courtyards of Russell Oaks 120</t>
        </is>
      </c>
      <c r="B179" s="53" t="inlineStr">
        <is>
          <t>2463881</t>
        </is>
      </c>
      <c r="C179" s="53" t="inlineStr">
        <is>
          <t>DW</t>
        </is>
      </c>
      <c r="D179" s="53" t="inlineStr">
        <is>
          <t>(Unassigned)</t>
        </is>
      </c>
      <c r="E179" s="53" t="inlineStr">
        <is>
          <t>Big Dawg Drywall</t>
        </is>
      </c>
      <c r="F179" s="53" t="inlineStr">
        <is>
          <t>ACTIVE</t>
        </is>
      </c>
      <c r="G179" s="53" t="inlineStr">
        <is>
          <t>FIXED_PRICE</t>
        </is>
      </c>
      <c r="H179" s="53" t="inlineStr"/>
      <c r="I179" s="53" t="inlineStr">
        <is>
          <t>IN</t>
        </is>
      </c>
      <c r="J179" s="53" t="inlineStr">
        <is>
          <t>2025-10-09</t>
        </is>
      </c>
      <c r="K179" s="53" t="inlineStr">
        <is>
          <t>2025-10-08</t>
        </is>
      </c>
      <c r="L179" s="53" t="inlineStr"/>
    </row>
    <row r="180">
      <c r="A180" s="53" t="inlineStr">
        <is>
          <t>DS.2025.2286 Courtyards of Westfield 117</t>
        </is>
      </c>
      <c r="B180" s="53" t="inlineStr">
        <is>
          <t>2459666</t>
        </is>
      </c>
      <c r="C180" s="53" t="inlineStr">
        <is>
          <t>DW</t>
        </is>
      </c>
      <c r="D180" s="53" t="inlineStr">
        <is>
          <t>(Unassigned)</t>
        </is>
      </c>
      <c r="E180" s="53" t="inlineStr">
        <is>
          <t>Big Dawg Drywall</t>
        </is>
      </c>
      <c r="F180" s="53" t="inlineStr">
        <is>
          <t>ACTIVE</t>
        </is>
      </c>
      <c r="G180" s="53" t="inlineStr">
        <is>
          <t>FIXED_PRICE</t>
        </is>
      </c>
      <c r="H180" s="53" t="inlineStr"/>
      <c r="I180" s="53" t="inlineStr">
        <is>
          <t>IN</t>
        </is>
      </c>
      <c r="J180" s="53" t="inlineStr">
        <is>
          <t>2025-10-07</t>
        </is>
      </c>
      <c r="K180" s="53" t="inlineStr">
        <is>
          <t>2025-10-07</t>
        </is>
      </c>
      <c r="L180" s="53" t="inlineStr"/>
    </row>
    <row r="181">
      <c r="A181" s="53" t="inlineStr">
        <is>
          <t>DS.2025.2285 GSI - Rushville 5</t>
        </is>
      </c>
      <c r="B181" s="53" t="inlineStr">
        <is>
          <t>2453104</t>
        </is>
      </c>
      <c r="C181" s="53" t="inlineStr">
        <is>
          <t>DW</t>
        </is>
      </c>
      <c r="D181" s="53" t="inlineStr">
        <is>
          <t>(Unassigned)</t>
        </is>
      </c>
      <c r="E181" s="53" t="inlineStr">
        <is>
          <t>GSI - Gregory Scott Inabnit LLC</t>
        </is>
      </c>
      <c r="F181" s="53" t="inlineStr">
        <is>
          <t>ACTIVE</t>
        </is>
      </c>
      <c r="G181" s="53" t="inlineStr">
        <is>
          <t>FIXED_PRICE</t>
        </is>
      </c>
      <c r="H181" s="53" t="inlineStr"/>
      <c r="I181" s="53" t="inlineStr">
        <is>
          <t>IN</t>
        </is>
      </c>
      <c r="J181" s="53" t="inlineStr">
        <is>
          <t>2025-10-03</t>
        </is>
      </c>
      <c r="K181" s="53" t="inlineStr">
        <is>
          <t>2025-10-02</t>
        </is>
      </c>
      <c r="L181" s="53" t="inlineStr"/>
    </row>
    <row r="182">
      <c r="A182" s="53" t="inlineStr">
        <is>
          <t>DS.2025.2284 Courtyards of Russell Oaks 59</t>
        </is>
      </c>
      <c r="B182" s="53" t="inlineStr">
        <is>
          <t>2452961</t>
        </is>
      </c>
      <c r="C182" s="53" t="inlineStr">
        <is>
          <t>DW</t>
        </is>
      </c>
      <c r="D182" s="53" t="inlineStr">
        <is>
          <t>(Unassigned)</t>
        </is>
      </c>
      <c r="E182" s="53" t="inlineStr">
        <is>
          <t>Big Dawg Drywall</t>
        </is>
      </c>
      <c r="F182" s="53" t="inlineStr">
        <is>
          <t>ACTIVE</t>
        </is>
      </c>
      <c r="G182" s="53" t="inlineStr">
        <is>
          <t>FIXED_PRICE</t>
        </is>
      </c>
      <c r="H182" s="53" t="inlineStr"/>
      <c r="I182" s="53" t="inlineStr">
        <is>
          <t>IN</t>
        </is>
      </c>
      <c r="J182" s="53" t="inlineStr">
        <is>
          <t>2025-10-03</t>
        </is>
      </c>
      <c r="K182" s="53" t="inlineStr">
        <is>
          <t>2025-10-02</t>
        </is>
      </c>
      <c r="L182" s="53" t="inlineStr"/>
    </row>
    <row r="183">
      <c r="A183" s="53" t="inlineStr">
        <is>
          <t>DS.2025.2281 Courtyards of Russell Oaks 117</t>
        </is>
      </c>
      <c r="B183" s="53" t="inlineStr">
        <is>
          <t>2446907</t>
        </is>
      </c>
      <c r="C183" s="53" t="inlineStr">
        <is>
          <t>DW</t>
        </is>
      </c>
      <c r="D183" s="53" t="inlineStr">
        <is>
          <t>(Unassigned)</t>
        </is>
      </c>
      <c r="E183" s="53" t="inlineStr">
        <is>
          <t>Big Dawg Drywall</t>
        </is>
      </c>
      <c r="F183" s="53" t="inlineStr">
        <is>
          <t>ACTIVE</t>
        </is>
      </c>
      <c r="G183" s="53" t="inlineStr">
        <is>
          <t>FIXED_PRICE</t>
        </is>
      </c>
      <c r="H183" s="53" t="inlineStr"/>
      <c r="I183" s="53" t="inlineStr">
        <is>
          <t>IN</t>
        </is>
      </c>
      <c r="J183" s="53" t="inlineStr">
        <is>
          <t>2025-09-30</t>
        </is>
      </c>
      <c r="K183" s="53" t="inlineStr">
        <is>
          <t>2025-09-30</t>
        </is>
      </c>
      <c r="L183" s="53" t="inlineStr"/>
    </row>
    <row r="184">
      <c r="A184" s="53" t="inlineStr">
        <is>
          <t>DS.2025.2280 GSI - E Crestwine Dr</t>
        </is>
      </c>
      <c r="B184" s="53" t="inlineStr">
        <is>
          <t>2446248</t>
        </is>
      </c>
      <c r="C184" s="53" t="inlineStr">
        <is>
          <t>DW</t>
        </is>
      </c>
      <c r="D184" s="53" t="inlineStr">
        <is>
          <t>(Unassigned)</t>
        </is>
      </c>
      <c r="E184" s="53" t="inlineStr">
        <is>
          <t>GSI - Gregory Scott Inabnit LLC</t>
        </is>
      </c>
      <c r="F184" s="53" t="inlineStr">
        <is>
          <t>ACTIVE</t>
        </is>
      </c>
      <c r="G184" s="53" t="inlineStr">
        <is>
          <t>FIXED_PRICE</t>
        </is>
      </c>
      <c r="H184" s="53" t="inlineStr"/>
      <c r="I184" s="53" t="inlineStr">
        <is>
          <t>IN</t>
        </is>
      </c>
      <c r="J184" s="53" t="inlineStr">
        <is>
          <t>2025-09-30</t>
        </is>
      </c>
      <c r="K184" s="53" t="inlineStr">
        <is>
          <t>2025-09-30</t>
        </is>
      </c>
      <c r="L184" s="53" t="inlineStr"/>
    </row>
    <row r="185">
      <c r="A185" s="53" t="inlineStr">
        <is>
          <t>DS.2025.2279 8810 Bergeson Drive</t>
        </is>
      </c>
      <c r="B185" s="53" t="inlineStr">
        <is>
          <t>2444852</t>
        </is>
      </c>
      <c r="C185" s="53" t="inlineStr">
        <is>
          <t>DW</t>
        </is>
      </c>
      <c r="D185" s="53" t="inlineStr">
        <is>
          <t>(Unassigned)</t>
        </is>
      </c>
      <c r="E185" s="53" t="inlineStr">
        <is>
          <t>Pro Fix Drywaller, LLC</t>
        </is>
      </c>
      <c r="F185" s="53" t="inlineStr">
        <is>
          <t>ACTIVE</t>
        </is>
      </c>
      <c r="G185" s="53" t="inlineStr">
        <is>
          <t>FIXED_PRICE</t>
        </is>
      </c>
      <c r="H185" s="53" t="inlineStr"/>
      <c r="I185" s="53" t="inlineStr"/>
      <c r="J185" s="53" t="inlineStr">
        <is>
          <t>2025-09-29</t>
        </is>
      </c>
      <c r="K185" s="53" t="inlineStr">
        <is>
          <t>2025-09-29</t>
        </is>
      </c>
      <c r="L185" s="53" t="inlineStr"/>
    </row>
    <row r="186">
      <c r="A186" s="53" t="inlineStr">
        <is>
          <t>DS.2025.2278 Courtyards of Russell Oaks 52</t>
        </is>
      </c>
      <c r="B186" s="53" t="inlineStr">
        <is>
          <t>2444545</t>
        </is>
      </c>
      <c r="C186" s="53" t="inlineStr">
        <is>
          <t>DW</t>
        </is>
      </c>
      <c r="D186" s="53" t="inlineStr">
        <is>
          <t>(Unassigned)</t>
        </is>
      </c>
      <c r="E186" s="53" t="inlineStr">
        <is>
          <t>Big Dawg Drywall</t>
        </is>
      </c>
      <c r="F186" s="53" t="inlineStr">
        <is>
          <t>ACTIVE</t>
        </is>
      </c>
      <c r="G186" s="53" t="inlineStr">
        <is>
          <t>FIXED_PRICE</t>
        </is>
      </c>
      <c r="H186" s="53" t="inlineStr"/>
      <c r="I186" s="53" t="inlineStr">
        <is>
          <t>IN</t>
        </is>
      </c>
      <c r="J186" s="53" t="inlineStr">
        <is>
          <t>2025-09-29</t>
        </is>
      </c>
      <c r="K186" s="53" t="inlineStr">
        <is>
          <t>2025-09-29</t>
        </is>
      </c>
      <c r="L186" s="53" t="inlineStr"/>
    </row>
    <row r="187">
      <c r="A187" s="53" t="inlineStr">
        <is>
          <t>DS.2025.2275 Courtyards of Cielo Ranch 9</t>
        </is>
      </c>
      <c r="B187" s="53" t="inlineStr">
        <is>
          <t>2441368</t>
        </is>
      </c>
      <c r="C187" s="53" t="inlineStr">
        <is>
          <t>DW</t>
        </is>
      </c>
      <c r="D187" s="53" t="inlineStr">
        <is>
          <t>(Unassigned)</t>
        </is>
      </c>
      <c r="E187" s="53" t="inlineStr">
        <is>
          <t>Big Dawg Drywall</t>
        </is>
      </c>
      <c r="F187" s="53" t="inlineStr">
        <is>
          <t>ACTIVE</t>
        </is>
      </c>
      <c r="G187" s="53" t="inlineStr">
        <is>
          <t>FIXED_PRICE</t>
        </is>
      </c>
      <c r="H187" s="53" t="inlineStr"/>
      <c r="I187" s="53" t="inlineStr"/>
      <c r="J187" s="53" t="inlineStr">
        <is>
          <t>2025-09-26</t>
        </is>
      </c>
      <c r="K187" s="53" t="inlineStr">
        <is>
          <t>2025-09-25</t>
        </is>
      </c>
      <c r="L187" s="53" t="inlineStr"/>
    </row>
    <row r="188">
      <c r="A188" s="53" t="inlineStr">
        <is>
          <t>DS.2025.2274 Barndo 2 Frankfort</t>
        </is>
      </c>
      <c r="B188" s="53" t="inlineStr">
        <is>
          <t>2439356</t>
        </is>
      </c>
      <c r="C188" s="53" t="inlineStr">
        <is>
          <t>DW</t>
        </is>
      </c>
      <c r="D188" s="53" t="inlineStr">
        <is>
          <t>(Unassigned)</t>
        </is>
      </c>
      <c r="E188" s="53" t="inlineStr">
        <is>
          <t>Flores Drywall and Remodeling LLC</t>
        </is>
      </c>
      <c r="F188" s="53" t="inlineStr">
        <is>
          <t>ACTIVE</t>
        </is>
      </c>
      <c r="G188" s="53" t="inlineStr">
        <is>
          <t>FIXED_PRICE</t>
        </is>
      </c>
      <c r="H188" s="53" t="inlineStr"/>
      <c r="I188" s="53" t="inlineStr">
        <is>
          <t>IN</t>
        </is>
      </c>
      <c r="J188" s="53" t="inlineStr">
        <is>
          <t>2025-09-25</t>
        </is>
      </c>
      <c r="K188" s="53" t="inlineStr">
        <is>
          <t>2025-09-24</t>
        </is>
      </c>
      <c r="L188" s="53" t="inlineStr"/>
    </row>
    <row r="189">
      <c r="A189" s="53" t="inlineStr">
        <is>
          <t>DS.2025.2272 Courtyards of Russell Oaks 48</t>
        </is>
      </c>
      <c r="B189" s="53" t="inlineStr">
        <is>
          <t>2438113</t>
        </is>
      </c>
      <c r="C189" s="53" t="inlineStr">
        <is>
          <t>DW</t>
        </is>
      </c>
      <c r="D189" s="53" t="inlineStr">
        <is>
          <t>(Unassigned)</t>
        </is>
      </c>
      <c r="E189" s="53" t="inlineStr">
        <is>
          <t>Big Dawg Drywall</t>
        </is>
      </c>
      <c r="F189" s="53" t="inlineStr">
        <is>
          <t>ACTIVE</t>
        </is>
      </c>
      <c r="G189" s="53" t="inlineStr">
        <is>
          <t>FIXED_PRICE</t>
        </is>
      </c>
      <c r="H189" s="53" t="inlineStr"/>
      <c r="I189" s="53" t="inlineStr">
        <is>
          <t>IN</t>
        </is>
      </c>
      <c r="J189" s="53" t="inlineStr">
        <is>
          <t>2025-09-25</t>
        </is>
      </c>
      <c r="K189" s="53" t="inlineStr">
        <is>
          <t>2025-09-23</t>
        </is>
      </c>
      <c r="L189" s="53" t="inlineStr"/>
    </row>
    <row r="190">
      <c r="A190" s="53" t="inlineStr">
        <is>
          <t>DS.2025.2271 Courtyards of Westfield 113</t>
        </is>
      </c>
      <c r="B190" s="53" t="inlineStr">
        <is>
          <t>2438103</t>
        </is>
      </c>
      <c r="C190" s="53" t="inlineStr">
        <is>
          <t>DW</t>
        </is>
      </c>
      <c r="D190" s="53" t="inlineStr">
        <is>
          <t>(Unassigned)</t>
        </is>
      </c>
      <c r="E190" s="53" t="inlineStr">
        <is>
          <t>Big Dawg Drywall</t>
        </is>
      </c>
      <c r="F190" s="53" t="inlineStr">
        <is>
          <t>ACTIVE</t>
        </is>
      </c>
      <c r="G190" s="53" t="inlineStr">
        <is>
          <t>FIXED_PRICE</t>
        </is>
      </c>
      <c r="H190" s="53" t="inlineStr"/>
      <c r="I190" s="53" t="inlineStr">
        <is>
          <t>IN</t>
        </is>
      </c>
      <c r="J190" s="53" t="inlineStr">
        <is>
          <t>2025-09-24</t>
        </is>
      </c>
      <c r="K190" s="53" t="inlineStr">
        <is>
          <t>2025-09-23</t>
        </is>
      </c>
      <c r="L190" s="53" t="inlineStr"/>
    </row>
    <row r="191">
      <c r="A191" s="53" t="inlineStr">
        <is>
          <t>DS.2025.2269 GSI Ranch Basement House 9-22</t>
        </is>
      </c>
      <c r="B191" s="53" t="inlineStr">
        <is>
          <t>2433725</t>
        </is>
      </c>
      <c r="C191" s="53" t="inlineStr">
        <is>
          <t>DW</t>
        </is>
      </c>
      <c r="D191" s="53" t="inlineStr">
        <is>
          <t>(Unassigned)</t>
        </is>
      </c>
      <c r="E191" s="53" t="inlineStr">
        <is>
          <t>GSI - Gregory Scott Inabnit LLC</t>
        </is>
      </c>
      <c r="F191" s="53" t="inlineStr">
        <is>
          <t>ACTIVE</t>
        </is>
      </c>
      <c r="G191" s="53" t="inlineStr">
        <is>
          <t>FIXED_PRICE</t>
        </is>
      </c>
      <c r="H191" s="53" t="inlineStr"/>
      <c r="I191" s="53" t="inlineStr">
        <is>
          <t>IN</t>
        </is>
      </c>
      <c r="J191" s="53" t="inlineStr">
        <is>
          <t>2025-09-23</t>
        </is>
      </c>
      <c r="K191" s="53" t="inlineStr">
        <is>
          <t>2025-09-22</t>
        </is>
      </c>
      <c r="L191" s="53" t="inlineStr"/>
    </row>
    <row r="192">
      <c r="A192" s="53" t="inlineStr">
        <is>
          <t>DS.2025.2267 GSI Rushville Lot 17</t>
        </is>
      </c>
      <c r="B192" s="53" t="inlineStr">
        <is>
          <t>2431674</t>
        </is>
      </c>
      <c r="C192" s="53" t="inlineStr">
        <is>
          <t>DW</t>
        </is>
      </c>
      <c r="D192" s="53" t="inlineStr">
        <is>
          <t>(Unassigned)</t>
        </is>
      </c>
      <c r="E192" s="53" t="inlineStr">
        <is>
          <t>GSI - Gregory Scott Inabnit LLC</t>
        </is>
      </c>
      <c r="F192" s="53" t="inlineStr">
        <is>
          <t>ACTIVE</t>
        </is>
      </c>
      <c r="G192" s="53" t="inlineStr">
        <is>
          <t>FIXED_PRICE</t>
        </is>
      </c>
      <c r="H192" s="53" t="inlineStr"/>
      <c r="I192" s="53" t="inlineStr"/>
      <c r="J192" s="53" t="inlineStr">
        <is>
          <t>2025-09-22</t>
        </is>
      </c>
      <c r="K192" s="53" t="inlineStr">
        <is>
          <t>2025-09-18</t>
        </is>
      </c>
      <c r="L192" s="53" t="inlineStr"/>
    </row>
    <row r="193">
      <c r="A193" s="53" t="inlineStr">
        <is>
          <t>DS.2025.2265 Courtyards of Westfield 42</t>
        </is>
      </c>
      <c r="B193" s="53" t="inlineStr">
        <is>
          <t>2431619</t>
        </is>
      </c>
      <c r="C193" s="53" t="inlineStr">
        <is>
          <t>DW</t>
        </is>
      </c>
      <c r="D193" s="53" t="inlineStr">
        <is>
          <t>(Unassigned)</t>
        </is>
      </c>
      <c r="E193" s="53" t="inlineStr">
        <is>
          <t>Big Dawg Drywall</t>
        </is>
      </c>
      <c r="F193" s="53" t="inlineStr">
        <is>
          <t>ACTIVE</t>
        </is>
      </c>
      <c r="G193" s="53" t="inlineStr">
        <is>
          <t>FIXED_PRICE</t>
        </is>
      </c>
      <c r="H193" s="53" t="inlineStr"/>
      <c r="I193" s="53" t="inlineStr">
        <is>
          <t>IN</t>
        </is>
      </c>
      <c r="J193" s="53" t="inlineStr">
        <is>
          <t>2025-09-22</t>
        </is>
      </c>
      <c r="K193" s="53" t="inlineStr">
        <is>
          <t>2025-09-18</t>
        </is>
      </c>
      <c r="L193" s="53" t="inlineStr"/>
    </row>
    <row r="194">
      <c r="A194" s="53" t="inlineStr">
        <is>
          <t>DS.2025.2264 Maratt Remodel</t>
        </is>
      </c>
      <c r="B194" s="53" t="inlineStr">
        <is>
          <t>2426990</t>
        </is>
      </c>
      <c r="C194" s="53" t="inlineStr">
        <is>
          <t>DW</t>
        </is>
      </c>
      <c r="D194" s="53" t="inlineStr">
        <is>
          <t>(Unassigned)</t>
        </is>
      </c>
      <c r="E194" s="53" t="inlineStr">
        <is>
          <t>Flores Drywall and Remodeling LLC</t>
        </is>
      </c>
      <c r="F194" s="53" t="inlineStr">
        <is>
          <t>ACTIVE</t>
        </is>
      </c>
      <c r="G194" s="53" t="inlineStr">
        <is>
          <t>FIXED_PRICE</t>
        </is>
      </c>
      <c r="H194" s="53" t="inlineStr"/>
      <c r="I194" s="53" t="inlineStr">
        <is>
          <t>IN</t>
        </is>
      </c>
      <c r="J194" s="53" t="inlineStr">
        <is>
          <t>2025-09-18</t>
        </is>
      </c>
      <c r="K194" s="53" t="inlineStr">
        <is>
          <t>2025-09-03</t>
        </is>
      </c>
      <c r="L194" s="53" t="inlineStr"/>
    </row>
    <row r="195">
      <c r="A195" s="53" t="inlineStr">
        <is>
          <t>DS.2025.2262 Rushville 2 house pre rock</t>
        </is>
      </c>
      <c r="B195" s="53" t="inlineStr">
        <is>
          <t>2426804</t>
        </is>
      </c>
      <c r="C195" s="53" t="inlineStr">
        <is>
          <t>DW</t>
        </is>
      </c>
      <c r="D195" s="53" t="inlineStr">
        <is>
          <t>(Unassigned)</t>
        </is>
      </c>
      <c r="E195" s="53" t="inlineStr">
        <is>
          <t>GSI - Gregory Scott Inabnit LLC</t>
        </is>
      </c>
      <c r="F195" s="53" t="inlineStr">
        <is>
          <t>ACTIVE</t>
        </is>
      </c>
      <c r="G195" s="53" t="inlineStr">
        <is>
          <t>FIXED_PRICE</t>
        </is>
      </c>
      <c r="H195" s="53" t="inlineStr"/>
      <c r="I195" s="53" t="inlineStr">
        <is>
          <t>IN</t>
        </is>
      </c>
      <c r="J195" s="53" t="inlineStr">
        <is>
          <t>2025-09-18</t>
        </is>
      </c>
      <c r="K195" s="53" t="inlineStr">
        <is>
          <t>2025-09-16</t>
        </is>
      </c>
      <c r="L195" s="53" t="inlineStr"/>
    </row>
    <row r="196">
      <c r="A196" s="53" t="inlineStr">
        <is>
          <t>DS.2025.2258 Cavalier Res</t>
        </is>
      </c>
      <c r="B196" s="53" t="inlineStr">
        <is>
          <t>2426715</t>
        </is>
      </c>
      <c r="C196" s="53" t="inlineStr">
        <is>
          <t>DW</t>
        </is>
      </c>
      <c r="D196" s="53" t="inlineStr">
        <is>
          <t>(Unassigned)</t>
        </is>
      </c>
      <c r="E196" s="53" t="inlineStr">
        <is>
          <t>Flores Drywall and Remodeling LLC</t>
        </is>
      </c>
      <c r="F196" s="53" t="inlineStr">
        <is>
          <t>ACTIVE</t>
        </is>
      </c>
      <c r="G196" s="53" t="inlineStr">
        <is>
          <t>FIXED_PRICE</t>
        </is>
      </c>
      <c r="H196" s="53" t="inlineStr"/>
      <c r="I196" s="53" t="inlineStr">
        <is>
          <t>IN</t>
        </is>
      </c>
      <c r="J196" s="53" t="inlineStr">
        <is>
          <t>2025-09-18</t>
        </is>
      </c>
      <c r="K196" s="53" t="inlineStr">
        <is>
          <t>2025-09-15</t>
        </is>
      </c>
      <c r="L196" s="53" t="inlineStr"/>
    </row>
    <row r="197">
      <c r="A197" s="53" t="inlineStr">
        <is>
          <t>DS.2025.2257 Courtyards of Russell Oaks 116</t>
        </is>
      </c>
      <c r="B197" s="53" t="inlineStr">
        <is>
          <t>2426691</t>
        </is>
      </c>
      <c r="C197" s="53" t="inlineStr">
        <is>
          <t>DW</t>
        </is>
      </c>
      <c r="D197" s="53" t="inlineStr">
        <is>
          <t>(Unassigned)</t>
        </is>
      </c>
      <c r="E197" s="53" t="inlineStr">
        <is>
          <t>Big Dawg Drywall</t>
        </is>
      </c>
      <c r="F197" s="53" t="inlineStr">
        <is>
          <t>ACTIVE</t>
        </is>
      </c>
      <c r="G197" s="53" t="inlineStr">
        <is>
          <t>FIXED_PRICE</t>
        </is>
      </c>
      <c r="H197" s="53" t="inlineStr"/>
      <c r="I197" s="53" t="inlineStr"/>
      <c r="J197" s="53" t="inlineStr">
        <is>
          <t>2025-09-22</t>
        </is>
      </c>
      <c r="K197" s="53" t="inlineStr">
        <is>
          <t>2025-09-15</t>
        </is>
      </c>
      <c r="L197" s="53" t="inlineStr"/>
    </row>
    <row r="198">
      <c r="A198" s="53" t="inlineStr">
        <is>
          <t>2025.1016 WBP Lot C</t>
        </is>
      </c>
      <c r="B198" s="53" t="inlineStr">
        <is>
          <t>2422257</t>
        </is>
      </c>
      <c r="C198" s="53" t="inlineStr">
        <is>
          <t>TI</t>
        </is>
      </c>
      <c r="D198" s="53" t="inlineStr">
        <is>
          <t>Tommy Cohoat</t>
        </is>
      </c>
      <c r="E198" s="53" t="inlineStr">
        <is>
          <t>Patch Development</t>
        </is>
      </c>
      <c r="F198" s="53" t="inlineStr">
        <is>
          <t>ACTIVE</t>
        </is>
      </c>
      <c r="G198" s="53" t="inlineStr">
        <is>
          <t>FIXED_PRICE_WITH_AIA_BILLING</t>
        </is>
      </c>
      <c r="H198" s="53" t="inlineStr">
        <is>
          <t>Noblesville</t>
        </is>
      </c>
      <c r="I198" s="53" t="inlineStr">
        <is>
          <t>IN</t>
        </is>
      </c>
      <c r="J198" s="53" t="inlineStr">
        <is>
          <t>2025-09-16</t>
        </is>
      </c>
      <c r="K198" s="53" t="inlineStr">
        <is>
          <t>2025-10-27</t>
        </is>
      </c>
      <c r="L198" s="53" t="inlineStr">
        <is>
          <t>2025-12-31</t>
        </is>
      </c>
    </row>
    <row r="199">
      <c r="A199" s="53" t="inlineStr">
        <is>
          <t>2025.1013 Lucas Oil Corydon</t>
        </is>
      </c>
      <c r="B199" s="53" t="inlineStr">
        <is>
          <t>2414762</t>
        </is>
      </c>
      <c r="C199" s="53" t="inlineStr">
        <is>
          <t>TI</t>
        </is>
      </c>
      <c r="D199" s="53" t="inlineStr">
        <is>
          <t>Shawn Welcher</t>
        </is>
      </c>
      <c r="E199" s="53" t="inlineStr">
        <is>
          <t>Meyer Najem</t>
        </is>
      </c>
      <c r="F199" s="53" t="inlineStr">
        <is>
          <t>ACTIVE</t>
        </is>
      </c>
      <c r="G199" s="53" t="inlineStr">
        <is>
          <t>FIXED_PRICE_WITH_AIA_BILLING</t>
        </is>
      </c>
      <c r="H199" s="53" t="inlineStr">
        <is>
          <t>Corydon</t>
        </is>
      </c>
      <c r="I199" s="53" t="inlineStr">
        <is>
          <t>IN</t>
        </is>
      </c>
      <c r="J199" s="53" t="inlineStr">
        <is>
          <t>2025-10-03</t>
        </is>
      </c>
      <c r="K199" s="53" t="inlineStr">
        <is>
          <t>2025-09-26</t>
        </is>
      </c>
      <c r="L199" s="53" t="inlineStr"/>
    </row>
    <row r="200">
      <c r="A200" s="53" t="inlineStr">
        <is>
          <t>2025.1012 Airport South Logistics Bldg. B</t>
        </is>
      </c>
      <c r="B200" s="53" t="inlineStr">
        <is>
          <t>2412851</t>
        </is>
      </c>
      <c r="C200" s="53" t="inlineStr">
        <is>
          <t>TI</t>
        </is>
      </c>
      <c r="D200" s="53" t="inlineStr">
        <is>
          <t>Spencer Anderson</t>
        </is>
      </c>
      <c r="E200" s="53" t="inlineStr">
        <is>
          <t>ARCO Design/Build</t>
        </is>
      </c>
      <c r="F200" s="53" t="inlineStr">
        <is>
          <t>ACTIVE</t>
        </is>
      </c>
      <c r="G200" s="53" t="inlineStr">
        <is>
          <t>FIXED_PRICE_WITH_AIA_BILLING</t>
        </is>
      </c>
      <c r="H200" s="53" t="inlineStr">
        <is>
          <t>Shepherdsville</t>
        </is>
      </c>
      <c r="I200" s="53" t="inlineStr">
        <is>
          <t>KY</t>
        </is>
      </c>
      <c r="J200" s="53" t="inlineStr">
        <is>
          <t>2025-09-12</t>
        </is>
      </c>
      <c r="K200" s="53" t="inlineStr">
        <is>
          <t>2026-01-12</t>
        </is>
      </c>
      <c r="L200" s="53" t="inlineStr">
        <is>
          <t>2026-01-30</t>
        </is>
      </c>
    </row>
    <row r="201">
      <c r="A201" s="53" t="inlineStr">
        <is>
          <t>2025.1011 Airport South Logistics Bldg. A</t>
        </is>
      </c>
      <c r="B201" s="53" t="inlineStr">
        <is>
          <t>2412835</t>
        </is>
      </c>
      <c r="C201" s="53" t="inlineStr">
        <is>
          <t>TI</t>
        </is>
      </c>
      <c r="D201" s="53" t="inlineStr">
        <is>
          <t>Spencer Anderson</t>
        </is>
      </c>
      <c r="E201" s="53" t="inlineStr">
        <is>
          <t>ARCO Design/Build</t>
        </is>
      </c>
      <c r="F201" s="53" t="inlineStr">
        <is>
          <t>ACTIVE</t>
        </is>
      </c>
      <c r="G201" s="53" t="inlineStr">
        <is>
          <t>FIXED_PRICE_WITH_AIA_BILLING</t>
        </is>
      </c>
      <c r="H201" s="53" t="inlineStr">
        <is>
          <t>Shepherdsville</t>
        </is>
      </c>
      <c r="I201" s="53" t="inlineStr">
        <is>
          <t>KY</t>
        </is>
      </c>
      <c r="J201" s="53" t="inlineStr">
        <is>
          <t>2025-09-12</t>
        </is>
      </c>
      <c r="K201" s="53" t="inlineStr">
        <is>
          <t>2026-07-01</t>
        </is>
      </c>
      <c r="L201" s="53" t="inlineStr">
        <is>
          <t>2026-09-01</t>
        </is>
      </c>
    </row>
    <row r="202">
      <c r="A202" s="53" t="inlineStr">
        <is>
          <t>DS.2025.2243 5689 N Ohio Ridge Rd</t>
        </is>
      </c>
      <c r="B202" s="53" t="inlineStr">
        <is>
          <t>2400949</t>
        </is>
      </c>
      <c r="C202" s="53" t="inlineStr">
        <is>
          <t>DW</t>
        </is>
      </c>
      <c r="D202" s="53" t="inlineStr">
        <is>
          <t>(Unassigned)</t>
        </is>
      </c>
      <c r="E202" s="53" t="inlineStr">
        <is>
          <t>GSI - Gregory Scott Inabnit LLC</t>
        </is>
      </c>
      <c r="F202" s="53" t="inlineStr">
        <is>
          <t>ACTIVE</t>
        </is>
      </c>
      <c r="G202" s="53" t="inlineStr">
        <is>
          <t>FIXED_PRICE</t>
        </is>
      </c>
      <c r="H202" s="53" t="inlineStr"/>
      <c r="I202" s="53" t="inlineStr">
        <is>
          <t>IN</t>
        </is>
      </c>
      <c r="J202" s="53" t="inlineStr">
        <is>
          <t>2025-09-02</t>
        </is>
      </c>
      <c r="K202" s="53" t="inlineStr">
        <is>
          <t>2025-08-29</t>
        </is>
      </c>
      <c r="L202" s="53" t="inlineStr"/>
    </row>
    <row r="203">
      <c r="A203" s="53" t="inlineStr">
        <is>
          <t>DS.2025.2241 6915 SR 550</t>
        </is>
      </c>
      <c r="B203" s="53" t="inlineStr">
        <is>
          <t>2400575</t>
        </is>
      </c>
      <c r="C203" s="53" t="inlineStr">
        <is>
          <t>DW</t>
        </is>
      </c>
      <c r="D203" s="53" t="inlineStr">
        <is>
          <t>(Unassigned)</t>
        </is>
      </c>
      <c r="E203" s="53" t="inlineStr">
        <is>
          <t>Total Drywall Solutions Inc</t>
        </is>
      </c>
      <c r="F203" s="53" t="inlineStr">
        <is>
          <t>ACTIVE</t>
        </is>
      </c>
      <c r="G203" s="53" t="inlineStr">
        <is>
          <t>FIXED_PRICE</t>
        </is>
      </c>
      <c r="H203" s="53" t="inlineStr"/>
      <c r="I203" s="53" t="inlineStr">
        <is>
          <t>IN</t>
        </is>
      </c>
      <c r="J203" s="53" t="inlineStr">
        <is>
          <t>2025-09-02</t>
        </is>
      </c>
      <c r="K203" s="53" t="inlineStr">
        <is>
          <t>2025-08-29</t>
        </is>
      </c>
      <c r="L203" s="53" t="inlineStr"/>
    </row>
    <row r="204">
      <c r="A204" s="53" t="inlineStr">
        <is>
          <t>2025.1027 Indy Boat Co</t>
        </is>
      </c>
      <c r="B204" s="53" t="inlineStr">
        <is>
          <t>2394684</t>
        </is>
      </c>
      <c r="C204" s="53" t="inlineStr">
        <is>
          <t>TI</t>
        </is>
      </c>
      <c r="D204" s="53" t="inlineStr">
        <is>
          <t>Trevor Anderson</t>
        </is>
      </c>
      <c r="E204" s="53" t="inlineStr">
        <is>
          <t>Raley Wake, LLC</t>
        </is>
      </c>
      <c r="F204" s="53" t="inlineStr">
        <is>
          <t>ACTIVE</t>
        </is>
      </c>
      <c r="G204" s="53" t="inlineStr">
        <is>
          <t>FIXED_PRICE_WITH_AIA_BILLING</t>
        </is>
      </c>
      <c r="H204" s="53" t="inlineStr">
        <is>
          <t>Pendleton</t>
        </is>
      </c>
      <c r="I204" s="53" t="inlineStr">
        <is>
          <t>IN</t>
        </is>
      </c>
      <c r="J204" s="53" t="inlineStr">
        <is>
          <t>2026-01-05</t>
        </is>
      </c>
      <c r="K204" s="53" t="inlineStr">
        <is>
          <t>2026-03-15</t>
        </is>
      </c>
      <c r="L204" s="53" t="inlineStr"/>
    </row>
    <row r="205">
      <c r="A205" s="53" t="inlineStr">
        <is>
          <t>MF.2025.1019 Town &amp; Country Apartments (NY MF Project - 22 bldgs)</t>
        </is>
      </c>
      <c r="B205" s="53" t="inlineStr">
        <is>
          <t>2394677</t>
        </is>
      </c>
      <c r="C205" s="53" t="inlineStr">
        <is>
          <t>MF</t>
        </is>
      </c>
      <c r="D205" s="53" t="inlineStr">
        <is>
          <t>Kelden Tyson</t>
        </is>
      </c>
      <c r="E205" s="53" t="inlineStr">
        <is>
          <t>Marous Brothers Construction</t>
        </is>
      </c>
      <c r="F205" s="53" t="inlineStr">
        <is>
          <t>ACTIVE</t>
        </is>
      </c>
      <c r="G205" s="53" t="inlineStr">
        <is>
          <t>FIXED_PRICE_WITH_AIA_BILLING</t>
        </is>
      </c>
      <c r="H205" s="53" t="inlineStr">
        <is>
          <t>Binghamton</t>
        </is>
      </c>
      <c r="I205" s="53" t="inlineStr">
        <is>
          <t>NY</t>
        </is>
      </c>
      <c r="J205" s="53" t="inlineStr">
        <is>
          <t>2025-10-16</t>
        </is>
      </c>
      <c r="K205" s="53" t="inlineStr">
        <is>
          <t>2025-11-04</t>
        </is>
      </c>
      <c r="L205" s="53" t="inlineStr">
        <is>
          <t>2026-12-04</t>
        </is>
      </c>
    </row>
    <row r="206">
      <c r="A206" s="53" t="inlineStr">
        <is>
          <t>DS.2025.2236 Courtyards of Russell Oaks 149,146</t>
        </is>
      </c>
      <c r="B206" s="53" t="inlineStr">
        <is>
          <t>2389374</t>
        </is>
      </c>
      <c r="C206" s="53" t="inlineStr">
        <is>
          <t>DW</t>
        </is>
      </c>
      <c r="D206" s="53" t="inlineStr">
        <is>
          <t>(Unassigned)</t>
        </is>
      </c>
      <c r="E206" s="53" t="inlineStr">
        <is>
          <t>Big Dawg Drywall</t>
        </is>
      </c>
      <c r="F206" s="53" t="inlineStr">
        <is>
          <t>ACTIVE</t>
        </is>
      </c>
      <c r="G206" s="53" t="inlineStr">
        <is>
          <t>FIXED_PRICE</t>
        </is>
      </c>
      <c r="H206" s="53" t="inlineStr"/>
      <c r="I206" s="53" t="inlineStr">
        <is>
          <t>IN</t>
        </is>
      </c>
      <c r="J206" s="53" t="inlineStr">
        <is>
          <t>2025-08-25</t>
        </is>
      </c>
      <c r="K206" s="53" t="inlineStr">
        <is>
          <t>2025-08-21</t>
        </is>
      </c>
      <c r="L206" s="53" t="inlineStr"/>
    </row>
    <row r="207">
      <c r="A207" s="53" t="inlineStr">
        <is>
          <t>DS.2025.2235 18 Store Estates</t>
        </is>
      </c>
      <c r="B207" s="53" t="inlineStr">
        <is>
          <t>2389077</t>
        </is>
      </c>
      <c r="C207" s="53" t="inlineStr">
        <is>
          <t>DW</t>
        </is>
      </c>
      <c r="D207" s="53" t="inlineStr">
        <is>
          <t>(Unassigned)</t>
        </is>
      </c>
      <c r="E207" s="53" t="inlineStr">
        <is>
          <t>Community Drywall</t>
        </is>
      </c>
      <c r="F207" s="53" t="inlineStr">
        <is>
          <t>ACTIVE</t>
        </is>
      </c>
      <c r="G207" s="53" t="inlineStr">
        <is>
          <t>FIXED_PRICE</t>
        </is>
      </c>
      <c r="H207" s="53" t="inlineStr"/>
      <c r="I207" s="53" t="inlineStr"/>
      <c r="J207" s="53" t="inlineStr">
        <is>
          <t>2025-08-25</t>
        </is>
      </c>
      <c r="K207" s="53" t="inlineStr">
        <is>
          <t>2025-08-21</t>
        </is>
      </c>
      <c r="L207" s="53" t="inlineStr"/>
    </row>
    <row r="208">
      <c r="A208" s="53" t="inlineStr">
        <is>
          <t>DS.2025.2234 Lot 4 Store Estates</t>
        </is>
      </c>
      <c r="B208" s="53" t="inlineStr">
        <is>
          <t>2388892</t>
        </is>
      </c>
      <c r="C208" s="53" t="inlineStr">
        <is>
          <t>DW</t>
        </is>
      </c>
      <c r="D208" s="53" t="inlineStr">
        <is>
          <t>(Unassigned)</t>
        </is>
      </c>
      <c r="E208" s="53" t="inlineStr">
        <is>
          <t>Community Drywall</t>
        </is>
      </c>
      <c r="F208" s="53" t="inlineStr">
        <is>
          <t>ACTIVE</t>
        </is>
      </c>
      <c r="G208" s="53" t="inlineStr">
        <is>
          <t>FIXED_PRICE</t>
        </is>
      </c>
      <c r="H208" s="53" t="inlineStr"/>
      <c r="I208" s="53" t="inlineStr">
        <is>
          <t>IN</t>
        </is>
      </c>
      <c r="J208" s="53" t="inlineStr">
        <is>
          <t>2025-08-25</t>
        </is>
      </c>
      <c r="K208" s="53" t="inlineStr">
        <is>
          <t>2025-08-20</t>
        </is>
      </c>
      <c r="L208" s="53" t="inlineStr"/>
    </row>
    <row r="209">
      <c r="A209" s="53" t="inlineStr">
        <is>
          <t>DS.2025.2233 49 Bills Blvd</t>
        </is>
      </c>
      <c r="B209" s="53" t="inlineStr">
        <is>
          <t>2388766</t>
        </is>
      </c>
      <c r="C209" s="53" t="inlineStr">
        <is>
          <t>DW</t>
        </is>
      </c>
      <c r="D209" s="53" t="inlineStr">
        <is>
          <t>(Unassigned)</t>
        </is>
      </c>
      <c r="E209" s="53" t="inlineStr">
        <is>
          <t>Kjt General Construction</t>
        </is>
      </c>
      <c r="F209" s="53" t="inlineStr">
        <is>
          <t>ACTIVE</t>
        </is>
      </c>
      <c r="G209" s="53" t="inlineStr">
        <is>
          <t>FIXED_PRICE</t>
        </is>
      </c>
      <c r="H209" s="53" t="inlineStr"/>
      <c r="I209" s="53" t="inlineStr">
        <is>
          <t>IN</t>
        </is>
      </c>
      <c r="J209" s="53" t="inlineStr">
        <is>
          <t>2025-08-25</t>
        </is>
      </c>
      <c r="K209" s="53" t="inlineStr">
        <is>
          <t>2025-08-21</t>
        </is>
      </c>
      <c r="L209" s="53" t="inlineStr"/>
    </row>
    <row r="210">
      <c r="A210" s="53" t="inlineStr">
        <is>
          <t>2025.1006 Keller Office</t>
        </is>
      </c>
      <c r="B210" s="53" t="inlineStr">
        <is>
          <t>2383587</t>
        </is>
      </c>
      <c r="C210" s="53" t="inlineStr">
        <is>
          <t>TI</t>
        </is>
      </c>
      <c r="D210" s="53" t="inlineStr">
        <is>
          <t>Ben Garza</t>
        </is>
      </c>
      <c r="E210" s="53" t="inlineStr">
        <is>
          <t>ARCO Design/Build</t>
        </is>
      </c>
      <c r="F210" s="53" t="inlineStr">
        <is>
          <t>ACTIVE</t>
        </is>
      </c>
      <c r="G210" s="53" t="inlineStr">
        <is>
          <t>FIXED_PRICE_WITH_AIA_BILLING</t>
        </is>
      </c>
      <c r="H210" s="53" t="inlineStr">
        <is>
          <t>Peru</t>
        </is>
      </c>
      <c r="I210" s="53" t="inlineStr">
        <is>
          <t>IN</t>
        </is>
      </c>
      <c r="J210" s="53" t="inlineStr">
        <is>
          <t>2025-08-21</t>
        </is>
      </c>
      <c r="K210" s="53" t="inlineStr">
        <is>
          <t>2025-10-15</t>
        </is>
      </c>
      <c r="L210" s="53" t="inlineStr">
        <is>
          <t>2026-01-30</t>
        </is>
      </c>
    </row>
    <row r="211">
      <c r="A211" s="53" t="inlineStr">
        <is>
          <t>DS.2025.2228 Edgebrook Lot 72</t>
        </is>
      </c>
      <c r="B211" s="53" t="inlineStr">
        <is>
          <t>2381339</t>
        </is>
      </c>
      <c r="C211" s="53" t="inlineStr">
        <is>
          <t>DW</t>
        </is>
      </c>
      <c r="D211" s="53" t="inlineStr">
        <is>
          <t>(Unassigned)</t>
        </is>
      </c>
      <c r="E211" s="53" t="inlineStr">
        <is>
          <t>Pro Fix Drywaller, LLC</t>
        </is>
      </c>
      <c r="F211" s="53" t="inlineStr">
        <is>
          <t>ACTIVE</t>
        </is>
      </c>
      <c r="G211" s="53" t="inlineStr">
        <is>
          <t>FIXED_PRICE</t>
        </is>
      </c>
      <c r="H211" s="53" t="inlineStr"/>
      <c r="I211" s="53" t="inlineStr"/>
      <c r="J211" s="53" t="inlineStr">
        <is>
          <t>2025-08-20</t>
        </is>
      </c>
      <c r="K211" s="53" t="inlineStr">
        <is>
          <t>2025-08-19</t>
        </is>
      </c>
      <c r="L211" s="53" t="inlineStr"/>
    </row>
    <row r="212">
      <c r="A212" s="53" t="inlineStr">
        <is>
          <t>DS.2025.2222 Courtyards of Russell Oaks 55</t>
        </is>
      </c>
      <c r="B212" s="53" t="inlineStr">
        <is>
          <t>2368894</t>
        </is>
      </c>
      <c r="C212" s="53" t="inlineStr">
        <is>
          <t>DW</t>
        </is>
      </c>
      <c r="D212" s="53" t="inlineStr">
        <is>
          <t>(Unassigned)</t>
        </is>
      </c>
      <c r="E212" s="53" t="inlineStr">
        <is>
          <t>Big Dawg Drywall</t>
        </is>
      </c>
      <c r="F212" s="53" t="inlineStr">
        <is>
          <t>ACTIVE</t>
        </is>
      </c>
      <c r="G212" s="53" t="inlineStr">
        <is>
          <t>FIXED_PRICE</t>
        </is>
      </c>
      <c r="H212" s="53" t="inlineStr"/>
      <c r="I212" s="53" t="inlineStr">
        <is>
          <t>IN</t>
        </is>
      </c>
      <c r="J212" s="53" t="inlineStr">
        <is>
          <t>2025-08-12</t>
        </is>
      </c>
      <c r="K212" s="53" t="inlineStr">
        <is>
          <t>2025-08-12</t>
        </is>
      </c>
      <c r="L212" s="53" t="inlineStr"/>
    </row>
    <row r="213">
      <c r="A213" s="53" t="inlineStr">
        <is>
          <t>DS.2025.2220 17 Store Estates</t>
        </is>
      </c>
      <c r="B213" s="53" t="inlineStr">
        <is>
          <t>2367104</t>
        </is>
      </c>
      <c r="C213" s="53" t="inlineStr">
        <is>
          <t>DW</t>
        </is>
      </c>
      <c r="D213" s="53" t="inlineStr">
        <is>
          <t>(Unassigned)</t>
        </is>
      </c>
      <c r="E213" s="53" t="inlineStr">
        <is>
          <t>Community Drywall</t>
        </is>
      </c>
      <c r="F213" s="53" t="inlineStr">
        <is>
          <t>ACTIVE</t>
        </is>
      </c>
      <c r="G213" s="53" t="inlineStr">
        <is>
          <t>FIXED_PRICE</t>
        </is>
      </c>
      <c r="H213" s="53" t="inlineStr"/>
      <c r="I213" s="53" t="inlineStr">
        <is>
          <t>IN</t>
        </is>
      </c>
      <c r="J213" s="53" t="inlineStr">
        <is>
          <t>2025-08-11</t>
        </is>
      </c>
      <c r="K213" s="53" t="inlineStr">
        <is>
          <t>2025-08-08</t>
        </is>
      </c>
      <c r="L213" s="53" t="inlineStr"/>
    </row>
    <row r="214">
      <c r="A214" s="53" t="inlineStr">
        <is>
          <t>DS.2025.2217 Davidson Residence</t>
        </is>
      </c>
      <c r="B214" s="53" t="inlineStr">
        <is>
          <t>2366840</t>
        </is>
      </c>
      <c r="C214" s="53" t="inlineStr">
        <is>
          <t>DW</t>
        </is>
      </c>
      <c r="D214" s="53" t="inlineStr">
        <is>
          <t>(Unassigned)</t>
        </is>
      </c>
      <c r="E214" s="53" t="inlineStr">
        <is>
          <t>Flores Drywall and Remodeling LLC</t>
        </is>
      </c>
      <c r="F214" s="53" t="inlineStr">
        <is>
          <t>ACTIVE</t>
        </is>
      </c>
      <c r="G214" s="53" t="inlineStr">
        <is>
          <t>FIXED_PRICE</t>
        </is>
      </c>
      <c r="H214" s="53" t="inlineStr"/>
      <c r="I214" s="53" t="inlineStr">
        <is>
          <t>IN</t>
        </is>
      </c>
      <c r="J214" s="53" t="inlineStr">
        <is>
          <t>2025-08-11</t>
        </is>
      </c>
      <c r="K214" s="53" t="inlineStr">
        <is>
          <t>2025-08-07</t>
        </is>
      </c>
      <c r="L214" s="53" t="inlineStr"/>
    </row>
    <row r="215">
      <c r="A215" s="53" t="inlineStr">
        <is>
          <t>DS.2025.2215 44 Willow Springs</t>
        </is>
      </c>
      <c r="B215" s="53" t="inlineStr">
        <is>
          <t>2366626</t>
        </is>
      </c>
      <c r="C215" s="53" t="inlineStr">
        <is>
          <t>DW</t>
        </is>
      </c>
      <c r="D215" s="53" t="inlineStr">
        <is>
          <t>(Unassigned)</t>
        </is>
      </c>
      <c r="E215" s="53" t="inlineStr">
        <is>
          <t>Flores Drywall and Remodeling LLC</t>
        </is>
      </c>
      <c r="F215" s="53" t="inlineStr">
        <is>
          <t>ACTIVE</t>
        </is>
      </c>
      <c r="G215" s="53" t="inlineStr">
        <is>
          <t>FIXED_PRICE</t>
        </is>
      </c>
      <c r="H215" s="53" t="inlineStr"/>
      <c r="I215" s="53" t="inlineStr">
        <is>
          <t>IN</t>
        </is>
      </c>
      <c r="J215" s="53" t="inlineStr">
        <is>
          <t>2025-08-11</t>
        </is>
      </c>
      <c r="K215" s="53" t="inlineStr">
        <is>
          <t>2025-08-05</t>
        </is>
      </c>
      <c r="L215" s="53" t="inlineStr"/>
    </row>
    <row r="216">
      <c r="A216" s="53" t="inlineStr">
        <is>
          <t>DS.2025.2212 Scottsdale Lot 70</t>
        </is>
      </c>
      <c r="B216" s="53" t="inlineStr">
        <is>
          <t>2363817</t>
        </is>
      </c>
      <c r="C216" s="53" t="inlineStr">
        <is>
          <t>DW</t>
        </is>
      </c>
      <c r="D216" s="53" t="inlineStr">
        <is>
          <t>(Unassigned)</t>
        </is>
      </c>
      <c r="E216" s="53" t="inlineStr">
        <is>
          <t>Pro Fix Drywaller, LLC</t>
        </is>
      </c>
      <c r="F216" s="53" t="inlineStr">
        <is>
          <t>ACTIVE</t>
        </is>
      </c>
      <c r="G216" s="53" t="inlineStr">
        <is>
          <t>FIXED_PRICE</t>
        </is>
      </c>
      <c r="H216" s="53" t="inlineStr"/>
      <c r="I216" s="53" t="inlineStr"/>
      <c r="J216" s="53" t="inlineStr">
        <is>
          <t>2025-08-08</t>
        </is>
      </c>
      <c r="K216" s="53" t="inlineStr">
        <is>
          <t>2025-08-05</t>
        </is>
      </c>
      <c r="L216" s="53" t="inlineStr"/>
    </row>
    <row r="217">
      <c r="A217" s="53" t="inlineStr">
        <is>
          <t>DS.2025.2208 12921 Merlot Ln</t>
        </is>
      </c>
      <c r="B217" s="53" t="inlineStr">
        <is>
          <t>2363162</t>
        </is>
      </c>
      <c r="C217" s="53" t="inlineStr">
        <is>
          <t>DW</t>
        </is>
      </c>
      <c r="D217" s="53" t="inlineStr">
        <is>
          <t>(Unassigned)</t>
        </is>
      </c>
      <c r="E217" s="53" t="inlineStr">
        <is>
          <t>M&amp;M Drywall</t>
        </is>
      </c>
      <c r="F217" s="53" t="inlineStr">
        <is>
          <t>ACTIVE</t>
        </is>
      </c>
      <c r="G217" s="53" t="inlineStr">
        <is>
          <t>FIXED_PRICE</t>
        </is>
      </c>
      <c r="H217" s="53" t="inlineStr"/>
      <c r="I217" s="53" t="inlineStr">
        <is>
          <t>IN</t>
        </is>
      </c>
      <c r="J217" s="53" t="inlineStr">
        <is>
          <t>2025-08-08</t>
        </is>
      </c>
      <c r="K217" s="53" t="inlineStr">
        <is>
          <t>2025-08-04</t>
        </is>
      </c>
      <c r="L217" s="53" t="inlineStr"/>
    </row>
    <row r="218">
      <c r="A218" s="53" t="inlineStr">
        <is>
          <t>DS.2025.2207 Edgebrook Lot 219</t>
        </is>
      </c>
      <c r="B218" s="53" t="inlineStr">
        <is>
          <t>2359929</t>
        </is>
      </c>
      <c r="C218" s="53" t="inlineStr">
        <is>
          <t>DW</t>
        </is>
      </c>
      <c r="D218" s="53" t="inlineStr">
        <is>
          <t>(Unassigned)</t>
        </is>
      </c>
      <c r="E218" s="53" t="inlineStr">
        <is>
          <t>Pro Fix Drywaller, LLC</t>
        </is>
      </c>
      <c r="F218" s="53" t="inlineStr">
        <is>
          <t>ACTIVE</t>
        </is>
      </c>
      <c r="G218" s="53" t="inlineStr">
        <is>
          <t>FIXED_PRICE</t>
        </is>
      </c>
      <c r="H218" s="53" t="inlineStr"/>
      <c r="I218" s="53" t="inlineStr"/>
      <c r="J218" s="53" t="inlineStr">
        <is>
          <t>2025-08-06</t>
        </is>
      </c>
      <c r="K218" s="53" t="inlineStr">
        <is>
          <t>2025-08-04</t>
        </is>
      </c>
      <c r="L218" s="53" t="inlineStr"/>
    </row>
    <row r="219">
      <c r="A219" s="53" t="inlineStr">
        <is>
          <t>DS.2025.2202 M&amp;M Drywall Pickup 7-29</t>
        </is>
      </c>
      <c r="B219" s="53" t="inlineStr">
        <is>
          <t>2354747</t>
        </is>
      </c>
      <c r="C219" s="53" t="inlineStr">
        <is>
          <t>DW</t>
        </is>
      </c>
      <c r="D219" s="53" t="inlineStr">
        <is>
          <t>(Unassigned)</t>
        </is>
      </c>
      <c r="E219" s="53" t="inlineStr">
        <is>
          <t>M&amp;M Drywall</t>
        </is>
      </c>
      <c r="F219" s="53" t="inlineStr">
        <is>
          <t>ACTIVE</t>
        </is>
      </c>
      <c r="G219" s="53" t="inlineStr">
        <is>
          <t>FIXED_PRICE</t>
        </is>
      </c>
      <c r="H219" s="53" t="inlineStr"/>
      <c r="I219" s="53" t="inlineStr">
        <is>
          <t>IN</t>
        </is>
      </c>
      <c r="J219" s="53" t="inlineStr">
        <is>
          <t>2025-08-04</t>
        </is>
      </c>
      <c r="K219" s="53" t="inlineStr">
        <is>
          <t>2025-07-29</t>
        </is>
      </c>
      <c r="L219" s="53" t="inlineStr">
        <is>
          <t>2025-07-29</t>
        </is>
      </c>
    </row>
    <row r="220">
      <c r="A220" s="53" t="inlineStr">
        <is>
          <t>DS.2025.2197 Edgebrook Lot 199</t>
        </is>
      </c>
      <c r="B220" s="53" t="inlineStr">
        <is>
          <t>2350460</t>
        </is>
      </c>
      <c r="C220" s="53" t="inlineStr">
        <is>
          <t>DW</t>
        </is>
      </c>
      <c r="D220" s="53" t="inlineStr">
        <is>
          <t>(Unassigned)</t>
        </is>
      </c>
      <c r="E220" s="53" t="inlineStr">
        <is>
          <t>Pro Fix Drywaller, LLC</t>
        </is>
      </c>
      <c r="F220" s="53" t="inlineStr">
        <is>
          <t>ACTIVE</t>
        </is>
      </c>
      <c r="G220" s="53" t="inlineStr">
        <is>
          <t>FIXED_PRICE</t>
        </is>
      </c>
      <c r="H220" s="53" t="inlineStr"/>
      <c r="I220" s="53" t="inlineStr"/>
      <c r="J220" s="53" t="inlineStr">
        <is>
          <t>2025-07-31</t>
        </is>
      </c>
      <c r="K220" s="53" t="inlineStr">
        <is>
          <t>2025-07-30</t>
        </is>
      </c>
      <c r="L220" s="53" t="inlineStr"/>
    </row>
    <row r="221">
      <c r="A221" s="53" t="inlineStr">
        <is>
          <t>DS.2025.2196 1718 Bellefontaine St</t>
        </is>
      </c>
      <c r="B221" s="53" t="inlineStr">
        <is>
          <t>2350360</t>
        </is>
      </c>
      <c r="C221" s="53" t="inlineStr">
        <is>
          <t>DW</t>
        </is>
      </c>
      <c r="D221" s="53" t="inlineStr">
        <is>
          <t>(Unassigned)</t>
        </is>
      </c>
      <c r="E221" s="53" t="inlineStr">
        <is>
          <t>Pro Fix Drywaller, LLC</t>
        </is>
      </c>
      <c r="F221" s="53" t="inlineStr">
        <is>
          <t>ACTIVE</t>
        </is>
      </c>
      <c r="G221" s="53" t="inlineStr">
        <is>
          <t>FIXED_PRICE</t>
        </is>
      </c>
      <c r="H221" s="53" t="inlineStr"/>
      <c r="I221" s="53" t="inlineStr"/>
      <c r="J221" s="53" t="inlineStr">
        <is>
          <t>2025-07-31</t>
        </is>
      </c>
      <c r="K221" s="53" t="inlineStr">
        <is>
          <t>2025-07-28</t>
        </is>
      </c>
      <c r="L221" s="53" t="inlineStr"/>
    </row>
    <row r="222">
      <c r="A222" s="53" t="inlineStr">
        <is>
          <t>DS.2025.2194 GSI House 10</t>
        </is>
      </c>
      <c r="B222" s="53" t="inlineStr">
        <is>
          <t>2349208</t>
        </is>
      </c>
      <c r="C222" s="53" t="inlineStr">
        <is>
          <t>DW</t>
        </is>
      </c>
      <c r="D222" s="53" t="inlineStr">
        <is>
          <t>(Unassigned)</t>
        </is>
      </c>
      <c r="E222" s="53" t="inlineStr">
        <is>
          <t>GSI - Gregory Scott Inabnit LLC</t>
        </is>
      </c>
      <c r="F222" s="53" t="inlineStr">
        <is>
          <t>ACTIVE</t>
        </is>
      </c>
      <c r="G222" s="53" t="inlineStr">
        <is>
          <t>FIXED_PRICE</t>
        </is>
      </c>
      <c r="H222" s="53" t="inlineStr"/>
      <c r="I222" s="53" t="inlineStr">
        <is>
          <t>IN</t>
        </is>
      </c>
      <c r="J222" s="53" t="inlineStr">
        <is>
          <t>2025-07-30</t>
        </is>
      </c>
      <c r="K222" s="53" t="inlineStr">
        <is>
          <t>2025-07-24</t>
        </is>
      </c>
      <c r="L222" s="53" t="inlineStr"/>
    </row>
    <row r="223">
      <c r="A223" s="53" t="inlineStr">
        <is>
          <t>DS.2025.2191 Edgebrook Lot 192</t>
        </is>
      </c>
      <c r="B223" s="53" t="inlineStr">
        <is>
          <t>2346918</t>
        </is>
      </c>
      <c r="C223" s="53" t="inlineStr">
        <is>
          <t>DW</t>
        </is>
      </c>
      <c r="D223" s="53" t="inlineStr">
        <is>
          <t>(Unassigned)</t>
        </is>
      </c>
      <c r="E223" s="53" t="inlineStr">
        <is>
          <t>Pro Fix Drywaller, LLC</t>
        </is>
      </c>
      <c r="F223" s="53" t="inlineStr">
        <is>
          <t>ACTIVE</t>
        </is>
      </c>
      <c r="G223" s="53" t="inlineStr">
        <is>
          <t>FIXED_PRICE</t>
        </is>
      </c>
      <c r="H223" s="53" t="inlineStr"/>
      <c r="I223" s="53" t="inlineStr"/>
      <c r="J223" s="53" t="inlineStr">
        <is>
          <t>2025-07-29</t>
        </is>
      </c>
      <c r="K223" s="53" t="inlineStr">
        <is>
          <t>2025-07-28</t>
        </is>
      </c>
      <c r="L223" s="53" t="inlineStr"/>
    </row>
    <row r="224">
      <c r="A224" s="53" t="inlineStr">
        <is>
          <t>DS.2025.2189 1022 E 3rd Bloomington</t>
        </is>
      </c>
      <c r="B224" s="53" t="inlineStr">
        <is>
          <t>2343287</t>
        </is>
      </c>
      <c r="C224" s="53" t="inlineStr">
        <is>
          <t>DW</t>
        </is>
      </c>
      <c r="D224" s="53" t="inlineStr">
        <is>
          <t>(Unassigned)</t>
        </is>
      </c>
      <c r="E224" s="53" t="inlineStr">
        <is>
          <t>Kjt General Construction</t>
        </is>
      </c>
      <c r="F224" s="53" t="inlineStr">
        <is>
          <t>ACTIVE</t>
        </is>
      </c>
      <c r="G224" s="53" t="inlineStr">
        <is>
          <t>FIXED_PRICE</t>
        </is>
      </c>
      <c r="H224" s="53" t="inlineStr"/>
      <c r="I224" s="53" t="inlineStr"/>
      <c r="J224" s="53" t="inlineStr">
        <is>
          <t>2025-07-28</t>
        </is>
      </c>
      <c r="K224" s="53" t="inlineStr">
        <is>
          <t>2025-07-23</t>
        </is>
      </c>
      <c r="L224" s="53" t="inlineStr"/>
    </row>
    <row r="225">
      <c r="A225" s="53" t="inlineStr">
        <is>
          <t>DS.2025.2187 Crawford Res, 880 Baywood Court</t>
        </is>
      </c>
      <c r="B225" s="53" t="inlineStr">
        <is>
          <t>2340132</t>
        </is>
      </c>
      <c r="C225" s="53" t="inlineStr">
        <is>
          <t>DW</t>
        </is>
      </c>
      <c r="D225" s="53" t="inlineStr">
        <is>
          <t>(Unassigned)</t>
        </is>
      </c>
      <c r="E225" s="53" t="inlineStr">
        <is>
          <t>Flores Drywall and Remodeling LLC</t>
        </is>
      </c>
      <c r="F225" s="53" t="inlineStr">
        <is>
          <t>ACTIVE</t>
        </is>
      </c>
      <c r="G225" s="53" t="inlineStr">
        <is>
          <t>FIXED_PRICE</t>
        </is>
      </c>
      <c r="H225" s="53" t="inlineStr"/>
      <c r="I225" s="53" t="inlineStr">
        <is>
          <t>IN</t>
        </is>
      </c>
      <c r="J225" s="53" t="inlineStr">
        <is>
          <t>2025-08-04</t>
        </is>
      </c>
      <c r="K225" s="53" t="inlineStr">
        <is>
          <t>2025-07-23</t>
        </is>
      </c>
      <c r="L225" s="53" t="inlineStr"/>
    </row>
    <row r="226">
      <c r="A226" s="53" t="inlineStr">
        <is>
          <t>DS.2025.2186 Bloomington Triplex Unit 3</t>
        </is>
      </c>
      <c r="B226" s="53" t="inlineStr">
        <is>
          <t>2340035</t>
        </is>
      </c>
      <c r="C226" s="53" t="inlineStr">
        <is>
          <t>DW</t>
        </is>
      </c>
      <c r="D226" s="53" t="inlineStr">
        <is>
          <t>(Unassigned)</t>
        </is>
      </c>
      <c r="E226" s="53" t="inlineStr">
        <is>
          <t>GSI - Gregory Scott Inabnit LLC</t>
        </is>
      </c>
      <c r="F226" s="53" t="inlineStr">
        <is>
          <t>ACTIVE</t>
        </is>
      </c>
      <c r="G226" s="53" t="inlineStr">
        <is>
          <t>FIXED_PRICE</t>
        </is>
      </c>
      <c r="H226" s="53" t="inlineStr"/>
      <c r="I226" s="53" t="inlineStr">
        <is>
          <t>IN</t>
        </is>
      </c>
      <c r="J226" s="53" t="inlineStr">
        <is>
          <t>2025-07-24</t>
        </is>
      </c>
      <c r="K226" s="53" t="inlineStr">
        <is>
          <t>2025-07-22</t>
        </is>
      </c>
      <c r="L226" s="53" t="inlineStr"/>
    </row>
    <row r="227">
      <c r="A227" s="53" t="inlineStr">
        <is>
          <t>DS.2025.2185 Bloomington Triplex Middle Unit</t>
        </is>
      </c>
      <c r="B227" s="53" t="inlineStr">
        <is>
          <t>2340013</t>
        </is>
      </c>
      <c r="C227" s="53" t="inlineStr">
        <is>
          <t>DW</t>
        </is>
      </c>
      <c r="D227" s="53" t="inlineStr">
        <is>
          <t>(Unassigned)</t>
        </is>
      </c>
      <c r="E227" s="53" t="inlineStr">
        <is>
          <t>GSI - Gregory Scott Inabnit LLC</t>
        </is>
      </c>
      <c r="F227" s="53" t="inlineStr">
        <is>
          <t>ACTIVE</t>
        </is>
      </c>
      <c r="G227" s="53" t="inlineStr">
        <is>
          <t>FIXED_PRICE</t>
        </is>
      </c>
      <c r="H227" s="53" t="inlineStr"/>
      <c r="I227" s="53" t="inlineStr">
        <is>
          <t>IN</t>
        </is>
      </c>
      <c r="J227" s="53" t="inlineStr">
        <is>
          <t>2025-07-24</t>
        </is>
      </c>
      <c r="K227" s="53" t="inlineStr">
        <is>
          <t>2025-07-22</t>
        </is>
      </c>
      <c r="L227" s="53" t="inlineStr"/>
    </row>
    <row r="228">
      <c r="A228" s="53" t="inlineStr">
        <is>
          <t>DS.2025.2184 Bloomington Triplex Unit 1</t>
        </is>
      </c>
      <c r="B228" s="53" t="inlineStr">
        <is>
          <t>2339995</t>
        </is>
      </c>
      <c r="C228" s="53" t="inlineStr">
        <is>
          <t>DW</t>
        </is>
      </c>
      <c r="D228" s="53" t="inlineStr">
        <is>
          <t>(Unassigned)</t>
        </is>
      </c>
      <c r="E228" s="53" t="inlineStr">
        <is>
          <t>GSI - Gregory Scott Inabnit LLC</t>
        </is>
      </c>
      <c r="F228" s="53" t="inlineStr">
        <is>
          <t>ACTIVE</t>
        </is>
      </c>
      <c r="G228" s="53" t="inlineStr">
        <is>
          <t>FIXED_PRICE</t>
        </is>
      </c>
      <c r="H228" s="53" t="inlineStr"/>
      <c r="I228" s="53" t="inlineStr">
        <is>
          <t>IN</t>
        </is>
      </c>
      <c r="J228" s="53" t="inlineStr">
        <is>
          <t>2025-07-24</t>
        </is>
      </c>
      <c r="K228" s="53" t="inlineStr">
        <is>
          <t>2025-07-22</t>
        </is>
      </c>
      <c r="L228" s="53" t="inlineStr"/>
    </row>
    <row r="229">
      <c r="A229" s="53" t="inlineStr">
        <is>
          <t>DS.2025.2182 9220 Tower Rd</t>
        </is>
      </c>
      <c r="B229" s="53" t="inlineStr">
        <is>
          <t>2339243</t>
        </is>
      </c>
      <c r="C229" s="53" t="inlineStr">
        <is>
          <t>DW</t>
        </is>
      </c>
      <c r="D229" s="53" t="inlineStr">
        <is>
          <t>(Unassigned)</t>
        </is>
      </c>
      <c r="E229" s="53" t="inlineStr">
        <is>
          <t>Solano Masonry, Inc.</t>
        </is>
      </c>
      <c r="F229" s="53" t="inlineStr">
        <is>
          <t>ACTIVE</t>
        </is>
      </c>
      <c r="G229" s="53" t="inlineStr">
        <is>
          <t>FIXED_PRICE</t>
        </is>
      </c>
      <c r="H229" s="53" t="inlineStr"/>
      <c r="I229" s="53" t="inlineStr">
        <is>
          <t>IN</t>
        </is>
      </c>
      <c r="J229" s="53" t="inlineStr">
        <is>
          <t>2025-07-24</t>
        </is>
      </c>
      <c r="K229" s="53" t="inlineStr">
        <is>
          <t>2025-07-20</t>
        </is>
      </c>
      <c r="L229" s="53" t="inlineStr"/>
    </row>
    <row r="230">
      <c r="A230" s="53" t="inlineStr">
        <is>
          <t>DS.2025.2175 6891 State Road 257</t>
        </is>
      </c>
      <c r="B230" s="53" t="inlineStr">
        <is>
          <t>2337339</t>
        </is>
      </c>
      <c r="C230" s="53" t="inlineStr">
        <is>
          <t>DW</t>
        </is>
      </c>
      <c r="D230" s="53" t="inlineStr">
        <is>
          <t>(Unassigned)</t>
        </is>
      </c>
      <c r="E230" s="53" t="inlineStr">
        <is>
          <t>Total Drywall Solutions Inc</t>
        </is>
      </c>
      <c r="F230" s="53" t="inlineStr">
        <is>
          <t>ACTIVE</t>
        </is>
      </c>
      <c r="G230" s="53" t="inlineStr">
        <is>
          <t>FIXED_PRICE</t>
        </is>
      </c>
      <c r="H230" s="53" t="inlineStr"/>
      <c r="I230" s="53" t="inlineStr">
        <is>
          <t>IN</t>
        </is>
      </c>
      <c r="J230" s="53" t="inlineStr">
        <is>
          <t>2025-07-23</t>
        </is>
      </c>
      <c r="K230" s="53" t="inlineStr">
        <is>
          <t>2025-07-23</t>
        </is>
      </c>
      <c r="L230" s="53" t="inlineStr"/>
    </row>
    <row r="231">
      <c r="A231" s="53" t="inlineStr">
        <is>
          <t>DS.2025.2169 Abbey Place 311</t>
        </is>
      </c>
      <c r="B231" s="53" t="inlineStr">
        <is>
          <t>2327047</t>
        </is>
      </c>
      <c r="C231" s="53" t="inlineStr">
        <is>
          <t>DW</t>
        </is>
      </c>
      <c r="D231" s="53" t="inlineStr">
        <is>
          <t>(Unassigned)</t>
        </is>
      </c>
      <c r="E231" s="53" t="inlineStr">
        <is>
          <t>Flores Drywall and Remodeling LLC</t>
        </is>
      </c>
      <c r="F231" s="53" t="inlineStr">
        <is>
          <t>ACTIVE</t>
        </is>
      </c>
      <c r="G231" s="53" t="inlineStr">
        <is>
          <t>FIXED_PRICE</t>
        </is>
      </c>
      <c r="H231" s="53" t="inlineStr"/>
      <c r="I231" s="53" t="inlineStr"/>
      <c r="J231" s="53" t="inlineStr">
        <is>
          <t>2025-07-16</t>
        </is>
      </c>
      <c r="K231" s="53" t="inlineStr">
        <is>
          <t>2025-07-11</t>
        </is>
      </c>
      <c r="L231" s="53" t="inlineStr"/>
    </row>
    <row r="232">
      <c r="A232" s="53" t="inlineStr">
        <is>
          <t>DS.2025.2150 V3 Holiday Farms</t>
        </is>
      </c>
      <c r="B232" s="53" t="inlineStr">
        <is>
          <t>2304400</t>
        </is>
      </c>
      <c r="C232" s="53" t="inlineStr">
        <is>
          <t>DW</t>
        </is>
      </c>
      <c r="D232" s="53" t="inlineStr">
        <is>
          <t>(Unassigned)</t>
        </is>
      </c>
      <c r="E232" s="53" t="inlineStr">
        <is>
          <t>Flores Drywall and Remodeling LLC</t>
        </is>
      </c>
      <c r="F232" s="53" t="inlineStr">
        <is>
          <t>ACTIVE</t>
        </is>
      </c>
      <c r="G232" s="53" t="inlineStr">
        <is>
          <t>FIXED_PRICE</t>
        </is>
      </c>
      <c r="H232" s="53" t="inlineStr"/>
      <c r="I232" s="53" t="inlineStr"/>
      <c r="J232" s="53" t="inlineStr">
        <is>
          <t>2025-07-01</t>
        </is>
      </c>
      <c r="K232" s="53" t="inlineStr">
        <is>
          <t>2025-07-02</t>
        </is>
      </c>
      <c r="L232" s="53" t="inlineStr"/>
    </row>
    <row r="233">
      <c r="A233" s="53" t="inlineStr">
        <is>
          <t>2025.1021 Convivio</t>
        </is>
      </c>
      <c r="B233" s="53" t="inlineStr">
        <is>
          <t>2303764</t>
        </is>
      </c>
      <c r="C233" s="53" t="inlineStr">
        <is>
          <t>TI</t>
        </is>
      </c>
      <c r="D233" s="53" t="inlineStr">
        <is>
          <t>Shawn Welcher</t>
        </is>
      </c>
      <c r="E233" s="53" t="inlineStr">
        <is>
          <t>The Peterson Company, LLC</t>
        </is>
      </c>
      <c r="F233" s="53" t="inlineStr">
        <is>
          <t>ACTIVE</t>
        </is>
      </c>
      <c r="G233" s="53" t="inlineStr">
        <is>
          <t>FIXED_PRICE_WITH_AIA_BILLING</t>
        </is>
      </c>
      <c r="H233" s="53" t="inlineStr">
        <is>
          <t>Noblesville</t>
        </is>
      </c>
      <c r="I233" s="53" t="inlineStr">
        <is>
          <t>IN</t>
        </is>
      </c>
      <c r="J233" s="53" t="inlineStr">
        <is>
          <t>2025-10-28</t>
        </is>
      </c>
      <c r="K233" s="53" t="inlineStr">
        <is>
          <t>2025-10-27</t>
        </is>
      </c>
      <c r="L233" s="53" t="inlineStr">
        <is>
          <t>2026-01-05</t>
        </is>
      </c>
    </row>
    <row r="234">
      <c r="A234" s="53" t="inlineStr">
        <is>
          <t>2025.999 Romet PWSI</t>
        </is>
      </c>
      <c r="B234" s="53" t="inlineStr">
        <is>
          <t>2303466</t>
        </is>
      </c>
      <c r="C234" s="53" t="inlineStr">
        <is>
          <t>TI</t>
        </is>
      </c>
      <c r="D234" s="53" t="inlineStr">
        <is>
          <t>Tommy Cohoat</t>
        </is>
      </c>
      <c r="E234" s="53" t="inlineStr">
        <is>
          <t>The Peterson Company, LLC</t>
        </is>
      </c>
      <c r="F234" s="53" t="inlineStr">
        <is>
          <t>ACTIVE</t>
        </is>
      </c>
      <c r="G234" s="53" t="inlineStr">
        <is>
          <t>FIXED_PRICE_WITH_AIA_BILLING</t>
        </is>
      </c>
      <c r="H234" s="53" t="inlineStr">
        <is>
          <t>Indianapolis</t>
        </is>
      </c>
      <c r="I234" s="53" t="inlineStr">
        <is>
          <t>IN</t>
        </is>
      </c>
      <c r="J234" s="53" t="inlineStr">
        <is>
          <t>2025-07-30</t>
        </is>
      </c>
      <c r="K234" s="53" t="inlineStr">
        <is>
          <t>2025-07-30</t>
        </is>
      </c>
      <c r="L234" s="53" t="inlineStr">
        <is>
          <t>2025-11-19</t>
        </is>
      </c>
    </row>
    <row r="235">
      <c r="A235" s="53" t="inlineStr">
        <is>
          <t>DS.2025.2143 GSI Ranch</t>
        </is>
      </c>
      <c r="B235" s="53" t="inlineStr">
        <is>
          <t>2302121</t>
        </is>
      </c>
      <c r="C235" s="53" t="inlineStr">
        <is>
          <t>DW</t>
        </is>
      </c>
      <c r="D235" s="53" t="inlineStr">
        <is>
          <t>(Unassigned)</t>
        </is>
      </c>
      <c r="E235" s="53" t="inlineStr">
        <is>
          <t>GSI - Gregory Scott Inabnit LLC</t>
        </is>
      </c>
      <c r="F235" s="53" t="inlineStr">
        <is>
          <t>ACTIVE</t>
        </is>
      </c>
      <c r="G235" s="53" t="inlineStr">
        <is>
          <t>FIXED_PRICE</t>
        </is>
      </c>
      <c r="H235" s="53" t="inlineStr"/>
      <c r="I235" s="53" t="inlineStr">
        <is>
          <t>IN</t>
        </is>
      </c>
      <c r="J235" s="53" t="inlineStr">
        <is>
          <t>2025-06-30</t>
        </is>
      </c>
      <c r="K235" s="53" t="inlineStr">
        <is>
          <t>2025-06-27</t>
        </is>
      </c>
      <c r="L235" s="53" t="inlineStr"/>
    </row>
    <row r="236">
      <c r="A236" s="53" t="inlineStr">
        <is>
          <t>DS.2025.2138 51 Preserve</t>
        </is>
      </c>
      <c r="B236" s="53" t="inlineStr">
        <is>
          <t>2301410</t>
        </is>
      </c>
      <c r="C236" s="53" t="inlineStr">
        <is>
          <t>DW</t>
        </is>
      </c>
      <c r="D236" s="53" t="inlineStr">
        <is>
          <t>(Unassigned)</t>
        </is>
      </c>
      <c r="E236" s="53" t="inlineStr">
        <is>
          <t>Flores Drywall and Remodeling LLC</t>
        </is>
      </c>
      <c r="F236" s="53" t="inlineStr">
        <is>
          <t>ACTIVE</t>
        </is>
      </c>
      <c r="G236" s="53" t="inlineStr">
        <is>
          <t>FIXED_PRICE</t>
        </is>
      </c>
      <c r="H236" s="53" t="inlineStr"/>
      <c r="I236" s="53" t="inlineStr">
        <is>
          <t>IN</t>
        </is>
      </c>
      <c r="J236" s="53" t="inlineStr">
        <is>
          <t>2025-06-30</t>
        </is>
      </c>
      <c r="K236" s="53" t="inlineStr">
        <is>
          <t>2025-06-27</t>
        </is>
      </c>
      <c r="L236" s="53" t="inlineStr"/>
    </row>
    <row r="237">
      <c r="A237" s="53" t="inlineStr">
        <is>
          <t>DS.2025.2118 House 6</t>
        </is>
      </c>
      <c r="B237" s="53" t="inlineStr">
        <is>
          <t>2296704</t>
        </is>
      </c>
      <c r="C237" s="53" t="inlineStr">
        <is>
          <t>DW</t>
        </is>
      </c>
      <c r="D237" s="53" t="inlineStr">
        <is>
          <t>(Unassigned)</t>
        </is>
      </c>
      <c r="E237" s="53" t="inlineStr">
        <is>
          <t>GSI - Gregory Scott Inabnit LLC</t>
        </is>
      </c>
      <c r="F237" s="53" t="inlineStr">
        <is>
          <t>ACTIVE</t>
        </is>
      </c>
      <c r="G237" s="53" t="inlineStr">
        <is>
          <t>FIXED_PRICE</t>
        </is>
      </c>
      <c r="H237" s="53" t="inlineStr"/>
      <c r="I237" s="53" t="inlineStr">
        <is>
          <t>IN</t>
        </is>
      </c>
      <c r="J237" s="53" t="inlineStr">
        <is>
          <t>2025-06-26</t>
        </is>
      </c>
      <c r="K237" s="53" t="inlineStr">
        <is>
          <t>2025-06-17</t>
        </is>
      </c>
      <c r="L237" s="53" t="inlineStr"/>
    </row>
    <row r="238">
      <c r="A238" s="53" t="inlineStr">
        <is>
          <t>2025.997 Belmont St Warehouse Clear Out 250-408</t>
        </is>
      </c>
      <c r="B238" s="53" t="inlineStr">
        <is>
          <t>2282848</t>
        </is>
      </c>
      <c r="C238" s="53" t="inlineStr">
        <is>
          <t>TI</t>
        </is>
      </c>
      <c r="D238" s="53" t="inlineStr">
        <is>
          <t>Spencer Anderson</t>
        </is>
      </c>
      <c r="E238" s="53" t="inlineStr">
        <is>
          <t>DEEM, LLC</t>
        </is>
      </c>
      <c r="F238" s="53" t="inlineStr">
        <is>
          <t>ACTIVE</t>
        </is>
      </c>
      <c r="G238" s="53" t="inlineStr">
        <is>
          <t>FIXED_PRICE</t>
        </is>
      </c>
      <c r="H238" s="53" t="inlineStr">
        <is>
          <t>Indianapolis</t>
        </is>
      </c>
      <c r="I238" s="53" t="inlineStr">
        <is>
          <t>IN</t>
        </is>
      </c>
      <c r="J238" s="53" t="inlineStr">
        <is>
          <t>2025-06-25</t>
        </is>
      </c>
      <c r="K238" s="53" t="inlineStr">
        <is>
          <t>2025-06-18</t>
        </is>
      </c>
      <c r="L238" s="53" t="inlineStr">
        <is>
          <t>2025-06-30</t>
        </is>
      </c>
    </row>
    <row r="239">
      <c r="A239" s="53" t="inlineStr">
        <is>
          <t>DS.2025.2072 Tom Carter Prince's Lake</t>
        </is>
      </c>
      <c r="B239" s="53" t="inlineStr">
        <is>
          <t>2261041</t>
        </is>
      </c>
      <c r="C239" s="53" t="inlineStr">
        <is>
          <t>DW</t>
        </is>
      </c>
      <c r="D239" s="53" t="inlineStr">
        <is>
          <t>(Unassigned)</t>
        </is>
      </c>
      <c r="E239" s="53" t="inlineStr">
        <is>
          <t>TC Indy</t>
        </is>
      </c>
      <c r="F239" s="53" t="inlineStr">
        <is>
          <t>ACTIVE</t>
        </is>
      </c>
      <c r="G239" s="53" t="inlineStr">
        <is>
          <t>FIXED_PRICE</t>
        </is>
      </c>
      <c r="H239" s="53" t="inlineStr"/>
      <c r="I239" s="53" t="inlineStr"/>
      <c r="J239" s="53" t="inlineStr">
        <is>
          <t>2025-06-04</t>
        </is>
      </c>
      <c r="K239" s="53" t="inlineStr">
        <is>
          <t>2025-06-04</t>
        </is>
      </c>
      <c r="L239" s="53" t="inlineStr"/>
    </row>
    <row r="240">
      <c r="A240" s="53" t="inlineStr">
        <is>
          <t>2025.1032 65 Commerce Park Building 7</t>
        </is>
      </c>
      <c r="B240" s="53" t="inlineStr">
        <is>
          <t>2250539</t>
        </is>
      </c>
      <c r="C240" s="53" t="inlineStr">
        <is>
          <t>TI</t>
        </is>
      </c>
      <c r="D240" s="53" t="inlineStr">
        <is>
          <t>Trevor Anderson</t>
        </is>
      </c>
      <c r="E240" s="53" t="inlineStr">
        <is>
          <t>Compass Commercial Construction Group</t>
        </is>
      </c>
      <c r="F240" s="53" t="inlineStr">
        <is>
          <t>ACTIVE</t>
        </is>
      </c>
      <c r="G240" s="53" t="inlineStr">
        <is>
          <t>FIXED_PRICE_WITH_AIA_BILLING</t>
        </is>
      </c>
      <c r="H240" s="53" t="inlineStr">
        <is>
          <t>Whitestown</t>
        </is>
      </c>
      <c r="I240" s="53" t="inlineStr">
        <is>
          <t>IN</t>
        </is>
      </c>
      <c r="J240" s="53" t="inlineStr">
        <is>
          <t>2025-12-22</t>
        </is>
      </c>
      <c r="K240" s="53" t="inlineStr">
        <is>
          <t>2026-04-15</t>
        </is>
      </c>
      <c r="L240" s="53" t="inlineStr"/>
    </row>
    <row r="241">
      <c r="A241" s="53" t="inlineStr">
        <is>
          <t>2025.994 Stotan Port Laredo Spec Offices</t>
        </is>
      </c>
      <c r="B241" s="53" t="inlineStr">
        <is>
          <t>2248156</t>
        </is>
      </c>
      <c r="C241" s="53" t="inlineStr">
        <is>
          <t>TI</t>
        </is>
      </c>
      <c r="D241" s="53" t="inlineStr">
        <is>
          <t>Ben Garza</t>
        </is>
      </c>
      <c r="E241" s="53" t="inlineStr">
        <is>
          <t>ARCO Design/Build</t>
        </is>
      </c>
      <c r="F241" s="53" t="inlineStr">
        <is>
          <t>ACTIVE</t>
        </is>
      </c>
      <c r="G241" s="53" t="inlineStr">
        <is>
          <t>FIXED_PRICE_WITH_AIA_BILLING</t>
        </is>
      </c>
      <c r="H241" s="53" t="inlineStr">
        <is>
          <t>Laredo</t>
        </is>
      </c>
      <c r="I241" s="53" t="inlineStr">
        <is>
          <t>TX</t>
        </is>
      </c>
      <c r="J241" s="53" t="inlineStr">
        <is>
          <t>2025-09-18</t>
        </is>
      </c>
      <c r="K241" s="53" t="inlineStr">
        <is>
          <t>2025-09-22</t>
        </is>
      </c>
      <c r="L241" s="53" t="inlineStr">
        <is>
          <t>2026-03-15</t>
        </is>
      </c>
    </row>
    <row r="242">
      <c r="A242" s="53" t="inlineStr">
        <is>
          <t>DS.2025.2045 Old Town Pickup</t>
        </is>
      </c>
      <c r="B242" s="53" t="inlineStr">
        <is>
          <t>2242353</t>
        </is>
      </c>
      <c r="C242" s="53" t="inlineStr">
        <is>
          <t>DW</t>
        </is>
      </c>
      <c r="D242" s="53" t="inlineStr">
        <is>
          <t>(Unassigned)</t>
        </is>
      </c>
      <c r="E242" s="53" t="inlineStr">
        <is>
          <t>Old Town Design Group</t>
        </is>
      </c>
      <c r="F242" s="53" t="inlineStr">
        <is>
          <t>ACTIVE</t>
        </is>
      </c>
      <c r="G242" s="53" t="inlineStr">
        <is>
          <t>FIXED_PRICE</t>
        </is>
      </c>
      <c r="H242" s="53" t="inlineStr"/>
      <c r="I242" s="53" t="inlineStr"/>
      <c r="J242" s="53" t="inlineStr">
        <is>
          <t>2025-05-22</t>
        </is>
      </c>
      <c r="K242" s="53" t="inlineStr">
        <is>
          <t>2025-05-20</t>
        </is>
      </c>
      <c r="L242" s="53" t="inlineStr"/>
    </row>
    <row r="243">
      <c r="A243" s="53" t="inlineStr">
        <is>
          <t>MF.2026.1050 AC Hotel</t>
        </is>
      </c>
      <c r="B243" s="53" t="inlineStr">
        <is>
          <t>2225641</t>
        </is>
      </c>
      <c r="C243" s="53" t="inlineStr">
        <is>
          <t>MF</t>
        </is>
      </c>
      <c r="D243" s="53" t="inlineStr">
        <is>
          <t>Ben Garza</t>
        </is>
      </c>
      <c r="E243" s="53" t="inlineStr">
        <is>
          <t>Holladay Construction Group</t>
        </is>
      </c>
      <c r="F243" s="53" t="inlineStr">
        <is>
          <t>ACTIVE</t>
        </is>
      </c>
      <c r="G243" s="53" t="inlineStr">
        <is>
          <t>FIXED_PRICE_WITH_AIA_BILLING</t>
        </is>
      </c>
      <c r="H243" s="53" t="inlineStr">
        <is>
          <t>Fishers</t>
        </is>
      </c>
      <c r="I243" s="53" t="inlineStr">
        <is>
          <t>IN</t>
        </is>
      </c>
      <c r="J243" s="53" t="inlineStr">
        <is>
          <t>2026-04-28</t>
        </is>
      </c>
      <c r="K243" s="53" t="inlineStr">
        <is>
          <t>2026-06-01</t>
        </is>
      </c>
      <c r="L243" s="53" t="inlineStr"/>
    </row>
    <row r="244">
      <c r="A244" s="53" t="inlineStr">
        <is>
          <t>2025.986 FedEx Hub</t>
        </is>
      </c>
      <c r="B244" s="53" t="inlineStr">
        <is>
          <t>2223116</t>
        </is>
      </c>
      <c r="C244" s="53" t="inlineStr">
        <is>
          <t>TI</t>
        </is>
      </c>
      <c r="D244" s="53" t="inlineStr">
        <is>
          <t>Tommy Cohoat</t>
        </is>
      </c>
      <c r="E244" s="53" t="inlineStr">
        <is>
          <t>Dalmatian Fire</t>
        </is>
      </c>
      <c r="F244" s="53" t="inlineStr">
        <is>
          <t>ACTIVE</t>
        </is>
      </c>
      <c r="G244" s="53" t="inlineStr">
        <is>
          <t>FIXED_PRICE</t>
        </is>
      </c>
      <c r="H244" s="53" t="inlineStr">
        <is>
          <t>Indianapolis</t>
        </is>
      </c>
      <c r="I244" s="53" t="inlineStr">
        <is>
          <t>IN</t>
        </is>
      </c>
      <c r="J244" s="53" t="inlineStr">
        <is>
          <t>2025-05-09</t>
        </is>
      </c>
      <c r="K244" s="53" t="inlineStr">
        <is>
          <t>2025-05-07</t>
        </is>
      </c>
      <c r="L244" s="53" t="inlineStr">
        <is>
          <t>2025-05-16</t>
        </is>
      </c>
    </row>
    <row r="245">
      <c r="A245" s="53" t="inlineStr">
        <is>
          <t>DS.2025.1967 MN - H2S</t>
        </is>
      </c>
      <c r="B245" s="53" t="inlineStr">
        <is>
          <t>2205083</t>
        </is>
      </c>
      <c r="C245" s="53" t="inlineStr">
        <is>
          <t>DW</t>
        </is>
      </c>
      <c r="D245" s="53" t="inlineStr">
        <is>
          <t>(Unassigned)</t>
        </is>
      </c>
      <c r="E245" s="53" t="inlineStr">
        <is>
          <t>Meyer Najem</t>
        </is>
      </c>
      <c r="F245" s="53" t="inlineStr">
        <is>
          <t>ACTIVE</t>
        </is>
      </c>
      <c r="G245" s="53" t="inlineStr">
        <is>
          <t>FIXED_PRICE</t>
        </is>
      </c>
      <c r="H245" s="53" t="inlineStr"/>
      <c r="I245" s="53" t="inlineStr"/>
      <c r="J245" s="53" t="inlineStr">
        <is>
          <t>2025-04-29</t>
        </is>
      </c>
      <c r="K245" s="53" t="inlineStr">
        <is>
          <t>2025-04-29</t>
        </is>
      </c>
      <c r="L245" s="53" t="inlineStr">
        <is>
          <t>2025-04-29</t>
        </is>
      </c>
    </row>
    <row r="246">
      <c r="A246" s="53" t="inlineStr">
        <is>
          <t>2025.1015 WBP Lot 4</t>
        </is>
      </c>
      <c r="B246" s="53" t="inlineStr">
        <is>
          <t>2196541</t>
        </is>
      </c>
      <c r="C246" s="53" t="inlineStr">
        <is>
          <t>TI</t>
        </is>
      </c>
      <c r="D246" s="53" t="inlineStr">
        <is>
          <t>Tommy Cohoat</t>
        </is>
      </c>
      <c r="E246" s="53" t="inlineStr">
        <is>
          <t>Patch Development</t>
        </is>
      </c>
      <c r="F246" s="53" t="inlineStr">
        <is>
          <t>ACTIVE</t>
        </is>
      </c>
      <c r="G246" s="53" t="inlineStr">
        <is>
          <t>FIXED_PRICE_WITH_AIA_BILLING</t>
        </is>
      </c>
      <c r="H246" s="53" t="inlineStr">
        <is>
          <t>Noblesville</t>
        </is>
      </c>
      <c r="I246" s="53" t="inlineStr">
        <is>
          <t>IN</t>
        </is>
      </c>
      <c r="J246" s="53" t="inlineStr">
        <is>
          <t>2025-09-16</t>
        </is>
      </c>
      <c r="K246" s="53" t="inlineStr">
        <is>
          <t>2025-09-29</t>
        </is>
      </c>
      <c r="L246" s="53" t="inlineStr">
        <is>
          <t>2025-11-30</t>
        </is>
      </c>
    </row>
    <row r="247">
      <c r="A247" s="53" t="inlineStr">
        <is>
          <t>2025.1001 Evolve Transporters</t>
        </is>
      </c>
      <c r="B247" s="53" t="inlineStr">
        <is>
          <t>2174851</t>
        </is>
      </c>
      <c r="C247" s="53" t="inlineStr">
        <is>
          <t>TI</t>
        </is>
      </c>
      <c r="D247" s="53" t="inlineStr">
        <is>
          <t>Cole Garriott</t>
        </is>
      </c>
      <c r="E247" s="53" t="inlineStr">
        <is>
          <t>Compass Commercial Construction Group</t>
        </is>
      </c>
      <c r="F247" s="53" t="inlineStr">
        <is>
          <t>ACTIVE</t>
        </is>
      </c>
      <c r="G247" s="53" t="inlineStr">
        <is>
          <t>FIXED_PRICE_WITH_AIA_BILLING</t>
        </is>
      </c>
      <c r="H247" s="53" t="inlineStr">
        <is>
          <t>Noblesville</t>
        </is>
      </c>
      <c r="I247" s="53" t="inlineStr">
        <is>
          <t>IN</t>
        </is>
      </c>
      <c r="J247" s="53" t="inlineStr">
        <is>
          <t>2025-08-08</t>
        </is>
      </c>
      <c r="K247" s="53" t="inlineStr">
        <is>
          <t>2025-07-29</t>
        </is>
      </c>
      <c r="L247" s="53" t="inlineStr">
        <is>
          <t>2026-04-30</t>
        </is>
      </c>
    </row>
    <row r="248">
      <c r="A248" s="53" t="inlineStr">
        <is>
          <t>DS.2025.1895 IFD Pickup 3/25/25</t>
        </is>
      </c>
      <c r="B248" s="53" t="inlineStr">
        <is>
          <t>2160928</t>
        </is>
      </c>
      <c r="C248" s="53" t="inlineStr">
        <is>
          <t>DW</t>
        </is>
      </c>
      <c r="D248" s="53" t="inlineStr">
        <is>
          <t>(Unassigned)</t>
        </is>
      </c>
      <c r="E248" s="53" t="inlineStr">
        <is>
          <t>Indianapolis Fire Department</t>
        </is>
      </c>
      <c r="F248" s="53" t="inlineStr">
        <is>
          <t>ACTIVE</t>
        </is>
      </c>
      <c r="G248" s="53" t="inlineStr">
        <is>
          <t>FIXED_PRICE</t>
        </is>
      </c>
      <c r="H248" s="53" t="inlineStr"/>
      <c r="I248" s="53" t="inlineStr"/>
      <c r="J248" s="53" t="inlineStr">
        <is>
          <t>2025-03-31</t>
        </is>
      </c>
      <c r="K248" s="53" t="inlineStr">
        <is>
          <t>2025-03-25</t>
        </is>
      </c>
      <c r="L248" s="53" t="inlineStr">
        <is>
          <t>2025-03-25</t>
        </is>
      </c>
    </row>
    <row r="249">
      <c r="A249" s="53" t="inlineStr">
        <is>
          <t>2025.980 Avon Bldg. 1 Canopies &amp; Pavilion</t>
        </is>
      </c>
      <c r="B249" s="53" t="inlineStr">
        <is>
          <t>2157624</t>
        </is>
      </c>
      <c r="C249" s="53" t="inlineStr">
        <is>
          <t>TI</t>
        </is>
      </c>
      <c r="D249" s="53" t="inlineStr">
        <is>
          <t>Spencer Anderson</t>
        </is>
      </c>
      <c r="E249" s="53" t="inlineStr">
        <is>
          <t>The Peterson Company, LLC</t>
        </is>
      </c>
      <c r="F249" s="53" t="inlineStr">
        <is>
          <t>ACTIVE</t>
        </is>
      </c>
      <c r="G249" s="53" t="inlineStr">
        <is>
          <t>FIXED_PRICE_WITH_AIA_BILLING</t>
        </is>
      </c>
      <c r="H249" s="53" t="inlineStr">
        <is>
          <t>Avon</t>
        </is>
      </c>
      <c r="I249" s="53" t="inlineStr">
        <is>
          <t>IN</t>
        </is>
      </c>
      <c r="J249" s="53" t="inlineStr">
        <is>
          <t>2025-06-05</t>
        </is>
      </c>
      <c r="K249" s="53" t="inlineStr">
        <is>
          <t>2025-07-01</t>
        </is>
      </c>
      <c r="L249" s="53" t="inlineStr">
        <is>
          <t>2025-10-31</t>
        </is>
      </c>
    </row>
    <row r="250">
      <c r="A250" s="53" t="inlineStr">
        <is>
          <t>DS.2025.1882 Alexandria Building 24</t>
        </is>
      </c>
      <c r="B250" s="53" t="inlineStr">
        <is>
          <t>2152299</t>
        </is>
      </c>
      <c r="C250" s="53" t="inlineStr">
        <is>
          <t>DW</t>
        </is>
      </c>
      <c r="D250" s="53" t="inlineStr">
        <is>
          <t>(Unassigned)</t>
        </is>
      </c>
      <c r="E250" s="53" t="inlineStr">
        <is>
          <t>Precision Dry Wall</t>
        </is>
      </c>
      <c r="F250" s="53" t="inlineStr">
        <is>
          <t>ACTIVE</t>
        </is>
      </c>
      <c r="G250" s="53" t="inlineStr">
        <is>
          <t>FIXED_PRICE</t>
        </is>
      </c>
      <c r="H250" s="53" t="inlineStr"/>
      <c r="I250" s="53" t="inlineStr">
        <is>
          <t>IN</t>
        </is>
      </c>
      <c r="J250" s="53" t="inlineStr">
        <is>
          <t>2025-03-25</t>
        </is>
      </c>
      <c r="K250" s="53" t="inlineStr">
        <is>
          <t>2025-03-25</t>
        </is>
      </c>
      <c r="L250" s="53" t="inlineStr">
        <is>
          <t>2025-03-25</t>
        </is>
      </c>
    </row>
    <row r="251">
      <c r="A251" s="53" t="inlineStr">
        <is>
          <t>2025.993 Batesville Public Library</t>
        </is>
      </c>
      <c r="B251" s="53" t="inlineStr">
        <is>
          <t>2117526</t>
        </is>
      </c>
      <c r="C251" s="53" t="inlineStr">
        <is>
          <t>TI</t>
        </is>
      </c>
      <c r="D251" s="53" t="inlineStr">
        <is>
          <t>Shawn Welcher</t>
        </is>
      </c>
      <c r="E251" s="53" t="inlineStr">
        <is>
          <t>Meyer Najem</t>
        </is>
      </c>
      <c r="F251" s="53" t="inlineStr">
        <is>
          <t>ACTIVE</t>
        </is>
      </c>
      <c r="G251" s="53" t="inlineStr">
        <is>
          <t>FIXED_PRICE_WITH_AIA_BILLING</t>
        </is>
      </c>
      <c r="H251" s="53" t="inlineStr">
        <is>
          <t>Batesville</t>
        </is>
      </c>
      <c r="I251" s="53" t="inlineStr">
        <is>
          <t>IN</t>
        </is>
      </c>
      <c r="J251" s="53" t="inlineStr">
        <is>
          <t>2025-08-20</t>
        </is>
      </c>
      <c r="K251" s="53" t="inlineStr">
        <is>
          <t>2025-10-01</t>
        </is>
      </c>
      <c r="L251" s="53" t="inlineStr">
        <is>
          <t>2026-09-30</t>
        </is>
      </c>
    </row>
    <row r="252">
      <c r="A252" s="53" t="inlineStr">
        <is>
          <t>2025.979 Groundbreakers</t>
        </is>
      </c>
      <c r="B252" s="53" t="inlineStr">
        <is>
          <t>2108038</t>
        </is>
      </c>
      <c r="C252" s="53" t="inlineStr">
        <is>
          <t>TI</t>
        </is>
      </c>
      <c r="D252" s="53" t="inlineStr">
        <is>
          <t>Trevor Anderson</t>
        </is>
      </c>
      <c r="E252" s="53" t="inlineStr">
        <is>
          <t>Patch Development</t>
        </is>
      </c>
      <c r="F252" s="53" t="inlineStr">
        <is>
          <t>ACTIVE</t>
        </is>
      </c>
      <c r="G252" s="53" t="inlineStr">
        <is>
          <t>FIXED_PRICE_WITH_AIA_BILLING</t>
        </is>
      </c>
      <c r="H252" s="53" t="inlineStr">
        <is>
          <t>Indianapolis</t>
        </is>
      </c>
      <c r="I252" s="53" t="inlineStr">
        <is>
          <t>IN</t>
        </is>
      </c>
      <c r="J252" s="53" t="inlineStr">
        <is>
          <t>2025-06-17</t>
        </is>
      </c>
      <c r="K252" s="53" t="inlineStr">
        <is>
          <t>2025-07-01</t>
        </is>
      </c>
      <c r="L252" s="53" t="inlineStr">
        <is>
          <t>2025-12-30</t>
        </is>
      </c>
    </row>
    <row r="253">
      <c r="A253" s="53" t="inlineStr">
        <is>
          <t>2025.969 Carson</t>
        </is>
      </c>
      <c r="B253" s="53" t="inlineStr">
        <is>
          <t>2098776</t>
        </is>
      </c>
      <c r="C253" s="53" t="inlineStr">
        <is>
          <t>TI</t>
        </is>
      </c>
      <c r="D253" s="53" t="inlineStr">
        <is>
          <t>Spencer Anderson</t>
        </is>
      </c>
      <c r="E253" s="53" t="inlineStr">
        <is>
          <t>DEEM, LLC</t>
        </is>
      </c>
      <c r="F253" s="53" t="inlineStr">
        <is>
          <t>ACTIVE</t>
        </is>
      </c>
      <c r="G253" s="53" t="inlineStr">
        <is>
          <t>FIXED_PRICE_WITH_AIA_BILLING</t>
        </is>
      </c>
      <c r="H253" s="53" t="inlineStr">
        <is>
          <t>Easton</t>
        </is>
      </c>
      <c r="I253" s="53" t="inlineStr">
        <is>
          <t>PA</t>
        </is>
      </c>
      <c r="J253" s="53" t="inlineStr">
        <is>
          <t>2025-03-14</t>
        </is>
      </c>
      <c r="K253" s="53" t="inlineStr">
        <is>
          <t>2025-04-14</t>
        </is>
      </c>
      <c r="L253" s="53" t="inlineStr">
        <is>
          <t>2025-12-16</t>
        </is>
      </c>
    </row>
    <row r="254">
      <c r="A254" s="53" t="inlineStr">
        <is>
          <t>MF.2025.992 Young's Creek Apartments</t>
        </is>
      </c>
      <c r="B254" s="53" t="inlineStr">
        <is>
          <t>2092684</t>
        </is>
      </c>
      <c r="C254" s="53" t="inlineStr">
        <is>
          <t>MF</t>
        </is>
      </c>
      <c r="D254" s="53" t="inlineStr">
        <is>
          <t>Kelden Tyson</t>
        </is>
      </c>
      <c r="E254" s="53" t="inlineStr">
        <is>
          <t>Shiel Sexton</t>
        </is>
      </c>
      <c r="F254" s="53" t="inlineStr">
        <is>
          <t>ACTIVE</t>
        </is>
      </c>
      <c r="G254" s="53" t="inlineStr">
        <is>
          <t>FIXED_PRICE_WITH_AIA_BILLING</t>
        </is>
      </c>
      <c r="H254" s="53" t="inlineStr">
        <is>
          <t>Franklin</t>
        </is>
      </c>
      <c r="I254" s="53" t="inlineStr">
        <is>
          <t>IN</t>
        </is>
      </c>
      <c r="J254" s="53" t="inlineStr">
        <is>
          <t>2025-12-16</t>
        </is>
      </c>
      <c r="K254" s="53" t="inlineStr">
        <is>
          <t>2026-01-05</t>
        </is>
      </c>
      <c r="L254" s="53" t="inlineStr">
        <is>
          <t>2026-05-18</t>
        </is>
      </c>
    </row>
    <row r="255">
      <c r="A255" s="53" t="inlineStr">
        <is>
          <t>MF.2025.976 Firefly Youth Housing</t>
        </is>
      </c>
      <c r="B255" s="53" t="inlineStr">
        <is>
          <t>2087575</t>
        </is>
      </c>
      <c r="C255" s="53" t="inlineStr">
        <is>
          <t>MF</t>
        </is>
      </c>
      <c r="D255" s="53" t="inlineStr">
        <is>
          <t>Spencer Anderson</t>
        </is>
      </c>
      <c r="E255" s="53" t="inlineStr">
        <is>
          <t>Stenz Corp</t>
        </is>
      </c>
      <c r="F255" s="53" t="inlineStr">
        <is>
          <t>ACTIVE</t>
        </is>
      </c>
      <c r="G255" s="53" t="inlineStr">
        <is>
          <t>FIXED_PRICE_WITH_AIA_BILLING</t>
        </is>
      </c>
      <c r="H255" s="53" t="inlineStr">
        <is>
          <t>Indianapolis</t>
        </is>
      </c>
      <c r="I255" s="53" t="inlineStr">
        <is>
          <t>IN</t>
        </is>
      </c>
      <c r="J255" s="53" t="inlineStr">
        <is>
          <t>2025-09-10</t>
        </is>
      </c>
      <c r="K255" s="53" t="inlineStr">
        <is>
          <t>2025-09-02</t>
        </is>
      </c>
      <c r="L255" s="53" t="inlineStr">
        <is>
          <t>2026-03-17</t>
        </is>
      </c>
    </row>
    <row r="256">
      <c r="A256" s="53" t="inlineStr">
        <is>
          <t>2026.1052 Project Panther</t>
        </is>
      </c>
      <c r="B256" s="53" t="inlineStr">
        <is>
          <t>2087565</t>
        </is>
      </c>
      <c r="C256" s="53" t="inlineStr">
        <is>
          <t>TI</t>
        </is>
      </c>
      <c r="D256" s="53" t="inlineStr">
        <is>
          <t>Spencer Anderson</t>
        </is>
      </c>
      <c r="E256" s="53" t="inlineStr">
        <is>
          <t>ARCO Design/Build</t>
        </is>
      </c>
      <c r="F256" s="53" t="inlineStr">
        <is>
          <t>ACTIVE</t>
        </is>
      </c>
      <c r="G256" s="53" t="inlineStr">
        <is>
          <t>FIXED_PRICE_WITH_AIA_BILLING</t>
        </is>
      </c>
      <c r="H256" s="53" t="inlineStr">
        <is>
          <t>Homestead</t>
        </is>
      </c>
      <c r="I256" s="53" t="inlineStr">
        <is>
          <t>PA</t>
        </is>
      </c>
      <c r="J256" s="53" t="inlineStr">
        <is>
          <t>2026-05-06</t>
        </is>
      </c>
      <c r="K256" s="53" t="inlineStr">
        <is>
          <t>2026-05-15</t>
        </is>
      </c>
      <c r="L256" s="53" t="inlineStr">
        <is>
          <t>2026-10-05</t>
        </is>
      </c>
    </row>
    <row r="257">
      <c r="A257" s="53" t="inlineStr">
        <is>
          <t>DS.2025.1762 Jeff West Builders for Steve Raker</t>
        </is>
      </c>
      <c r="B257" s="53" t="inlineStr">
        <is>
          <t>2067674</t>
        </is>
      </c>
      <c r="C257" s="53" t="inlineStr">
        <is>
          <t>DW</t>
        </is>
      </c>
      <c r="D257" s="53" t="inlineStr">
        <is>
          <t>(Unassigned)</t>
        </is>
      </c>
      <c r="E257" s="53" t="inlineStr">
        <is>
          <t>Jeff West Homes</t>
        </is>
      </c>
      <c r="F257" s="53" t="inlineStr">
        <is>
          <t>ACTIVE</t>
        </is>
      </c>
      <c r="G257" s="53" t="inlineStr">
        <is>
          <t>FIXED_PRICE</t>
        </is>
      </c>
      <c r="H257" s="53" t="inlineStr"/>
      <c r="I257" s="53" t="inlineStr"/>
      <c r="J257" s="53" t="inlineStr">
        <is>
          <t>2025-01-28</t>
        </is>
      </c>
      <c r="K257" s="53" t="inlineStr">
        <is>
          <t>2025-01-27</t>
        </is>
      </c>
      <c r="L257" s="53" t="inlineStr">
        <is>
          <t>2025-01-27</t>
        </is>
      </c>
    </row>
    <row r="258">
      <c r="A258" s="53" t="inlineStr">
        <is>
          <t>DS.2025.1759 Juan Lugo NC 01-22</t>
        </is>
      </c>
      <c r="B258" s="53" t="inlineStr">
        <is>
          <t>2061037</t>
        </is>
      </c>
      <c r="C258" s="53" t="inlineStr">
        <is>
          <t>DW</t>
        </is>
      </c>
      <c r="D258" s="53" t="inlineStr">
        <is>
          <t>(Unassigned)</t>
        </is>
      </c>
      <c r="E258" s="53" t="inlineStr">
        <is>
          <t>Lugo Contracting, LLC</t>
        </is>
      </c>
      <c r="F258" s="53" t="inlineStr">
        <is>
          <t>ACTIVE</t>
        </is>
      </c>
      <c r="G258" s="53" t="inlineStr">
        <is>
          <t>FIXED_PRICE</t>
        </is>
      </c>
      <c r="H258" s="53" t="inlineStr"/>
      <c r="I258" s="53" t="inlineStr"/>
      <c r="J258" s="53" t="inlineStr">
        <is>
          <t>2025-01-22</t>
        </is>
      </c>
      <c r="K258" s="53" t="inlineStr">
        <is>
          <t>2025-01-22</t>
        </is>
      </c>
      <c r="L258" s="53" t="inlineStr">
        <is>
          <t>2025-01-22</t>
        </is>
      </c>
    </row>
    <row r="259">
      <c r="A259" s="53" t="inlineStr">
        <is>
          <t>MF.2025.977 Civic Square Condos</t>
        </is>
      </c>
      <c r="B259" s="53" t="inlineStr">
        <is>
          <t>2040900</t>
        </is>
      </c>
      <c r="C259" s="53" t="inlineStr">
        <is>
          <t>MF</t>
        </is>
      </c>
      <c r="D259" s="53" t="inlineStr">
        <is>
          <t>Trevor Anderson</t>
        </is>
      </c>
      <c r="E259" s="53" t="inlineStr">
        <is>
          <t>Novo Development Group, LLC</t>
        </is>
      </c>
      <c r="F259" s="53" t="inlineStr">
        <is>
          <t>ACTIVE</t>
        </is>
      </c>
      <c r="G259" s="53" t="inlineStr">
        <is>
          <t>FIXED_PRICE_WITH_AIA_BILLING</t>
        </is>
      </c>
      <c r="H259" s="53" t="inlineStr">
        <is>
          <t>Carmel</t>
        </is>
      </c>
      <c r="I259" s="53" t="inlineStr">
        <is>
          <t>IN</t>
        </is>
      </c>
      <c r="J259" s="53" t="inlineStr">
        <is>
          <t>2025-09-23</t>
        </is>
      </c>
      <c r="K259" s="53" t="inlineStr">
        <is>
          <t>2025-10-06</t>
        </is>
      </c>
      <c r="L259" s="53" t="inlineStr">
        <is>
          <t>2026-03-31</t>
        </is>
      </c>
    </row>
    <row r="260">
      <c r="A260" s="53" t="inlineStr">
        <is>
          <t>2025.966 C5 Bullitt III Logistics Center Warehouse</t>
        </is>
      </c>
      <c r="B260" s="53" t="inlineStr">
        <is>
          <t>2037261</t>
        </is>
      </c>
      <c r="C260" s="53" t="inlineStr">
        <is>
          <t>TI</t>
        </is>
      </c>
      <c r="D260" s="53" t="inlineStr">
        <is>
          <t>Trevor Anderson</t>
        </is>
      </c>
      <c r="E260" s="53" t="inlineStr">
        <is>
          <t>The Peterson Company, LLC</t>
        </is>
      </c>
      <c r="F260" s="53" t="inlineStr">
        <is>
          <t>ACTIVE</t>
        </is>
      </c>
      <c r="G260" s="53" t="inlineStr">
        <is>
          <t>FIXED_PRICE_WITH_AIA_BILLING</t>
        </is>
      </c>
      <c r="H260" s="53" t="inlineStr">
        <is>
          <t>Shepherdsville</t>
        </is>
      </c>
      <c r="I260" s="53" t="inlineStr">
        <is>
          <t>KY</t>
        </is>
      </c>
      <c r="J260" s="53" t="inlineStr">
        <is>
          <t>2025-07-10</t>
        </is>
      </c>
      <c r="K260" s="53" t="inlineStr">
        <is>
          <t>2025-07-23</t>
        </is>
      </c>
      <c r="L260" s="53" t="inlineStr">
        <is>
          <t>2025-12-31</t>
        </is>
      </c>
    </row>
    <row r="261">
      <c r="A261" s="53" t="inlineStr">
        <is>
          <t>2025.960 Langham Whiteland South Lockers</t>
        </is>
      </c>
      <c r="B261" s="53" t="inlineStr">
        <is>
          <t>2028240</t>
        </is>
      </c>
      <c r="C261" s="53" t="inlineStr">
        <is>
          <t>TI</t>
        </is>
      </c>
      <c r="D261" s="53" t="inlineStr">
        <is>
          <t>Spencer Anderson</t>
        </is>
      </c>
      <c r="E261" s="53" t="inlineStr">
        <is>
          <t>DEEM, LLC</t>
        </is>
      </c>
      <c r="F261" s="53" t="inlineStr">
        <is>
          <t>ACTIVE</t>
        </is>
      </c>
      <c r="G261" s="53" t="inlineStr">
        <is>
          <t>FIXED_PRICE_WITH_AIA_BILLING</t>
        </is>
      </c>
      <c r="H261" s="53" t="inlineStr">
        <is>
          <t>Whiteland</t>
        </is>
      </c>
      <c r="I261" s="53" t="inlineStr">
        <is>
          <t>IN</t>
        </is>
      </c>
      <c r="J261" s="53" t="inlineStr">
        <is>
          <t>2025-02-20</t>
        </is>
      </c>
      <c r="K261" s="53" t="inlineStr">
        <is>
          <t>2025-02-05</t>
        </is>
      </c>
      <c r="L261" s="53" t="inlineStr">
        <is>
          <t>2025-08-31</t>
        </is>
      </c>
    </row>
    <row r="262">
      <c r="A262" s="53" t="inlineStr">
        <is>
          <t>2024.957 SanMar AWR</t>
        </is>
      </c>
      <c r="B262" s="53" t="inlineStr">
        <is>
          <t>2025315</t>
        </is>
      </c>
      <c r="C262" s="53" t="inlineStr">
        <is>
          <t>TI</t>
        </is>
      </c>
      <c r="D262" s="53" t="inlineStr">
        <is>
          <t>Cole Garriott</t>
        </is>
      </c>
      <c r="E262" s="53" t="inlineStr">
        <is>
          <t>The Peterson Company, LLC</t>
        </is>
      </c>
      <c r="F262" s="53" t="inlineStr">
        <is>
          <t>ACTIVE</t>
        </is>
      </c>
      <c r="G262" s="53" t="inlineStr">
        <is>
          <t>FIXED_PRICE_WITH_AIA_BILLING</t>
        </is>
      </c>
      <c r="H262" s="53" t="inlineStr">
        <is>
          <t>Ashland</t>
        </is>
      </c>
      <c r="I262" s="53" t="inlineStr">
        <is>
          <t>VA</t>
        </is>
      </c>
      <c r="J262" s="53" t="inlineStr">
        <is>
          <t>2024-12-19</t>
        </is>
      </c>
      <c r="K262" s="53" t="inlineStr">
        <is>
          <t>2024-12-16</t>
        </is>
      </c>
      <c r="L262" s="53" t="inlineStr">
        <is>
          <t>2025-01-21</t>
        </is>
      </c>
    </row>
    <row r="263">
      <c r="A263" s="53" t="inlineStr">
        <is>
          <t>2024.953 Motorworks</t>
        </is>
      </c>
      <c r="B263" s="53" t="inlineStr">
        <is>
          <t>2012203</t>
        </is>
      </c>
      <c r="C263" s="53" t="inlineStr">
        <is>
          <t>TI</t>
        </is>
      </c>
      <c r="D263" s="53" t="inlineStr">
        <is>
          <t>Tommy Cohoat</t>
        </is>
      </c>
      <c r="E263" s="53" t="inlineStr">
        <is>
          <t>Precision Dry Wall</t>
        </is>
      </c>
      <c r="F263" s="53" t="inlineStr">
        <is>
          <t>ACTIVE</t>
        </is>
      </c>
      <c r="G263" s="53" t="inlineStr">
        <is>
          <t>FIXED_PRICE</t>
        </is>
      </c>
      <c r="H263" s="53" t="inlineStr">
        <is>
          <t>Westfield</t>
        </is>
      </c>
      <c r="I263" s="53" t="inlineStr">
        <is>
          <t>IN</t>
        </is>
      </c>
      <c r="J263" s="53" t="inlineStr">
        <is>
          <t>2024-12-23</t>
        </is>
      </c>
      <c r="K263" s="53" t="inlineStr">
        <is>
          <t>2024-12-03</t>
        </is>
      </c>
      <c r="L263" s="53" t="inlineStr">
        <is>
          <t>2024-12-20</t>
        </is>
      </c>
    </row>
    <row r="264">
      <c r="A264" s="53" t="inlineStr">
        <is>
          <t>MF.2025.963 Home 2 Suites</t>
        </is>
      </c>
      <c r="B264" s="53" t="inlineStr">
        <is>
          <t>2009228</t>
        </is>
      </c>
      <c r="C264" s="53" t="inlineStr">
        <is>
          <t>MF</t>
        </is>
      </c>
      <c r="D264" s="53" t="inlineStr">
        <is>
          <t>Kelden Tyson</t>
        </is>
      </c>
      <c r="E264" s="53" t="inlineStr">
        <is>
          <t>Meyer Najem</t>
        </is>
      </c>
      <c r="F264" s="53" t="inlineStr">
        <is>
          <t>ACTIVE</t>
        </is>
      </c>
      <c r="G264" s="53" t="inlineStr">
        <is>
          <t>FIXED_PRICE_WITH_AIA_BILLING</t>
        </is>
      </c>
      <c r="H264" s="53" t="inlineStr">
        <is>
          <t>Noblesville</t>
        </is>
      </c>
      <c r="I264" s="53" t="inlineStr">
        <is>
          <t>IN</t>
        </is>
      </c>
      <c r="J264" s="53" t="inlineStr">
        <is>
          <t>2025-01-31</t>
        </is>
      </c>
      <c r="K264" s="53" t="inlineStr">
        <is>
          <t>2025-02-07</t>
        </is>
      </c>
      <c r="L264" s="53" t="inlineStr">
        <is>
          <t>2025-12-31</t>
        </is>
      </c>
    </row>
    <row r="265">
      <c r="A265" s="53" t="inlineStr">
        <is>
          <t>DS.2024.1656 Juan Lugo 1202 NC</t>
        </is>
      </c>
      <c r="B265" s="53" t="inlineStr">
        <is>
          <t>1989297</t>
        </is>
      </c>
      <c r="C265" s="53" t="inlineStr">
        <is>
          <t>DW</t>
        </is>
      </c>
      <c r="D265" s="53" t="inlineStr">
        <is>
          <t>(Unassigned)</t>
        </is>
      </c>
      <c r="E265" s="53" t="inlineStr">
        <is>
          <t>Lugo Contracting, LLC</t>
        </is>
      </c>
      <c r="F265" s="53" t="inlineStr">
        <is>
          <t>ACTIVE</t>
        </is>
      </c>
      <c r="G265" s="53" t="inlineStr">
        <is>
          <t>FIXED_PRICE</t>
        </is>
      </c>
      <c r="H265" s="53" t="inlineStr"/>
      <c r="I265" s="53" t="inlineStr"/>
      <c r="J265" s="53" t="inlineStr">
        <is>
          <t>2024-12-26</t>
        </is>
      </c>
      <c r="K265" s="53" t="inlineStr">
        <is>
          <t>2024-12-02</t>
        </is>
      </c>
      <c r="L265" s="53" t="inlineStr">
        <is>
          <t>2024-12-02</t>
        </is>
      </c>
    </row>
    <row r="266">
      <c r="A266" s="53" t="inlineStr">
        <is>
          <t>MF.2024.941 Oak Trace</t>
        </is>
      </c>
      <c r="B266" s="53" t="inlineStr">
        <is>
          <t>1956827</t>
        </is>
      </c>
      <c r="C266" s="53" t="inlineStr">
        <is>
          <t>MF</t>
        </is>
      </c>
      <c r="D266" s="53" t="inlineStr">
        <is>
          <t>Dustin Hurt</t>
        </is>
      </c>
      <c r="E266" s="53" t="inlineStr">
        <is>
          <t>Westfield Community Management, LLC</t>
        </is>
      </c>
      <c r="F266" s="53" t="inlineStr">
        <is>
          <t>ACTIVE</t>
        </is>
      </c>
      <c r="G266" s="53" t="inlineStr">
        <is>
          <t>FIXED_PRICE_WITH_AIA_BILLING</t>
        </is>
      </c>
      <c r="H266" s="53" t="inlineStr">
        <is>
          <t>Westfield</t>
        </is>
      </c>
      <c r="I266" s="53" t="inlineStr">
        <is>
          <t>IN</t>
        </is>
      </c>
      <c r="J266" s="53" t="inlineStr">
        <is>
          <t>2024-10-25</t>
        </is>
      </c>
      <c r="K266" s="53" t="inlineStr">
        <is>
          <t>2024-10-28</t>
        </is>
      </c>
      <c r="L266" s="53" t="inlineStr">
        <is>
          <t>2025-03-31</t>
        </is>
      </c>
    </row>
    <row r="267">
      <c r="A267" s="53" t="inlineStr">
        <is>
          <t>MF.2025.972 Union Flats - Fishers</t>
        </is>
      </c>
      <c r="B267" s="53" t="inlineStr">
        <is>
          <t>1900804</t>
        </is>
      </c>
      <c r="C267" s="53" t="inlineStr">
        <is>
          <t>MF</t>
        </is>
      </c>
      <c r="D267" s="53" t="inlineStr">
        <is>
          <t>Ben Garza</t>
        </is>
      </c>
      <c r="E267" s="53" t="inlineStr">
        <is>
          <t>Thompson Thrift Construction</t>
        </is>
      </c>
      <c r="F267" s="53" t="inlineStr">
        <is>
          <t>ACTIVE</t>
        </is>
      </c>
      <c r="G267" s="53" t="inlineStr">
        <is>
          <t>FIXED_PRICE_WITH_AIA_BILLING</t>
        </is>
      </c>
      <c r="H267" s="53" t="inlineStr">
        <is>
          <t>Fishers</t>
        </is>
      </c>
      <c r="I267" s="53" t="inlineStr">
        <is>
          <t>IN</t>
        </is>
      </c>
      <c r="J267" s="53" t="inlineStr">
        <is>
          <t>2025-06-27</t>
        </is>
      </c>
      <c r="K267" s="53" t="inlineStr">
        <is>
          <t>2025-12-08</t>
        </is>
      </c>
      <c r="L267" s="53" t="inlineStr">
        <is>
          <t>2026-12-31</t>
        </is>
      </c>
    </row>
    <row r="268">
      <c r="A268" s="53" t="inlineStr">
        <is>
          <t>2024.929 DEEM Warehouse</t>
        </is>
      </c>
      <c r="B268" s="53" t="inlineStr">
        <is>
          <t>1870076</t>
        </is>
      </c>
      <c r="C268" s="53" t="inlineStr">
        <is>
          <t>TI</t>
        </is>
      </c>
      <c r="D268" s="53" t="inlineStr">
        <is>
          <t>Tommy Cohoat</t>
        </is>
      </c>
      <c r="E268" s="53" t="inlineStr">
        <is>
          <t>DEEM, LLC</t>
        </is>
      </c>
      <c r="F268" s="53" t="inlineStr">
        <is>
          <t>ACTIVE</t>
        </is>
      </c>
      <c r="G268" s="53" t="inlineStr">
        <is>
          <t>FIXED_PRICE</t>
        </is>
      </c>
      <c r="H268" s="53" t="inlineStr">
        <is>
          <t>Indianapolis</t>
        </is>
      </c>
      <c r="I268" s="53" t="inlineStr">
        <is>
          <t>IN</t>
        </is>
      </c>
      <c r="J268" s="53" t="inlineStr">
        <is>
          <t>2024-09-10</t>
        </is>
      </c>
      <c r="K268" s="53" t="inlineStr">
        <is>
          <t>2024-08-12</t>
        </is>
      </c>
      <c r="L268" s="53" t="inlineStr">
        <is>
          <t>2025-11-03</t>
        </is>
      </c>
    </row>
    <row r="269">
      <c r="A269" s="53" t="inlineStr">
        <is>
          <t>MF.2024.924 Monon Trail Elementary</t>
        </is>
      </c>
      <c r="B269" s="53" t="inlineStr">
        <is>
          <t>1854607</t>
        </is>
      </c>
      <c r="C269" s="53" t="inlineStr">
        <is>
          <t>MF</t>
        </is>
      </c>
      <c r="D269" s="53" t="inlineStr">
        <is>
          <t>Dustin Hurt</t>
        </is>
      </c>
      <c r="E269" s="53" t="inlineStr">
        <is>
          <t>LTB Construction, Inc.</t>
        </is>
      </c>
      <c r="F269" s="53" t="inlineStr">
        <is>
          <t>ACTIVE</t>
        </is>
      </c>
      <c r="G269" s="53" t="inlineStr">
        <is>
          <t>COST_PLUS</t>
        </is>
      </c>
      <c r="H269" s="53" t="inlineStr">
        <is>
          <t>Westfield</t>
        </is>
      </c>
      <c r="I269" s="53" t="inlineStr">
        <is>
          <t>IN</t>
        </is>
      </c>
      <c r="J269" s="53" t="inlineStr">
        <is>
          <t>2024-08-07</t>
        </is>
      </c>
      <c r="K269" s="53" t="inlineStr">
        <is>
          <t>2024-07-29</t>
        </is>
      </c>
      <c r="L269" s="53" t="inlineStr">
        <is>
          <t>2024-08-09</t>
        </is>
      </c>
    </row>
    <row r="270">
      <c r="A270" s="53" t="inlineStr">
        <is>
          <t>2024.920 SMC Mezzanine HVAC</t>
        </is>
      </c>
      <c r="B270" s="53" t="inlineStr">
        <is>
          <t>1842206</t>
        </is>
      </c>
      <c r="C270" s="53" t="inlineStr">
        <is>
          <t>TI</t>
        </is>
      </c>
      <c r="D270" s="53" t="inlineStr">
        <is>
          <t>Trevor Anderson</t>
        </is>
      </c>
      <c r="E270" s="53" t="inlineStr">
        <is>
          <t>DEEM, LLC</t>
        </is>
      </c>
      <c r="F270" s="53" t="inlineStr">
        <is>
          <t>ACTIVE</t>
        </is>
      </c>
      <c r="G270" s="53" t="inlineStr">
        <is>
          <t>FIXED_PRICE</t>
        </is>
      </c>
      <c r="H270" s="53" t="inlineStr">
        <is>
          <t>Noblesville</t>
        </is>
      </c>
      <c r="I270" s="53" t="inlineStr">
        <is>
          <t>IN</t>
        </is>
      </c>
      <c r="J270" s="53" t="inlineStr">
        <is>
          <t>2024-08-01</t>
        </is>
      </c>
      <c r="K270" s="53" t="inlineStr">
        <is>
          <t>2024-07-26</t>
        </is>
      </c>
      <c r="L270" s="53" t="inlineStr">
        <is>
          <t>2024-07-31</t>
        </is>
      </c>
    </row>
    <row r="271">
      <c r="A271" s="53" t="inlineStr">
        <is>
          <t>MF.2025.1007 The Approach</t>
        </is>
      </c>
      <c r="B271" s="53" t="inlineStr">
        <is>
          <t>1839016</t>
        </is>
      </c>
      <c r="C271" s="53" t="inlineStr">
        <is>
          <t>MF</t>
        </is>
      </c>
      <c r="D271" s="53" t="inlineStr">
        <is>
          <t>Kelden Tyson</t>
        </is>
      </c>
      <c r="E271" s="53" t="inlineStr">
        <is>
          <t>KCG</t>
        </is>
      </c>
      <c r="F271" s="53" t="inlineStr">
        <is>
          <t>ACTIVE</t>
        </is>
      </c>
      <c r="G271" s="53" t="inlineStr">
        <is>
          <t>FIXED_PRICE_WITH_AIA_BILLING</t>
        </is>
      </c>
      <c r="H271" s="53" t="inlineStr">
        <is>
          <t>Westfield</t>
        </is>
      </c>
      <c r="I271" s="53" t="inlineStr">
        <is>
          <t>IN</t>
        </is>
      </c>
      <c r="J271" s="53" t="inlineStr">
        <is>
          <t>2025-10-31</t>
        </is>
      </c>
      <c r="K271" s="53" t="inlineStr">
        <is>
          <t>2026-04-01</t>
        </is>
      </c>
      <c r="L271" s="53" t="inlineStr">
        <is>
          <t>2027-07-14</t>
        </is>
      </c>
    </row>
    <row r="272">
      <c r="A272" s="53" t="inlineStr">
        <is>
          <t>DS.2024.1378 Ketchum Basement</t>
        </is>
      </c>
      <c r="B272" s="53" t="inlineStr">
        <is>
          <t>1820214</t>
        </is>
      </c>
      <c r="C272" s="53" t="inlineStr">
        <is>
          <t>DW</t>
        </is>
      </c>
      <c r="D272" s="53" t="inlineStr">
        <is>
          <t>(Unassigned)</t>
        </is>
      </c>
      <c r="E272" s="53" t="inlineStr">
        <is>
          <t>Mendoza</t>
        </is>
      </c>
      <c r="F272" s="53" t="inlineStr">
        <is>
          <t>ACTIVE</t>
        </is>
      </c>
      <c r="G272" s="53" t="inlineStr">
        <is>
          <t>FIXED_PRICE</t>
        </is>
      </c>
      <c r="H272" s="53" t="inlineStr"/>
      <c r="I272" s="53" t="inlineStr"/>
      <c r="J272" s="53" t="inlineStr">
        <is>
          <t>2024-07-11</t>
        </is>
      </c>
      <c r="K272" s="53" t="inlineStr">
        <is>
          <t>2024-07-12</t>
        </is>
      </c>
      <c r="L272" s="53" t="inlineStr">
        <is>
          <t>2024-07-12</t>
        </is>
      </c>
    </row>
    <row r="273">
      <c r="A273" s="53" t="inlineStr">
        <is>
          <t>DS.2024.1377 Warehouse Pickup 0710 - 2824 Sunnyfield Ct</t>
        </is>
      </c>
      <c r="B273" s="53" t="inlineStr">
        <is>
          <t>1819558</t>
        </is>
      </c>
      <c r="C273" s="53" t="inlineStr">
        <is>
          <t>DW</t>
        </is>
      </c>
      <c r="D273" s="53" t="inlineStr">
        <is>
          <t>(Unassigned)</t>
        </is>
      </c>
      <c r="E273" s="53" t="inlineStr">
        <is>
          <t>Imperial Design</t>
        </is>
      </c>
      <c r="F273" s="53" t="inlineStr">
        <is>
          <t>ACTIVE</t>
        </is>
      </c>
      <c r="G273" s="53" t="inlineStr">
        <is>
          <t>FIXED_PRICE</t>
        </is>
      </c>
      <c r="H273" s="53" t="inlineStr"/>
      <c r="I273" s="53" t="inlineStr"/>
      <c r="J273" s="53" t="inlineStr">
        <is>
          <t>2024-08-05</t>
        </is>
      </c>
      <c r="K273" s="53" t="inlineStr">
        <is>
          <t>2024-07-10</t>
        </is>
      </c>
      <c r="L273" s="53" t="inlineStr">
        <is>
          <t>2024-07-10</t>
        </is>
      </c>
    </row>
    <row r="274">
      <c r="A274" s="53" t="inlineStr">
        <is>
          <t>2024.913 Walmart Phoenix</t>
        </is>
      </c>
      <c r="B274" s="53" t="inlineStr">
        <is>
          <t>1814679</t>
        </is>
      </c>
      <c r="C274" s="53" t="inlineStr">
        <is>
          <t>TI</t>
        </is>
      </c>
      <c r="D274" s="53" t="inlineStr">
        <is>
          <t>Cole Garriott</t>
        </is>
      </c>
      <c r="E274" s="53" t="inlineStr">
        <is>
          <t>DEEM, LLC</t>
        </is>
      </c>
      <c r="F274" s="53" t="inlineStr">
        <is>
          <t>ACTIVE</t>
        </is>
      </c>
      <c r="G274" s="53" t="inlineStr">
        <is>
          <t>FIXED_PRICE_WITH_AIA_BILLING</t>
        </is>
      </c>
      <c r="H274" s="53" t="inlineStr">
        <is>
          <t>Litchfield Park</t>
        </is>
      </c>
      <c r="I274" s="53" t="inlineStr">
        <is>
          <t>AZ</t>
        </is>
      </c>
      <c r="J274" s="53" t="inlineStr">
        <is>
          <t>2024-08-05</t>
        </is>
      </c>
      <c r="K274" s="53" t="inlineStr">
        <is>
          <t>2024-07-29</t>
        </is>
      </c>
      <c r="L274" s="53" t="inlineStr">
        <is>
          <t>2026-01-30</t>
        </is>
      </c>
    </row>
    <row r="275">
      <c r="A275" s="53" t="inlineStr">
        <is>
          <t>MF.2025.975 The Eleven - Monon Square</t>
        </is>
      </c>
      <c r="B275" s="53" t="inlineStr">
        <is>
          <t>1806764</t>
        </is>
      </c>
      <c r="C275" s="53" t="inlineStr">
        <is>
          <t>MF</t>
        </is>
      </c>
      <c r="D275" s="53" t="inlineStr">
        <is>
          <t>Shawn Welcher</t>
        </is>
      </c>
      <c r="E275" s="53" t="inlineStr">
        <is>
          <t>Centric Projects, LLC</t>
        </is>
      </c>
      <c r="F275" s="53" t="inlineStr">
        <is>
          <t>ACTIVE</t>
        </is>
      </c>
      <c r="G275" s="53" t="inlineStr">
        <is>
          <t>FIXED_PRICE_WITH_AIA_BILLING</t>
        </is>
      </c>
      <c r="H275" s="53" t="inlineStr">
        <is>
          <t>Carmel</t>
        </is>
      </c>
      <c r="I275" s="53" t="inlineStr">
        <is>
          <t>IN</t>
        </is>
      </c>
      <c r="J275" s="53" t="inlineStr">
        <is>
          <t>2026-04-28</t>
        </is>
      </c>
      <c r="K275" s="53" t="inlineStr">
        <is>
          <t>2026-04-15</t>
        </is>
      </c>
      <c r="L275" s="53" t="inlineStr">
        <is>
          <t>2026-06-26</t>
        </is>
      </c>
    </row>
    <row r="276">
      <c r="A276" s="53" t="inlineStr">
        <is>
          <t>MF.2025.989-1 Springdale Cinema - Paint</t>
        </is>
      </c>
      <c r="B276" s="53" t="inlineStr">
        <is>
          <t>1803611</t>
        </is>
      </c>
      <c r="C276" s="53" t="inlineStr">
        <is>
          <t>MF</t>
        </is>
      </c>
      <c r="D276" s="53" t="inlineStr">
        <is>
          <t>Ben Garza</t>
        </is>
      </c>
      <c r="E276" s="53" t="inlineStr">
        <is>
          <t>MILHAUS Construction</t>
        </is>
      </c>
      <c r="F276" s="53" t="inlineStr">
        <is>
          <t>ACTIVE</t>
        </is>
      </c>
      <c r="G276" s="53" t="inlineStr">
        <is>
          <t>FIXED_PRICE_WITH_AIA_BILLING</t>
        </is>
      </c>
      <c r="H276" s="53" t="inlineStr">
        <is>
          <t>Springdale</t>
        </is>
      </c>
      <c r="I276" s="53" t="inlineStr">
        <is>
          <t>OH</t>
        </is>
      </c>
      <c r="J276" s="53" t="inlineStr">
        <is>
          <t>2025-08-06</t>
        </is>
      </c>
      <c r="K276" s="53" t="inlineStr">
        <is>
          <t>2026-02-01</t>
        </is>
      </c>
      <c r="L276" s="53" t="inlineStr">
        <is>
          <t>2026-10-01</t>
        </is>
      </c>
    </row>
    <row r="277">
      <c r="A277" s="53" t="inlineStr">
        <is>
          <t>MF.2024.906 Shamrock Elementary LGI Classrooms</t>
        </is>
      </c>
      <c r="B277" s="53" t="inlineStr">
        <is>
          <t>1794757</t>
        </is>
      </c>
      <c r="C277" s="53" t="inlineStr">
        <is>
          <t>MF</t>
        </is>
      </c>
      <c r="D277" s="53" t="inlineStr">
        <is>
          <t>Dustin Hurt</t>
        </is>
      </c>
      <c r="E277" s="53" t="inlineStr">
        <is>
          <t>LTB Construction, Inc.</t>
        </is>
      </c>
      <c r="F277" s="53" t="inlineStr">
        <is>
          <t>ACTIVE</t>
        </is>
      </c>
      <c r="G277" s="53" t="inlineStr">
        <is>
          <t>FIXED_PRICE</t>
        </is>
      </c>
      <c r="H277" s="53" t="inlineStr">
        <is>
          <t>Westfield</t>
        </is>
      </c>
      <c r="I277" s="53" t="inlineStr">
        <is>
          <t>IN</t>
        </is>
      </c>
      <c r="J277" s="53" t="inlineStr">
        <is>
          <t>2024-06-19</t>
        </is>
      </c>
      <c r="K277" s="53" t="inlineStr">
        <is>
          <t>2024-06-22</t>
        </is>
      </c>
      <c r="L277" s="53" t="inlineStr">
        <is>
          <t>2024-07-31</t>
        </is>
      </c>
    </row>
    <row r="278">
      <c r="A278" s="53" t="inlineStr">
        <is>
          <t>DS.2024.1346 10660 Pete Dye Ridge</t>
        </is>
      </c>
      <c r="B278" s="53" t="inlineStr">
        <is>
          <t>1787241</t>
        </is>
      </c>
      <c r="C278" s="53" t="inlineStr">
        <is>
          <t>DW</t>
        </is>
      </c>
      <c r="D278" s="53" t="inlineStr">
        <is>
          <t>(Unassigned)</t>
        </is>
      </c>
      <c r="E278" s="53" t="inlineStr">
        <is>
          <t>Promasters Drywall and Painting (Brian Figueroa)</t>
        </is>
      </c>
      <c r="F278" s="53" t="inlineStr">
        <is>
          <t>ACTIVE</t>
        </is>
      </c>
      <c r="G278" s="53" t="inlineStr">
        <is>
          <t>FIXED_PRICE</t>
        </is>
      </c>
      <c r="H278" s="53" t="inlineStr"/>
      <c r="I278" s="53" t="inlineStr"/>
      <c r="J278" s="53" t="inlineStr">
        <is>
          <t>2024-06-13</t>
        </is>
      </c>
      <c r="K278" s="53" t="inlineStr">
        <is>
          <t>2024-06-12</t>
        </is>
      </c>
      <c r="L278" s="53" t="inlineStr">
        <is>
          <t>2024-06-12</t>
        </is>
      </c>
    </row>
    <row r="279">
      <c r="A279" s="53" t="inlineStr">
        <is>
          <t>MF.2024.903 Mirka Office Buildout</t>
        </is>
      </c>
      <c r="B279" s="53" t="inlineStr">
        <is>
          <t>1779490</t>
        </is>
      </c>
      <c r="C279" s="53" t="inlineStr">
        <is>
          <t>MF</t>
        </is>
      </c>
      <c r="D279" s="53" t="inlineStr">
        <is>
          <t>Cole Garriott</t>
        </is>
      </c>
      <c r="E279" s="53" t="inlineStr">
        <is>
          <t>DEEM, LLC</t>
        </is>
      </c>
      <c r="F279" s="53" t="inlineStr">
        <is>
          <t>ACTIVE</t>
        </is>
      </c>
      <c r="G279" s="53" t="inlineStr">
        <is>
          <t>FIXED_PRICE_WITH_AIA_BILLING</t>
        </is>
      </c>
      <c r="H279" s="53" t="inlineStr">
        <is>
          <t>Plainfield</t>
        </is>
      </c>
      <c r="I279" s="53" t="inlineStr">
        <is>
          <t>IN</t>
        </is>
      </c>
      <c r="J279" s="53" t="inlineStr">
        <is>
          <t>2025-01-21</t>
        </is>
      </c>
      <c r="K279" s="53" t="inlineStr">
        <is>
          <t>2025-01-06</t>
        </is>
      </c>
      <c r="L279" s="53" t="inlineStr">
        <is>
          <t>2025-04-08</t>
        </is>
      </c>
    </row>
    <row r="280">
      <c r="A280" s="53" t="inlineStr">
        <is>
          <t>MF.2024.927 Jeffersonian Apartments</t>
        </is>
      </c>
      <c r="B280" s="53" t="inlineStr">
        <is>
          <t>1779189</t>
        </is>
      </c>
      <c r="C280" s="53" t="inlineStr">
        <is>
          <t>MF</t>
        </is>
      </c>
      <c r="D280" s="53" t="inlineStr">
        <is>
          <t>Ben Garza</t>
        </is>
      </c>
      <c r="E280" s="53" t="inlineStr">
        <is>
          <t>Stenz Corp</t>
        </is>
      </c>
      <c r="F280" s="53" t="inlineStr">
        <is>
          <t>ACTIVE</t>
        </is>
      </c>
      <c r="G280" s="53" t="inlineStr">
        <is>
          <t>FIXED_PRICE_WITH_AIA_BILLING</t>
        </is>
      </c>
      <c r="H280" s="53" t="inlineStr">
        <is>
          <t>Lafayette</t>
        </is>
      </c>
      <c r="I280" s="53" t="inlineStr">
        <is>
          <t>IN</t>
        </is>
      </c>
      <c r="J280" s="53" t="inlineStr">
        <is>
          <t>2024-12-19</t>
        </is>
      </c>
      <c r="K280" s="53" t="inlineStr">
        <is>
          <t>2025-04-01</t>
        </is>
      </c>
      <c r="L280" s="53" t="inlineStr">
        <is>
          <t>2025-09-30</t>
        </is>
      </c>
    </row>
    <row r="281">
      <c r="A281" s="53" t="inlineStr">
        <is>
          <t>DS.2024 8503 N 600 W Fountaintown QUOTE</t>
        </is>
      </c>
      <c r="B281" s="53" t="inlineStr">
        <is>
          <t>1772287</t>
        </is>
      </c>
      <c r="C281" s="53" t="inlineStr">
        <is>
          <t>DW</t>
        </is>
      </c>
      <c r="D281" s="53" t="inlineStr">
        <is>
          <t>(Unassigned)</t>
        </is>
      </c>
      <c r="E281" s="53" t="inlineStr">
        <is>
          <t>TC Indy</t>
        </is>
      </c>
      <c r="F281" s="53" t="inlineStr">
        <is>
          <t>ACTIVE</t>
        </is>
      </c>
      <c r="G281" s="53" t="inlineStr">
        <is>
          <t>FIXED_PRICE</t>
        </is>
      </c>
      <c r="H281" s="53" t="inlineStr"/>
      <c r="I281" s="53" t="inlineStr"/>
      <c r="J281" s="53" t="inlineStr">
        <is>
          <t>2024-05-31</t>
        </is>
      </c>
      <c r="K281" s="53" t="inlineStr">
        <is>
          <t>2024-05-31</t>
        </is>
      </c>
      <c r="L281" s="53" t="inlineStr">
        <is>
          <t>2024-05-31</t>
        </is>
      </c>
    </row>
    <row r="282">
      <c r="A282" s="53" t="inlineStr">
        <is>
          <t>1234.567 Test Job</t>
        </is>
      </c>
      <c r="B282" s="53" t="inlineStr">
        <is>
          <t>1735717</t>
        </is>
      </c>
      <c r="C282" s="53" t="inlineStr">
        <is>
          <t>UN</t>
        </is>
      </c>
      <c r="D282" s="53" t="inlineStr">
        <is>
          <t>(Unassigned)</t>
        </is>
      </c>
      <c r="E282" s="53" t="inlineStr">
        <is>
          <t>Sample Client</t>
        </is>
      </c>
      <c r="F282" s="53" t="inlineStr">
        <is>
          <t>ACTIVE</t>
        </is>
      </c>
      <c r="G282" s="53" t="inlineStr">
        <is>
          <t>FIXED_PRICE_WITH_AIA_BILLING</t>
        </is>
      </c>
      <c r="H282" s="53" t="inlineStr">
        <is>
          <t>Indianapolis</t>
        </is>
      </c>
      <c r="I282" s="53" t="inlineStr">
        <is>
          <t>IN</t>
        </is>
      </c>
      <c r="J282" s="53" t="inlineStr">
        <is>
          <t>2024-11-04</t>
        </is>
      </c>
      <c r="K282" s="53" t="inlineStr"/>
      <c r="L282" s="53" t="inlineStr"/>
    </row>
    <row r="283">
      <c r="A283" s="53" t="inlineStr">
        <is>
          <t>MF.2024.894 Hamilton County Jail Boiler Mechanical Pad</t>
        </is>
      </c>
      <c r="B283" s="53" t="inlineStr">
        <is>
          <t>1724469</t>
        </is>
      </c>
      <c r="C283" s="53" t="inlineStr">
        <is>
          <t>MF</t>
        </is>
      </c>
      <c r="D283" s="53" t="inlineStr">
        <is>
          <t>Dustin Hurt</t>
        </is>
      </c>
      <c r="E283" s="53" t="inlineStr">
        <is>
          <t>DEEM, LLC</t>
        </is>
      </c>
      <c r="F283" s="53" t="inlineStr">
        <is>
          <t>ACTIVE</t>
        </is>
      </c>
      <c r="G283" s="53" t="inlineStr">
        <is>
          <t>FIXED_PRICE</t>
        </is>
      </c>
      <c r="H283" s="53" t="inlineStr"/>
      <c r="I283" s="53" t="inlineStr"/>
      <c r="J283" s="53" t="inlineStr">
        <is>
          <t>2024-04-24</t>
        </is>
      </c>
      <c r="K283" s="53" t="inlineStr">
        <is>
          <t>2024-06-25</t>
        </is>
      </c>
      <c r="L283" s="53" t="inlineStr">
        <is>
          <t>2024-08-16</t>
        </is>
      </c>
    </row>
    <row r="284">
      <c r="A284" s="53" t="inlineStr">
        <is>
          <t>MF.2024.892 The Lofts at Headwaters Park</t>
        </is>
      </c>
      <c r="B284" s="53" t="inlineStr">
        <is>
          <t>1710251</t>
        </is>
      </c>
      <c r="C284" s="53" t="inlineStr">
        <is>
          <t>MF</t>
        </is>
      </c>
      <c r="D284" s="53" t="inlineStr">
        <is>
          <t>Ben Garza</t>
        </is>
      </c>
      <c r="E284" s="53" t="inlineStr">
        <is>
          <t>J.C. Hart Company, Inc.</t>
        </is>
      </c>
      <c r="F284" s="53" t="inlineStr">
        <is>
          <t>ACTIVE</t>
        </is>
      </c>
      <c r="G284" s="53" t="inlineStr">
        <is>
          <t>FIXED_PRICE_WITH_AIA_BILLING</t>
        </is>
      </c>
      <c r="H284" s="53" t="inlineStr">
        <is>
          <t>Fort Wayne</t>
        </is>
      </c>
      <c r="I284" s="53" t="inlineStr">
        <is>
          <t>IN</t>
        </is>
      </c>
      <c r="J284" s="53" t="inlineStr">
        <is>
          <t>2024-09-09</t>
        </is>
      </c>
      <c r="K284" s="53" t="inlineStr">
        <is>
          <t>2024-08-01</t>
        </is>
      </c>
      <c r="L284" s="53" t="inlineStr">
        <is>
          <t>2026-05-15</t>
        </is>
      </c>
    </row>
    <row r="285">
      <c r="A285" s="53" t="inlineStr">
        <is>
          <t>2025.967 Bunge Project Flex</t>
        </is>
      </c>
      <c r="B285" s="53" t="inlineStr">
        <is>
          <t>1702352</t>
        </is>
      </c>
      <c r="C285" s="53" t="inlineStr">
        <is>
          <t>TI</t>
        </is>
      </c>
      <c r="D285" s="53" t="inlineStr">
        <is>
          <t>Ben Garza</t>
        </is>
      </c>
      <c r="E285" s="53" t="inlineStr">
        <is>
          <t>Bunge North America (East), LLC</t>
        </is>
      </c>
      <c r="F285" s="53" t="inlineStr">
        <is>
          <t>ACTIVE</t>
        </is>
      </c>
      <c r="G285" s="53" t="inlineStr">
        <is>
          <t>FIXED_PRICE_WITH_AIA_BILLING</t>
        </is>
      </c>
      <c r="H285" s="53" t="inlineStr">
        <is>
          <t>Morristown</t>
        </is>
      </c>
      <c r="I285" s="53" t="inlineStr">
        <is>
          <t>IN</t>
        </is>
      </c>
      <c r="J285" s="53" t="inlineStr">
        <is>
          <t>2025-04-10</t>
        </is>
      </c>
      <c r="K285" s="53" t="inlineStr">
        <is>
          <t>2025-03-01</t>
        </is>
      </c>
      <c r="L285" s="53" t="inlineStr">
        <is>
          <t>2026-01-30</t>
        </is>
      </c>
    </row>
    <row r="286">
      <c r="A286" s="53" t="inlineStr">
        <is>
          <t>DS.2024.1263 5188 Brighton Dr Whitestown</t>
        </is>
      </c>
      <c r="B286" s="53" t="inlineStr">
        <is>
          <t>1683585</t>
        </is>
      </c>
      <c r="C286" s="53" t="inlineStr">
        <is>
          <t>DW</t>
        </is>
      </c>
      <c r="D286" s="53" t="inlineStr">
        <is>
          <t>(Unassigned)</t>
        </is>
      </c>
      <c r="E286" s="53" t="inlineStr">
        <is>
          <t>Promasters Drywall and Painting (Brian Figueroa)</t>
        </is>
      </c>
      <c r="F286" s="53" t="inlineStr">
        <is>
          <t>ACTIVE</t>
        </is>
      </c>
      <c r="G286" s="53" t="inlineStr">
        <is>
          <t>FIXED_PRICE</t>
        </is>
      </c>
      <c r="H286" s="53" t="inlineStr"/>
      <c r="I286" s="53" t="inlineStr"/>
      <c r="J286" s="53" t="inlineStr">
        <is>
          <t>2024-03-21</t>
        </is>
      </c>
      <c r="K286" s="53" t="inlineStr">
        <is>
          <t>2024-03-21</t>
        </is>
      </c>
      <c r="L286" s="53" t="inlineStr">
        <is>
          <t>2024-03-21</t>
        </is>
      </c>
    </row>
    <row r="287">
      <c r="A287" s="53" t="inlineStr">
        <is>
          <t>2024.912 Upland Columbus</t>
        </is>
      </c>
      <c r="B287" s="53" t="inlineStr">
        <is>
          <t>1669494</t>
        </is>
      </c>
      <c r="C287" s="53" t="inlineStr">
        <is>
          <t>TI</t>
        </is>
      </c>
      <c r="D287" s="53" t="inlineStr">
        <is>
          <t>Tommy Cohoat</t>
        </is>
      </c>
      <c r="E287" s="53" t="inlineStr">
        <is>
          <t>Bischoff Construction, LLC</t>
        </is>
      </c>
      <c r="F287" s="53" t="inlineStr">
        <is>
          <t>ACTIVE</t>
        </is>
      </c>
      <c r="G287" s="53" t="inlineStr">
        <is>
          <t>FIXED_PRICE</t>
        </is>
      </c>
      <c r="H287" s="53" t="inlineStr">
        <is>
          <t>Columbus</t>
        </is>
      </c>
      <c r="I287" s="53" t="inlineStr">
        <is>
          <t>IN</t>
        </is>
      </c>
      <c r="J287" s="53" t="inlineStr">
        <is>
          <t>2024-07-09</t>
        </is>
      </c>
      <c r="K287" s="53" t="inlineStr">
        <is>
          <t>2024-06-25</t>
        </is>
      </c>
      <c r="L287" s="53" t="inlineStr">
        <is>
          <t>2024-10-31</t>
        </is>
      </c>
    </row>
    <row r="288">
      <c r="A288" s="53" t="inlineStr">
        <is>
          <t>DS.2024.1234 Pro Masters</t>
        </is>
      </c>
      <c r="B288" s="53" t="inlineStr">
        <is>
          <t>1658900</t>
        </is>
      </c>
      <c r="C288" s="53" t="inlineStr">
        <is>
          <t>DW</t>
        </is>
      </c>
      <c r="D288" s="53" t="inlineStr">
        <is>
          <t>(Unassigned)</t>
        </is>
      </c>
      <c r="E288" s="53" t="inlineStr">
        <is>
          <t>Promasters Drywall and Painting (Brian Figueroa)</t>
        </is>
      </c>
      <c r="F288" s="53" t="inlineStr">
        <is>
          <t>ACTIVE</t>
        </is>
      </c>
      <c r="G288" s="53" t="inlineStr">
        <is>
          <t>FIXED_PRICE</t>
        </is>
      </c>
      <c r="H288" s="53" t="inlineStr"/>
      <c r="I288" s="53" t="inlineStr"/>
      <c r="J288" s="53" t="inlineStr">
        <is>
          <t>2024-02-29</t>
        </is>
      </c>
      <c r="K288" s="53" t="inlineStr">
        <is>
          <t>2024-02-29</t>
        </is>
      </c>
      <c r="L288" s="53" t="inlineStr">
        <is>
          <t>2024-02-29</t>
        </is>
      </c>
    </row>
    <row r="289">
      <c r="A289" s="53" t="inlineStr">
        <is>
          <t>MF.2024.928 Holliday Farms Assisted Living - Zionsville</t>
        </is>
      </c>
      <c r="B289" s="53" t="inlineStr">
        <is>
          <t>1607003</t>
        </is>
      </c>
      <c r="C289" s="53" t="inlineStr">
        <is>
          <t>MF</t>
        </is>
      </c>
      <c r="D289" s="53" t="inlineStr">
        <is>
          <t>Ben Garza</t>
        </is>
      </c>
      <c r="E289" s="53" t="inlineStr">
        <is>
          <t>Avenue Construction, Inc.</t>
        </is>
      </c>
      <c r="F289" s="53" t="inlineStr">
        <is>
          <t>ACTIVE</t>
        </is>
      </c>
      <c r="G289" s="53" t="inlineStr">
        <is>
          <t>FIXED_PRICE_WITH_AIA_BILLING</t>
        </is>
      </c>
      <c r="H289" s="53" t="inlineStr">
        <is>
          <t>Zionsville</t>
        </is>
      </c>
      <c r="I289" s="53" t="inlineStr">
        <is>
          <t>IN</t>
        </is>
      </c>
      <c r="J289" s="53" t="inlineStr">
        <is>
          <t>2025-01-30</t>
        </is>
      </c>
      <c r="K289" s="53" t="inlineStr">
        <is>
          <t>2025-03-01</t>
        </is>
      </c>
      <c r="L289" s="53" t="inlineStr">
        <is>
          <t>2026-03-31</t>
        </is>
      </c>
    </row>
    <row r="290">
      <c r="A290" s="53" t="inlineStr">
        <is>
          <t>DS.2023.1141 Latitude Apartments</t>
        </is>
      </c>
      <c r="B290" s="53" t="inlineStr">
        <is>
          <t>1577552</t>
        </is>
      </c>
      <c r="C290" s="53" t="inlineStr">
        <is>
          <t>DW</t>
        </is>
      </c>
      <c r="D290" s="53" t="inlineStr">
        <is>
          <t>(Unassigned)</t>
        </is>
      </c>
      <c r="E290" s="53" t="inlineStr">
        <is>
          <t>Velocity Builders</t>
        </is>
      </c>
      <c r="F290" s="53" t="inlineStr">
        <is>
          <t>ACTIVE</t>
        </is>
      </c>
      <c r="G290" s="53" t="inlineStr">
        <is>
          <t>FIXED_PRICE</t>
        </is>
      </c>
      <c r="H290" s="53" t="inlineStr"/>
      <c r="I290" s="53" t="inlineStr"/>
      <c r="J290" s="53" t="inlineStr">
        <is>
          <t>2023-12-13</t>
        </is>
      </c>
      <c r="K290" s="53" t="inlineStr">
        <is>
          <t>2023-12-13</t>
        </is>
      </c>
      <c r="L290" s="53" t="inlineStr">
        <is>
          <t>2024-04-30</t>
        </is>
      </c>
    </row>
    <row r="291">
      <c r="A291" s="53" t="inlineStr">
        <is>
          <t>2023.847 Ireland Home</t>
        </is>
      </c>
      <c r="B291" s="53" t="inlineStr">
        <is>
          <t>1551637</t>
        </is>
      </c>
      <c r="C291" s="53" t="inlineStr">
        <is>
          <t>TI</t>
        </is>
      </c>
      <c r="D291" s="53" t="inlineStr">
        <is>
          <t>Tommy Cohoat</t>
        </is>
      </c>
      <c r="E291" s="53" t="inlineStr">
        <is>
          <t>Bischoff Construction, LLC</t>
        </is>
      </c>
      <c r="F291" s="53" t="inlineStr">
        <is>
          <t>ACTIVE</t>
        </is>
      </c>
      <c r="G291" s="53" t="inlineStr">
        <is>
          <t>FIXED_PRICE</t>
        </is>
      </c>
      <c r="H291" s="53" t="inlineStr">
        <is>
          <t>Jeffersonville</t>
        </is>
      </c>
      <c r="I291" s="53" t="inlineStr">
        <is>
          <t>IN</t>
        </is>
      </c>
      <c r="J291" s="53" t="inlineStr">
        <is>
          <t>2023-11-15</t>
        </is>
      </c>
      <c r="K291" s="53" t="inlineStr">
        <is>
          <t>2023-11-15</t>
        </is>
      </c>
      <c r="L291" s="53" t="inlineStr"/>
    </row>
    <row r="292">
      <c r="A292" s="53" t="inlineStr">
        <is>
          <t>2024.874 Noblesville HS Academic Addition &amp; Renovation</t>
        </is>
      </c>
      <c r="B292" s="53" t="inlineStr">
        <is>
          <t>1539188</t>
        </is>
      </c>
      <c r="C292" s="53" t="inlineStr">
        <is>
          <t>TI</t>
        </is>
      </c>
      <c r="D292" s="53" t="inlineStr">
        <is>
          <t>Trevor Anderson</t>
        </is>
      </c>
      <c r="E292" s="53" t="inlineStr">
        <is>
          <t>The Peterson Company, LLC</t>
        </is>
      </c>
      <c r="F292" s="53" t="inlineStr">
        <is>
          <t>ACTIVE</t>
        </is>
      </c>
      <c r="G292" s="53" t="inlineStr">
        <is>
          <t>FIXED_PRICE_WITH_AIA_BILLING</t>
        </is>
      </c>
      <c r="H292" s="53" t="inlineStr">
        <is>
          <t>Noblesville</t>
        </is>
      </c>
      <c r="I292" s="53" t="inlineStr">
        <is>
          <t>IN</t>
        </is>
      </c>
      <c r="J292" s="53" t="inlineStr">
        <is>
          <t>2024-03-12</t>
        </is>
      </c>
      <c r="K292" s="53" t="inlineStr">
        <is>
          <t>2024-04-01</t>
        </is>
      </c>
      <c r="L292" s="53" t="inlineStr">
        <is>
          <t>2025-12-31</t>
        </is>
      </c>
    </row>
    <row r="293">
      <c r="A293" s="53" t="inlineStr">
        <is>
          <t>MF.2023.840 Paint at 804 14th Ave Nashville</t>
        </is>
      </c>
      <c r="B293" s="53" t="inlineStr">
        <is>
          <t>1536145</t>
        </is>
      </c>
      <c r="C293" s="53" t="inlineStr">
        <is>
          <t>MF</t>
        </is>
      </c>
      <c r="D293" s="53" t="inlineStr">
        <is>
          <t>Kelden Tyson</t>
        </is>
      </c>
      <c r="E293" s="53" t="inlineStr">
        <is>
          <t>ZMX Inc.</t>
        </is>
      </c>
      <c r="F293" s="53" t="inlineStr">
        <is>
          <t>ACTIVE</t>
        </is>
      </c>
      <c r="G293" s="53" t="inlineStr">
        <is>
          <t>FIXED_PRICE_WITH_AIA_BILLING</t>
        </is>
      </c>
      <c r="H293" s="53" t="inlineStr">
        <is>
          <t>Nashville</t>
        </is>
      </c>
      <c r="I293" s="53" t="inlineStr">
        <is>
          <t>TN</t>
        </is>
      </c>
      <c r="J293" s="53" t="inlineStr">
        <is>
          <t>2024-10-24</t>
        </is>
      </c>
      <c r="K293" s="53" t="inlineStr">
        <is>
          <t>2024-10-24</t>
        </is>
      </c>
      <c r="L293" s="53" t="inlineStr">
        <is>
          <t>2025-08-29</t>
        </is>
      </c>
    </row>
    <row r="294">
      <c r="A294" s="53" t="inlineStr">
        <is>
          <t>2023.816 Upland Broad Ripple</t>
        </is>
      </c>
      <c r="B294" s="53" t="inlineStr">
        <is>
          <t>1464707</t>
        </is>
      </c>
      <c r="C294" s="53" t="inlineStr">
        <is>
          <t>TI</t>
        </is>
      </c>
      <c r="D294" s="53" t="inlineStr">
        <is>
          <t>Tommy Cohoat</t>
        </is>
      </c>
      <c r="E294" s="53" t="inlineStr">
        <is>
          <t>Bischoff Construction, LLC</t>
        </is>
      </c>
      <c r="F294" s="53" t="inlineStr">
        <is>
          <t>ACTIVE</t>
        </is>
      </c>
      <c r="G294" s="53" t="inlineStr">
        <is>
          <t>FIXED_PRICE</t>
        </is>
      </c>
      <c r="H294" s="53" t="inlineStr">
        <is>
          <t>Indianapolis</t>
        </is>
      </c>
      <c r="I294" s="53" t="inlineStr">
        <is>
          <t>IN</t>
        </is>
      </c>
      <c r="J294" s="53" t="inlineStr">
        <is>
          <t>2023-09-19</t>
        </is>
      </c>
      <c r="K294" s="53" t="inlineStr">
        <is>
          <t>2023-08-18</t>
        </is>
      </c>
      <c r="L294" s="53" t="inlineStr"/>
    </row>
    <row r="295">
      <c r="A295" s="53" t="inlineStr">
        <is>
          <t>2023.839 Hamilton County National Guard Readiness Center</t>
        </is>
      </c>
      <c r="B295" s="53" t="inlineStr">
        <is>
          <t>1461734</t>
        </is>
      </c>
      <c r="C295" s="53" t="inlineStr">
        <is>
          <t>TI</t>
        </is>
      </c>
      <c r="D295" s="53" t="inlineStr">
        <is>
          <t>Tommy Cohoat</t>
        </is>
      </c>
      <c r="E295" s="53" t="inlineStr">
        <is>
          <t>Patterson Horth, Inc.</t>
        </is>
      </c>
      <c r="F295" s="53" t="inlineStr">
        <is>
          <t>ACTIVE</t>
        </is>
      </c>
      <c r="G295" s="53" t="inlineStr">
        <is>
          <t>FIXED_PRICE_WITH_AIA_BILLING</t>
        </is>
      </c>
      <c r="H295" s="53" t="inlineStr">
        <is>
          <t>Atlanta</t>
        </is>
      </c>
      <c r="I295" s="53" t="inlineStr">
        <is>
          <t>IN</t>
        </is>
      </c>
      <c r="J295" s="53" t="inlineStr">
        <is>
          <t>2023-11-13</t>
        </is>
      </c>
      <c r="K295" s="53" t="inlineStr">
        <is>
          <t>2024-06-04</t>
        </is>
      </c>
      <c r="L295" s="53" t="inlineStr">
        <is>
          <t>2025-12-31</t>
        </is>
      </c>
    </row>
    <row r="296">
      <c r="A296" s="53" t="inlineStr">
        <is>
          <t>2024.869 Prospect Lake Clean Water Center</t>
        </is>
      </c>
      <c r="B296" s="53" t="inlineStr">
        <is>
          <t>1423094</t>
        </is>
      </c>
      <c r="C296" s="53" t="inlineStr">
        <is>
          <t>TI</t>
        </is>
      </c>
      <c r="D296" s="53" t="inlineStr">
        <is>
          <t>Cole Garriott</t>
        </is>
      </c>
      <c r="E296" s="53" t="inlineStr">
        <is>
          <t>Patterson Horth, Inc.</t>
        </is>
      </c>
      <c r="F296" s="53" t="inlineStr">
        <is>
          <t>ACTIVE</t>
        </is>
      </c>
      <c r="G296" s="53" t="inlineStr">
        <is>
          <t>FIXED_PRICE_WITH_AIA_BILLING</t>
        </is>
      </c>
      <c r="H296" s="53" t="inlineStr">
        <is>
          <t>Fort Lauderdale</t>
        </is>
      </c>
      <c r="I296" s="53" t="inlineStr">
        <is>
          <t>FL</t>
        </is>
      </c>
      <c r="J296" s="53" t="inlineStr">
        <is>
          <t>2024-04-16</t>
        </is>
      </c>
      <c r="K296" s="53" t="inlineStr">
        <is>
          <t>2025-01-20</t>
        </is>
      </c>
      <c r="L296" s="53" t="inlineStr">
        <is>
          <t>2025-11-28</t>
        </is>
      </c>
    </row>
    <row r="297">
      <c r="A297" s="53" t="inlineStr">
        <is>
          <t>2023.795 Upland Brewery Clay Terrace</t>
        </is>
      </c>
      <c r="B297" s="53" t="inlineStr">
        <is>
          <t>1407590</t>
        </is>
      </c>
      <c r="C297" s="53" t="inlineStr">
        <is>
          <t>TI</t>
        </is>
      </c>
      <c r="D297" s="53" t="inlineStr">
        <is>
          <t>Tommy Cohoat</t>
        </is>
      </c>
      <c r="E297" s="53" t="inlineStr">
        <is>
          <t>Bischoff Construction, LLC</t>
        </is>
      </c>
      <c r="F297" s="53" t="inlineStr">
        <is>
          <t>ACTIVE</t>
        </is>
      </c>
      <c r="G297" s="53" t="inlineStr">
        <is>
          <t>FIXED_PRICE</t>
        </is>
      </c>
      <c r="H297" s="53" t="inlineStr">
        <is>
          <t>Carmel</t>
        </is>
      </c>
      <c r="I297" s="53" t="inlineStr">
        <is>
          <t>IN</t>
        </is>
      </c>
      <c r="J297" s="53" t="inlineStr">
        <is>
          <t>2023-07-18</t>
        </is>
      </c>
      <c r="K297" s="53" t="inlineStr">
        <is>
          <t>2023-07-05</t>
        </is>
      </c>
      <c r="L297" s="53" t="inlineStr"/>
    </row>
    <row r="298">
      <c r="A298" s="53" t="inlineStr">
        <is>
          <t>2023.843 Walmart Frederick</t>
        </is>
      </c>
      <c r="B298" s="53" t="inlineStr">
        <is>
          <t>1398846</t>
        </is>
      </c>
      <c r="C298" s="53" t="inlineStr">
        <is>
          <t>TI</t>
        </is>
      </c>
      <c r="D298" s="53" t="inlineStr">
        <is>
          <t>Cole Garriott</t>
        </is>
      </c>
      <c r="E298" s="53" t="inlineStr">
        <is>
          <t>DEEM, LLC</t>
        </is>
      </c>
      <c r="F298" s="53" t="inlineStr">
        <is>
          <t>ACTIVE</t>
        </is>
      </c>
      <c r="G298" s="53" t="inlineStr">
        <is>
          <t>FIXED_PRICE_WITH_AIA_BILLING</t>
        </is>
      </c>
      <c r="H298" s="53" t="inlineStr">
        <is>
          <t>Frederick</t>
        </is>
      </c>
      <c r="I298" s="53" t="inlineStr">
        <is>
          <t>MD</t>
        </is>
      </c>
      <c r="J298" s="53" t="inlineStr">
        <is>
          <t>2024-01-19</t>
        </is>
      </c>
      <c r="K298" s="53" t="inlineStr">
        <is>
          <t>2024-01-15</t>
        </is>
      </c>
      <c r="L298" s="53" t="inlineStr">
        <is>
          <t>2025-05-30</t>
        </is>
      </c>
    </row>
    <row r="299">
      <c r="A299" s="53" t="inlineStr">
        <is>
          <t>MF.2023.785 Drywall at 804 14th Ave Nashville</t>
        </is>
      </c>
      <c r="B299" s="53" t="inlineStr">
        <is>
          <t>1383434</t>
        </is>
      </c>
      <c r="C299" s="53" t="inlineStr">
        <is>
          <t>MF</t>
        </is>
      </c>
      <c r="D299" s="53" t="inlineStr">
        <is>
          <t>Kelden Tyson</t>
        </is>
      </c>
      <c r="E299" s="53" t="inlineStr">
        <is>
          <t>ZMX Inc.</t>
        </is>
      </c>
      <c r="F299" s="53" t="inlineStr">
        <is>
          <t>ACTIVE</t>
        </is>
      </c>
      <c r="G299" s="53" t="inlineStr">
        <is>
          <t>FIXED_PRICE_WITH_AIA_BILLING</t>
        </is>
      </c>
      <c r="H299" s="53" t="inlineStr">
        <is>
          <t>Nashville</t>
        </is>
      </c>
      <c r="I299" s="53" t="inlineStr">
        <is>
          <t>TN</t>
        </is>
      </c>
      <c r="J299" s="53" t="inlineStr">
        <is>
          <t>2023-11-01</t>
        </is>
      </c>
      <c r="K299" s="53" t="inlineStr">
        <is>
          <t>2024-10-01</t>
        </is>
      </c>
      <c r="L299" s="53" t="inlineStr">
        <is>
          <t>2025-08-29</t>
        </is>
      </c>
    </row>
    <row r="300">
      <c r="A300" s="53" t="inlineStr">
        <is>
          <t>2023.776 Keefe Group TI</t>
        </is>
      </c>
      <c r="B300" s="53" t="inlineStr">
        <is>
          <t>1360035</t>
        </is>
      </c>
      <c r="C300" s="53" t="inlineStr">
        <is>
          <t>TI</t>
        </is>
      </c>
      <c r="D300" s="53" t="inlineStr">
        <is>
          <t>Tommy Cohoat</t>
        </is>
      </c>
      <c r="E300" s="53" t="inlineStr">
        <is>
          <t>The Peterson Company, LLC</t>
        </is>
      </c>
      <c r="F300" s="53" t="inlineStr">
        <is>
          <t>ACTIVE</t>
        </is>
      </c>
      <c r="G300" s="53" t="inlineStr">
        <is>
          <t>FIXED_PRICE_WITH_AIA_BILLING</t>
        </is>
      </c>
      <c r="H300" s="53" t="inlineStr">
        <is>
          <t>Noblesville</t>
        </is>
      </c>
      <c r="I300" s="53" t="inlineStr">
        <is>
          <t>IN</t>
        </is>
      </c>
      <c r="J300" s="53" t="inlineStr">
        <is>
          <t>2023-06-13</t>
        </is>
      </c>
      <c r="K300" s="53" t="inlineStr">
        <is>
          <t>2023-06-13</t>
        </is>
      </c>
      <c r="L300" s="53" t="inlineStr"/>
    </row>
    <row r="301">
      <c r="A301" s="53" t="inlineStr">
        <is>
          <t>MF.2024.875 Purdue Student Housing</t>
        </is>
      </c>
      <c r="B301" s="53" t="inlineStr">
        <is>
          <t>1303390</t>
        </is>
      </c>
      <c r="C301" s="53" t="inlineStr">
        <is>
          <t>MF</t>
        </is>
      </c>
      <c r="D301" s="53" t="inlineStr">
        <is>
          <t>Kelden Tyson</t>
        </is>
      </c>
      <c r="E301" s="53" t="inlineStr">
        <is>
          <t>Marous Brothers Construction</t>
        </is>
      </c>
      <c r="F301" s="53" t="inlineStr">
        <is>
          <t>ACTIVE</t>
        </is>
      </c>
      <c r="G301" s="53" t="inlineStr">
        <is>
          <t>FIXED_PRICE_WITH_AIA_BILLING</t>
        </is>
      </c>
      <c r="H301" s="53" t="inlineStr">
        <is>
          <t>West Lafayette</t>
        </is>
      </c>
      <c r="I301" s="53" t="inlineStr">
        <is>
          <t>IN</t>
        </is>
      </c>
      <c r="J301" s="53" t="inlineStr">
        <is>
          <t>2024-05-08</t>
        </is>
      </c>
      <c r="K301" s="53" t="inlineStr">
        <is>
          <t>2024-04-18</t>
        </is>
      </c>
      <c r="L301" s="53" t="inlineStr">
        <is>
          <t>2025-08-31</t>
        </is>
      </c>
    </row>
    <row r="302">
      <c r="A302" s="53" t="inlineStr">
        <is>
          <t>2022.690 Klarity, Mind, &amp; Body</t>
        </is>
      </c>
      <c r="B302" s="53" t="inlineStr">
        <is>
          <t>1161468</t>
        </is>
      </c>
      <c r="C302" s="53" t="inlineStr">
        <is>
          <t>TI</t>
        </is>
      </c>
      <c r="D302" s="53" t="inlineStr">
        <is>
          <t>Ted Wells</t>
        </is>
      </c>
      <c r="E302" s="53" t="inlineStr">
        <is>
          <t>EquiTeam LLC</t>
        </is>
      </c>
      <c r="F302" s="53" t="inlineStr">
        <is>
          <t>ACTIVE</t>
        </is>
      </c>
      <c r="G302" s="53" t="inlineStr">
        <is>
          <t>FIXED_PRICE_WITH_AIA_BILLING</t>
        </is>
      </c>
      <c r="H302" s="53" t="inlineStr">
        <is>
          <t>Indianapolis</t>
        </is>
      </c>
      <c r="I302" s="53" t="inlineStr">
        <is>
          <t>IN</t>
        </is>
      </c>
      <c r="J302" s="53" t="inlineStr">
        <is>
          <t>2022-12-01</t>
        </is>
      </c>
      <c r="K302" s="53" t="inlineStr">
        <is>
          <t>2022-12-12</t>
        </is>
      </c>
      <c r="L302" s="53" t="inlineStr"/>
    </row>
    <row r="303">
      <c r="A303" s="53" t="inlineStr">
        <is>
          <t>2023.731 Park 133 - ITS - TI Tenant Buildout</t>
        </is>
      </c>
      <c r="B303" s="53" t="inlineStr">
        <is>
          <t>1151697</t>
        </is>
      </c>
      <c r="C303" s="53" t="inlineStr">
        <is>
          <t>TI</t>
        </is>
      </c>
      <c r="D303" s="53" t="inlineStr">
        <is>
          <t>Tommy Cohoat</t>
        </is>
      </c>
      <c r="E303" s="53" t="inlineStr">
        <is>
          <t>The Peterson Company, LLC</t>
        </is>
      </c>
      <c r="F303" s="53" t="inlineStr">
        <is>
          <t>ACTIVE</t>
        </is>
      </c>
      <c r="G303" s="53" t="inlineStr">
        <is>
          <t>FIXED_PRICE_WITH_AIA_BILLING</t>
        </is>
      </c>
      <c r="H303" s="53" t="inlineStr">
        <is>
          <t>Whitestown</t>
        </is>
      </c>
      <c r="I303" s="53" t="inlineStr">
        <is>
          <t>IN</t>
        </is>
      </c>
      <c r="J303" s="53" t="inlineStr">
        <is>
          <t>2023-02-21</t>
        </is>
      </c>
      <c r="K303" s="53" t="inlineStr">
        <is>
          <t>2023-02-20</t>
        </is>
      </c>
      <c r="L303" s="53" t="inlineStr"/>
    </row>
    <row r="304">
      <c r="A304" s="53" t="inlineStr">
        <is>
          <t>2022.654 Upland Brewery Northside</t>
        </is>
      </c>
      <c r="B304" s="53" t="inlineStr">
        <is>
          <t>1138743</t>
        </is>
      </c>
      <c r="C304" s="53" t="inlineStr">
        <is>
          <t>TI</t>
        </is>
      </c>
      <c r="D304" s="53" t="inlineStr">
        <is>
          <t>Tommy Cohoat</t>
        </is>
      </c>
      <c r="E304" s="53" t="inlineStr">
        <is>
          <t>Seven Four Construction</t>
        </is>
      </c>
      <c r="F304" s="53" t="inlineStr">
        <is>
          <t>ACTIVE</t>
        </is>
      </c>
      <c r="G304" s="53" t="inlineStr">
        <is>
          <t>FIXED_PRICE</t>
        </is>
      </c>
      <c r="H304" s="53" t="inlineStr"/>
      <c r="I304" s="53" t="inlineStr"/>
      <c r="J304" s="53" t="inlineStr">
        <is>
          <t>2022-10-10</t>
        </is>
      </c>
      <c r="K304" s="53" t="inlineStr">
        <is>
          <t>2022-09-26</t>
        </is>
      </c>
      <c r="L304" s="53" t="inlineStr">
        <is>
          <t>2024-08-30</t>
        </is>
      </c>
    </row>
    <row r="305">
      <c r="A305" s="53" t="inlineStr">
        <is>
          <t>MDG Office at Rucker</t>
        </is>
      </c>
      <c r="B305" s="53" t="inlineStr">
        <is>
          <t>1138684</t>
        </is>
      </c>
      <c r="C305" s="53" t="inlineStr">
        <is>
          <t>UN</t>
        </is>
      </c>
      <c r="D305" s="53" t="inlineStr">
        <is>
          <t>(Unassigned)</t>
        </is>
      </c>
      <c r="E305" s="53" t="inlineStr">
        <is>
          <t>MDG New Office</t>
        </is>
      </c>
      <c r="F305" s="53" t="inlineStr">
        <is>
          <t>ACTIVE</t>
        </is>
      </c>
      <c r="G305" s="53" t="inlineStr">
        <is>
          <t>FIXED_PRICE</t>
        </is>
      </c>
      <c r="H305" s="53" t="inlineStr"/>
      <c r="I305" s="53" t="inlineStr"/>
      <c r="J305" s="53" t="inlineStr">
        <is>
          <t>2022-10-13</t>
        </is>
      </c>
      <c r="K305" s="53" t="inlineStr">
        <is>
          <t>2022-10-13</t>
        </is>
      </c>
      <c r="L305" s="53" t="inlineStr"/>
    </row>
    <row r="306">
      <c r="A306" s="53" t="inlineStr">
        <is>
          <t>2022.625 Walmart 7611</t>
        </is>
      </c>
      <c r="B306" s="53" t="inlineStr">
        <is>
          <t>1138659</t>
        </is>
      </c>
      <c r="C306" s="53" t="inlineStr">
        <is>
          <t>TI</t>
        </is>
      </c>
      <c r="D306" s="53" t="inlineStr">
        <is>
          <t>Cole Garriott</t>
        </is>
      </c>
      <c r="E306" s="53" t="inlineStr">
        <is>
          <t>Massa Multimedia Architecture (MMA)</t>
        </is>
      </c>
      <c r="F306" s="53" t="inlineStr">
        <is>
          <t>ACTIVE</t>
        </is>
      </c>
      <c r="G306" s="53" t="inlineStr">
        <is>
          <t>FIXED_PRICE_WITH_AIA_BILLING</t>
        </is>
      </c>
      <c r="H306" s="53" t="inlineStr">
        <is>
          <t>Plainfield</t>
        </is>
      </c>
      <c r="I306" s="53" t="inlineStr">
        <is>
          <t>IN</t>
        </is>
      </c>
      <c r="J306" s="53" t="inlineStr">
        <is>
          <t>2022-11-15</t>
        </is>
      </c>
      <c r="K306" s="53" t="inlineStr">
        <is>
          <t>2022-08-08</t>
        </is>
      </c>
      <c r="L306" s="53" t="inlineStr">
        <is>
          <t>2026-01-30</t>
        </is>
      </c>
    </row>
    <row r="307">
      <c r="A307" s="53" t="inlineStr">
        <is>
          <t>2022.617 The Junction Phase II</t>
        </is>
      </c>
      <c r="B307" s="53" t="inlineStr">
        <is>
          <t>1138651</t>
        </is>
      </c>
      <c r="C307" s="53" t="inlineStr">
        <is>
          <t>TI</t>
        </is>
      </c>
      <c r="D307" s="53" t="inlineStr">
        <is>
          <t>Ted Wells</t>
        </is>
      </c>
      <c r="E307" s="53" t="inlineStr">
        <is>
          <t>EquiTeam LLC</t>
        </is>
      </c>
      <c r="F307" s="53" t="inlineStr">
        <is>
          <t>ACTIVE</t>
        </is>
      </c>
      <c r="G307" s="53" t="inlineStr">
        <is>
          <t>FIXED_PRICE_WITH_AIA_BILLING</t>
        </is>
      </c>
      <c r="H307" s="53" t="inlineStr">
        <is>
          <t>Logansport</t>
        </is>
      </c>
      <c r="I307" s="53" t="inlineStr">
        <is>
          <t>IN</t>
        </is>
      </c>
      <c r="J307" s="53" t="inlineStr">
        <is>
          <t>2022-10-12</t>
        </is>
      </c>
      <c r="K307" s="53" t="inlineStr"/>
      <c r="L307" s="53" t="inlineStr"/>
    </row>
    <row r="308">
      <c r="A308" s="53" t="inlineStr">
        <is>
          <t>2022.610 222 E. Ohio St.</t>
        </is>
      </c>
      <c r="B308" s="53" t="inlineStr">
        <is>
          <t>1138649</t>
        </is>
      </c>
      <c r="C308" s="53" t="inlineStr">
        <is>
          <t>UN</t>
        </is>
      </c>
      <c r="D308" s="53" t="inlineStr">
        <is>
          <t>Ted Wells</t>
        </is>
      </c>
      <c r="E308" s="53" t="inlineStr">
        <is>
          <t>Midwest Design Group - Misc</t>
        </is>
      </c>
      <c r="F308" s="53" t="inlineStr">
        <is>
          <t>ACTIVE</t>
        </is>
      </c>
      <c r="G308" s="53" t="inlineStr">
        <is>
          <t>FIXED_PRICE</t>
        </is>
      </c>
      <c r="H308" s="53" t="inlineStr">
        <is>
          <t>Indianapolis</t>
        </is>
      </c>
      <c r="I308" s="53" t="inlineStr">
        <is>
          <t>IN</t>
        </is>
      </c>
      <c r="J308" s="53" t="inlineStr">
        <is>
          <t>2022-10-13</t>
        </is>
      </c>
      <c r="K308" s="53" t="inlineStr">
        <is>
          <t>2022-10-13</t>
        </is>
      </c>
      <c r="L308" s="53" t="inlineStr"/>
    </row>
    <row r="309">
      <c r="A309" s="53" t="inlineStr">
        <is>
          <t>2022.639 Radial TI - Avon Building 2</t>
        </is>
      </c>
      <c r="B309" s="53" t="inlineStr">
        <is>
          <t>1138478</t>
        </is>
      </c>
      <c r="C309" s="53" t="inlineStr">
        <is>
          <t>TI</t>
        </is>
      </c>
      <c r="D309" s="53" t="inlineStr">
        <is>
          <t>Tommy Cohoat</t>
        </is>
      </c>
      <c r="E309" s="53" t="inlineStr">
        <is>
          <t>The Peterson Company, LLC</t>
        </is>
      </c>
      <c r="F309" s="53" t="inlineStr">
        <is>
          <t>ACTIVE</t>
        </is>
      </c>
      <c r="G309" s="53" t="inlineStr">
        <is>
          <t>FIXED_PRICE_WITH_AIA_BILLING</t>
        </is>
      </c>
      <c r="H309" s="53" t="inlineStr">
        <is>
          <t>Avon</t>
        </is>
      </c>
      <c r="I309" s="53" t="inlineStr">
        <is>
          <t>IN</t>
        </is>
      </c>
      <c r="J309" s="53" t="inlineStr">
        <is>
          <t>2022-10-12</t>
        </is>
      </c>
      <c r="K309" s="53" t="inlineStr"/>
      <c r="L309" s="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9AA3B2"/>
    <outlinePr summaryBelow="1" summaryRight="1"/>
    <pageSetUpPr/>
  </sheetPr>
  <dimension ref="A1:F1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4" customWidth="1" min="4" max="4"/>
    <col width="11" customWidth="1" min="5" max="5"/>
    <col width="11" customWidth="1" min="6" max="6"/>
  </cols>
  <sheetData>
    <row r="1">
      <c r="A1" s="40" t="inlineStr">
        <is>
          <t>Account</t>
        </is>
      </c>
      <c r="B1" s="40" t="inlineStr">
        <is>
          <t>Statement</t>
        </is>
      </c>
      <c r="C1" s="40" t="inlineStr">
        <is>
          <t>Category</t>
        </is>
      </c>
      <c r="D1" s="40" t="inlineStr">
        <is>
          <t>Subcategory</t>
        </is>
      </c>
      <c r="E1" s="40" t="inlineStr">
        <is>
          <t>DivKey</t>
        </is>
      </c>
      <c r="F1" s="40" t="inlineStr">
        <is>
          <t>Sort</t>
        </is>
      </c>
    </row>
    <row r="2">
      <c r="A2" s="53" t="inlineStr">
        <is>
          <t>Billable Expense Income</t>
        </is>
      </c>
      <c r="B2" s="53" t="inlineStr">
        <is>
          <t>P&amp;L</t>
        </is>
      </c>
      <c r="C2" s="53" t="inlineStr">
        <is>
          <t>Revenue</t>
        </is>
      </c>
      <c r="D2" s="53" t="inlineStr">
        <is>
          <t>Income</t>
        </is>
      </c>
      <c r="E2" s="53" t="inlineStr">
        <is>
          <t>ALL</t>
        </is>
      </c>
      <c r="F2" s="53" t="n">
        <v>1</v>
      </c>
    </row>
    <row r="3">
      <c r="A3" s="53" t="inlineStr">
        <is>
          <t>Doors and Windows</t>
        </is>
      </c>
      <c r="B3" s="53" t="inlineStr">
        <is>
          <t>P&amp;L</t>
        </is>
      </c>
      <c r="C3" s="53" t="inlineStr">
        <is>
          <t>Revenue</t>
        </is>
      </c>
      <c r="D3" s="53" t="inlineStr">
        <is>
          <t>Income</t>
        </is>
      </c>
      <c r="E3" s="53" t="inlineStr">
        <is>
          <t>ALL</t>
        </is>
      </c>
      <c r="F3" s="53" t="n">
        <v>2</v>
      </c>
    </row>
    <row r="4">
      <c r="A4" s="53" t="inlineStr">
        <is>
          <t>Drywall Division Delivery Income</t>
        </is>
      </c>
      <c r="B4" s="53" t="inlineStr">
        <is>
          <t>P&amp;L</t>
        </is>
      </c>
      <c r="C4" s="53" t="inlineStr">
        <is>
          <t>Revenue</t>
        </is>
      </c>
      <c r="D4" s="53" t="inlineStr">
        <is>
          <t>Drywall Service Income</t>
        </is>
      </c>
      <c r="E4" s="53" t="inlineStr">
        <is>
          <t>DW</t>
        </is>
      </c>
      <c r="F4" s="53" t="n">
        <v>3</v>
      </c>
    </row>
    <row r="5">
      <c r="A5" s="53" t="inlineStr">
        <is>
          <t>Drywall Division Material Income</t>
        </is>
      </c>
      <c r="B5" s="53" t="inlineStr">
        <is>
          <t>P&amp;L</t>
        </is>
      </c>
      <c r="C5" s="53" t="inlineStr">
        <is>
          <t>Revenue</t>
        </is>
      </c>
      <c r="D5" s="53" t="inlineStr">
        <is>
          <t>Drywall Service Income</t>
        </is>
      </c>
      <c r="E5" s="53" t="inlineStr">
        <is>
          <t>DW</t>
        </is>
      </c>
      <c r="F5" s="53" t="n">
        <v>4</v>
      </c>
    </row>
    <row r="6">
      <c r="A6" s="53" t="inlineStr">
        <is>
          <t>Drywall Sales Income</t>
        </is>
      </c>
      <c r="B6" s="53" t="inlineStr">
        <is>
          <t>P&amp;L</t>
        </is>
      </c>
      <c r="C6" s="53" t="inlineStr">
        <is>
          <t>Revenue</t>
        </is>
      </c>
      <c r="D6" s="53" t="inlineStr">
        <is>
          <t>Income</t>
        </is>
      </c>
      <c r="E6" s="53" t="inlineStr">
        <is>
          <t>DW</t>
        </is>
      </c>
      <c r="F6" s="53" t="n">
        <v>5</v>
      </c>
    </row>
    <row r="7">
      <c r="A7" s="53" t="inlineStr">
        <is>
          <t>Drywall Service Income</t>
        </is>
      </c>
      <c r="B7" s="53" t="inlineStr">
        <is>
          <t>P&amp;L</t>
        </is>
      </c>
      <c r="C7" s="53" t="inlineStr">
        <is>
          <t>Revenue</t>
        </is>
      </c>
      <c r="D7" s="53" t="inlineStr">
        <is>
          <t>Income</t>
        </is>
      </c>
      <c r="E7" s="53" t="inlineStr">
        <is>
          <t>DW</t>
        </is>
      </c>
      <c r="F7" s="53" t="n">
        <v>6</v>
      </c>
    </row>
    <row r="8">
      <c r="A8" s="53" t="inlineStr">
        <is>
          <t>Drywall Supply Arbor Income</t>
        </is>
      </c>
      <c r="B8" s="53" t="inlineStr">
        <is>
          <t>P&amp;L</t>
        </is>
      </c>
      <c r="C8" s="53" t="inlineStr">
        <is>
          <t>Revenue</t>
        </is>
      </c>
      <c r="D8" s="53" t="inlineStr">
        <is>
          <t>Drywall Service Income</t>
        </is>
      </c>
      <c r="E8" s="53" t="inlineStr">
        <is>
          <t>DW</t>
        </is>
      </c>
      <c r="F8" s="53" t="n">
        <v>7</v>
      </c>
    </row>
    <row r="9">
      <c r="A9" s="53" t="inlineStr">
        <is>
          <t>Drywall Supply Century Income</t>
        </is>
      </c>
      <c r="B9" s="53" t="inlineStr">
        <is>
          <t>P&amp;L</t>
        </is>
      </c>
      <c r="C9" s="53" t="inlineStr">
        <is>
          <t>Revenue</t>
        </is>
      </c>
      <c r="D9" s="53" t="inlineStr">
        <is>
          <t>Drywall Service Income</t>
        </is>
      </c>
      <c r="E9" s="53" t="inlineStr">
        <is>
          <t>DW</t>
        </is>
      </c>
      <c r="F9" s="53" t="n">
        <v>8</v>
      </c>
    </row>
    <row r="10">
      <c r="A10" s="53" t="inlineStr">
        <is>
          <t>Drywall Supply HD Boom Scatter Income</t>
        </is>
      </c>
      <c r="B10" s="53" t="inlineStr">
        <is>
          <t>P&amp;L</t>
        </is>
      </c>
      <c r="C10" s="53" t="inlineStr">
        <is>
          <t>Revenue</t>
        </is>
      </c>
      <c r="D10" s="53" t="inlineStr">
        <is>
          <t>Drywall Service Income</t>
        </is>
      </c>
      <c r="E10" s="53" t="inlineStr">
        <is>
          <t>DW</t>
        </is>
      </c>
      <c r="F10" s="53" t="n">
        <v>9</v>
      </c>
    </row>
    <row r="11">
      <c r="A11" s="53" t="inlineStr">
        <is>
          <t>Drywall Supply Pulte Income</t>
        </is>
      </c>
      <c r="B11" s="53" t="inlineStr">
        <is>
          <t>P&amp;L</t>
        </is>
      </c>
      <c r="C11" s="53" t="inlineStr">
        <is>
          <t>Revenue</t>
        </is>
      </c>
      <c r="D11" s="53" t="inlineStr">
        <is>
          <t>Drywall Service Income</t>
        </is>
      </c>
      <c r="E11" s="53" t="inlineStr">
        <is>
          <t>DW</t>
        </is>
      </c>
      <c r="F11" s="53" t="n">
        <v>10</v>
      </c>
    </row>
    <row r="12">
      <c r="A12" s="53" t="inlineStr">
        <is>
          <t>Drywall Tax</t>
        </is>
      </c>
      <c r="B12" s="53" t="inlineStr">
        <is>
          <t>P&amp;L</t>
        </is>
      </c>
      <c r="C12" s="53" t="inlineStr">
        <is>
          <t>Revenue</t>
        </is>
      </c>
      <c r="D12" s="53" t="inlineStr">
        <is>
          <t>Drywall Service Income</t>
        </is>
      </c>
      <c r="E12" s="53" t="inlineStr">
        <is>
          <t>DW</t>
        </is>
      </c>
      <c r="F12" s="53" t="n">
        <v>11</v>
      </c>
    </row>
    <row r="13">
      <c r="A13" s="53" t="inlineStr">
        <is>
          <t>Engineering Project Income</t>
        </is>
      </c>
      <c r="B13" s="53" t="inlineStr">
        <is>
          <t>P&amp;L</t>
        </is>
      </c>
      <c r="C13" s="53" t="inlineStr">
        <is>
          <t>Revenue</t>
        </is>
      </c>
      <c r="D13" s="53" t="inlineStr">
        <is>
          <t>Income</t>
        </is>
      </c>
      <c r="E13" s="53" t="inlineStr">
        <is>
          <t>EN</t>
        </is>
      </c>
      <c r="F13" s="53" t="n">
        <v>12</v>
      </c>
    </row>
    <row r="14">
      <c r="A14" s="53" t="inlineStr">
        <is>
          <t>Finishes</t>
        </is>
      </c>
      <c r="B14" s="53" t="inlineStr">
        <is>
          <t>P&amp;L</t>
        </is>
      </c>
      <c r="C14" s="53" t="inlineStr">
        <is>
          <t>Revenue</t>
        </is>
      </c>
      <c r="D14" s="53" t="inlineStr">
        <is>
          <t>Income</t>
        </is>
      </c>
      <c r="E14" s="53" t="inlineStr">
        <is>
          <t>ALL</t>
        </is>
      </c>
      <c r="F14" s="53" t="n">
        <v>13</v>
      </c>
    </row>
    <row r="15">
      <c r="A15" s="53" t="inlineStr">
        <is>
          <t>Metals</t>
        </is>
      </c>
      <c r="B15" s="53" t="inlineStr">
        <is>
          <t>P&amp;L</t>
        </is>
      </c>
      <c r="C15" s="53" t="inlineStr">
        <is>
          <t>Revenue</t>
        </is>
      </c>
      <c r="D15" s="53" t="inlineStr">
        <is>
          <t>Income</t>
        </is>
      </c>
      <c r="E15" s="53" t="inlineStr">
        <is>
          <t>ALL</t>
        </is>
      </c>
      <c r="F15" s="53" t="n">
        <v>14</v>
      </c>
    </row>
    <row r="16">
      <c r="A16" s="53" t="inlineStr">
        <is>
          <t>Sales</t>
        </is>
      </c>
      <c r="B16" s="53" t="inlineStr">
        <is>
          <t>P&amp;L</t>
        </is>
      </c>
      <c r="C16" s="53" t="inlineStr">
        <is>
          <t>Revenue</t>
        </is>
      </c>
      <c r="D16" s="53" t="inlineStr">
        <is>
          <t>Income</t>
        </is>
      </c>
      <c r="E16" s="53" t="inlineStr">
        <is>
          <t>ALL</t>
        </is>
      </c>
      <c r="F16" s="53" t="n">
        <v>15</v>
      </c>
    </row>
    <row r="17">
      <c r="A17" s="53" t="inlineStr">
        <is>
          <t>Service/Fee Income</t>
        </is>
      </c>
      <c r="B17" s="53" t="inlineStr">
        <is>
          <t>P&amp;L</t>
        </is>
      </c>
      <c r="C17" s="53" t="inlineStr">
        <is>
          <t>Revenue</t>
        </is>
      </c>
      <c r="D17" s="53" t="inlineStr">
        <is>
          <t>Income</t>
        </is>
      </c>
      <c r="E17" s="53" t="inlineStr">
        <is>
          <t>ALL</t>
        </is>
      </c>
      <c r="F17" s="53" t="n">
        <v>16</v>
      </c>
    </row>
    <row r="18">
      <c r="A18" s="53" t="inlineStr">
        <is>
          <t>Specialties</t>
        </is>
      </c>
      <c r="B18" s="53" t="inlineStr">
        <is>
          <t>P&amp;L</t>
        </is>
      </c>
      <c r="C18" s="53" t="inlineStr">
        <is>
          <t>Revenue</t>
        </is>
      </c>
      <c r="D18" s="53" t="inlineStr">
        <is>
          <t>Income</t>
        </is>
      </c>
      <c r="E18" s="53" t="inlineStr">
        <is>
          <t>ALL</t>
        </is>
      </c>
      <c r="F18" s="53" t="n">
        <v>17</v>
      </c>
    </row>
    <row r="19">
      <c r="A19" s="53" t="inlineStr">
        <is>
          <t>Thermal and Moisture Control</t>
        </is>
      </c>
      <c r="B19" s="53" t="inlineStr">
        <is>
          <t>P&amp;L</t>
        </is>
      </c>
      <c r="C19" s="53" t="inlineStr">
        <is>
          <t>Revenue</t>
        </is>
      </c>
      <c r="D19" s="53" t="inlineStr">
        <is>
          <t>Income</t>
        </is>
      </c>
      <c r="E19" s="53" t="inlineStr">
        <is>
          <t>ALL</t>
        </is>
      </c>
      <c r="F19" s="53" t="n">
        <v>18</v>
      </c>
    </row>
    <row r="20">
      <c r="A20" s="53" t="inlineStr">
        <is>
          <t>WIP Adj - Net change</t>
        </is>
      </c>
      <c r="B20" s="53" t="inlineStr">
        <is>
          <t>P&amp;L</t>
        </is>
      </c>
      <c r="C20" s="53" t="inlineStr">
        <is>
          <t>Revenue</t>
        </is>
      </c>
      <c r="D20" s="53" t="inlineStr">
        <is>
          <t>Income</t>
        </is>
      </c>
      <c r="E20" s="53" t="inlineStr">
        <is>
          <t>ALL</t>
        </is>
      </c>
      <c r="F20" s="53" t="n">
        <v>19</v>
      </c>
    </row>
    <row r="21">
      <c r="A21" s="53" t="inlineStr">
        <is>
          <t>Wood and Plastics</t>
        </is>
      </c>
      <c r="B21" s="53" t="inlineStr">
        <is>
          <t>P&amp;L</t>
        </is>
      </c>
      <c r="C21" s="53" t="inlineStr">
        <is>
          <t>Revenue</t>
        </is>
      </c>
      <c r="D21" s="53" t="inlineStr">
        <is>
          <t>Income</t>
        </is>
      </c>
      <c r="E21" s="53" t="inlineStr">
        <is>
          <t>ALL</t>
        </is>
      </c>
      <c r="F21" s="53" t="n">
        <v>20</v>
      </c>
    </row>
    <row r="22">
      <c r="A22" s="53" t="inlineStr">
        <is>
          <t>Cost of labor - Contractors</t>
        </is>
      </c>
      <c r="B22" s="53" t="inlineStr">
        <is>
          <t>P&amp;L</t>
        </is>
      </c>
      <c r="C22" s="53" t="inlineStr">
        <is>
          <t>COGS</t>
        </is>
      </c>
      <c r="D22" s="53" t="inlineStr">
        <is>
          <t>Cost of Goods Sold</t>
        </is>
      </c>
      <c r="E22" s="53" t="inlineStr">
        <is>
          <t>ALL</t>
        </is>
      </c>
      <c r="F22" s="53" t="n">
        <v>21</v>
      </c>
    </row>
    <row r="23">
      <c r="A23" s="53" t="inlineStr">
        <is>
          <t>Cost of labor - Direct Labor</t>
        </is>
      </c>
      <c r="B23" s="53" t="inlineStr">
        <is>
          <t>P&amp;L</t>
        </is>
      </c>
      <c r="C23" s="53" t="inlineStr">
        <is>
          <t>COGS</t>
        </is>
      </c>
      <c r="D23" s="53" t="inlineStr">
        <is>
          <t>Cost of Goods Sold</t>
        </is>
      </c>
      <c r="E23" s="53" t="inlineStr">
        <is>
          <t>ALL</t>
        </is>
      </c>
      <c r="F23" s="53" t="n">
        <v>22</v>
      </c>
    </row>
    <row r="24">
      <c r="A24" s="53" t="inlineStr">
        <is>
          <t>Drywall Project (Material) Expense - Internal</t>
        </is>
      </c>
      <c r="B24" s="53" t="inlineStr">
        <is>
          <t>P&amp;L</t>
        </is>
      </c>
      <c r="C24" s="53" t="inlineStr">
        <is>
          <t>COGS</t>
        </is>
      </c>
      <c r="D24" s="53" t="inlineStr">
        <is>
          <t>Job Site Expenses</t>
        </is>
      </c>
      <c r="E24" s="53" t="inlineStr">
        <is>
          <t>DW</t>
        </is>
      </c>
      <c r="F24" s="53" t="n">
        <v>23</v>
      </c>
    </row>
    <row r="25">
      <c r="A25" s="53" t="inlineStr">
        <is>
          <t>Drywall Project (Tax) Expense - Internal</t>
        </is>
      </c>
      <c r="B25" s="53" t="inlineStr">
        <is>
          <t>P&amp;L</t>
        </is>
      </c>
      <c r="C25" s="53" t="inlineStr">
        <is>
          <t>COGS</t>
        </is>
      </c>
      <c r="D25" s="53" t="inlineStr">
        <is>
          <t>Job Site Expenses</t>
        </is>
      </c>
      <c r="E25" s="53" t="inlineStr">
        <is>
          <t>DW</t>
        </is>
      </c>
      <c r="F25" s="53" t="n">
        <v>24</v>
      </c>
    </row>
    <row r="26">
      <c r="A26" s="53" t="inlineStr">
        <is>
          <t>Drywall Supply Arbor Expense</t>
        </is>
      </c>
      <c r="B26" s="53" t="inlineStr">
        <is>
          <t>P&amp;L</t>
        </is>
      </c>
      <c r="C26" s="53" t="inlineStr">
        <is>
          <t>COGS</t>
        </is>
      </c>
      <c r="D26" s="53" t="inlineStr">
        <is>
          <t>Cost of Goods Sold</t>
        </is>
      </c>
      <c r="E26" s="53" t="inlineStr">
        <is>
          <t>DW</t>
        </is>
      </c>
      <c r="F26" s="53" t="n">
        <v>25</v>
      </c>
    </row>
    <row r="27">
      <c r="A27" s="53" t="inlineStr">
        <is>
          <t>Drywall Supply Century Expense</t>
        </is>
      </c>
      <c r="B27" s="53" t="inlineStr">
        <is>
          <t>P&amp;L</t>
        </is>
      </c>
      <c r="C27" s="53" t="inlineStr">
        <is>
          <t>COGS</t>
        </is>
      </c>
      <c r="D27" s="53" t="inlineStr">
        <is>
          <t>Cost of Goods Sold</t>
        </is>
      </c>
      <c r="E27" s="53" t="inlineStr">
        <is>
          <t>DW</t>
        </is>
      </c>
      <c r="F27" s="53" t="n">
        <v>26</v>
      </c>
    </row>
    <row r="28">
      <c r="A28" s="53" t="inlineStr">
        <is>
          <t>Drywall Supply External Expense</t>
        </is>
      </c>
      <c r="B28" s="53" t="inlineStr">
        <is>
          <t>P&amp;L</t>
        </is>
      </c>
      <c r="C28" s="53" t="inlineStr">
        <is>
          <t>COGS</t>
        </is>
      </c>
      <c r="D28" s="53" t="inlineStr">
        <is>
          <t>Cost of Goods Sold</t>
        </is>
      </c>
      <c r="E28" s="53" t="inlineStr">
        <is>
          <t>DW</t>
        </is>
      </c>
      <c r="F28" s="53" t="n">
        <v>27</v>
      </c>
    </row>
    <row r="29">
      <c r="A29" s="53" t="inlineStr">
        <is>
          <t>Drywall Supply Internal Expense</t>
        </is>
      </c>
      <c r="B29" s="53" t="inlineStr">
        <is>
          <t>P&amp;L</t>
        </is>
      </c>
      <c r="C29" s="53" t="inlineStr">
        <is>
          <t>COGS</t>
        </is>
      </c>
      <c r="D29" s="53" t="inlineStr">
        <is>
          <t>Cost of Goods Sold</t>
        </is>
      </c>
      <c r="E29" s="53" t="inlineStr">
        <is>
          <t>DW</t>
        </is>
      </c>
      <c r="F29" s="53" t="n">
        <v>28</v>
      </c>
    </row>
    <row r="30">
      <c r="A30" s="53" t="inlineStr">
        <is>
          <t>Drywall Supply Pulte Expense</t>
        </is>
      </c>
      <c r="B30" s="53" t="inlineStr">
        <is>
          <t>P&amp;L</t>
        </is>
      </c>
      <c r="C30" s="53" t="inlineStr">
        <is>
          <t>COGS</t>
        </is>
      </c>
      <c r="D30" s="53" t="inlineStr">
        <is>
          <t>Cost of Goods Sold</t>
        </is>
      </c>
      <c r="E30" s="53" t="inlineStr">
        <is>
          <t>DW</t>
        </is>
      </c>
      <c r="F30" s="53" t="n">
        <v>29</v>
      </c>
    </row>
    <row r="31">
      <c r="A31" s="53" t="inlineStr">
        <is>
          <t>Equipment Rental</t>
        </is>
      </c>
      <c r="B31" s="53" t="inlineStr">
        <is>
          <t>P&amp;L</t>
        </is>
      </c>
      <c r="C31" s="53" t="inlineStr">
        <is>
          <t>COGS</t>
        </is>
      </c>
      <c r="D31" s="53" t="inlineStr">
        <is>
          <t>Job Site Expenses</t>
        </is>
      </c>
      <c r="E31" s="53" t="inlineStr">
        <is>
          <t>ALL</t>
        </is>
      </c>
      <c r="F31" s="53" t="n">
        <v>30</v>
      </c>
    </row>
    <row r="32">
      <c r="A32" s="53" t="inlineStr">
        <is>
          <t>Job Site Expenses</t>
        </is>
      </c>
      <c r="B32" s="53" t="inlineStr">
        <is>
          <t>P&amp;L</t>
        </is>
      </c>
      <c r="C32" s="53" t="inlineStr">
        <is>
          <t>COGS</t>
        </is>
      </c>
      <c r="D32" s="53" t="inlineStr">
        <is>
          <t>Cost of Goods Sold</t>
        </is>
      </c>
      <c r="E32" s="53" t="inlineStr">
        <is>
          <t>ALL</t>
        </is>
      </c>
      <c r="F32" s="53" t="n">
        <v>31</v>
      </c>
    </row>
    <row r="33">
      <c r="A33" s="53" t="inlineStr">
        <is>
          <t>Per Diem Job Expense</t>
        </is>
      </c>
      <c r="B33" s="53" t="inlineStr">
        <is>
          <t>P&amp;L</t>
        </is>
      </c>
      <c r="C33" s="53" t="inlineStr">
        <is>
          <t>COGS</t>
        </is>
      </c>
      <c r="D33" s="53" t="inlineStr">
        <is>
          <t>Cost of Goods Sold</t>
        </is>
      </c>
      <c r="E33" s="53" t="inlineStr">
        <is>
          <t>ALL</t>
        </is>
      </c>
      <c r="F33" s="53" t="n">
        <v>32</v>
      </c>
    </row>
    <row r="34">
      <c r="A34" s="53" t="inlineStr">
        <is>
          <t>Shipping, Freight &amp; Delivery - COS</t>
        </is>
      </c>
      <c r="B34" s="53" t="inlineStr">
        <is>
          <t>P&amp;L</t>
        </is>
      </c>
      <c r="C34" s="53" t="inlineStr">
        <is>
          <t>COGS</t>
        </is>
      </c>
      <c r="D34" s="53" t="inlineStr">
        <is>
          <t>Cost of Goods Sold</t>
        </is>
      </c>
      <c r="E34" s="53" t="inlineStr">
        <is>
          <t>ALL</t>
        </is>
      </c>
      <c r="F34" s="53" t="n">
        <v>33</v>
      </c>
    </row>
    <row r="35">
      <c r="A35" s="53" t="inlineStr">
        <is>
          <t>Vendor Discounts</t>
        </is>
      </c>
      <c r="B35" s="53" t="inlineStr">
        <is>
          <t>P&amp;L</t>
        </is>
      </c>
      <c r="C35" s="53" t="inlineStr">
        <is>
          <t>COGS</t>
        </is>
      </c>
      <c r="D35" s="53" t="inlineStr">
        <is>
          <t>Cost of Goods Sold</t>
        </is>
      </c>
      <c r="E35" s="53" t="inlineStr">
        <is>
          <t>ALL</t>
        </is>
      </c>
      <c r="F35" s="53" t="n">
        <v>34</v>
      </c>
    </row>
    <row r="36">
      <c r="A36" s="53" t="inlineStr">
        <is>
          <t>Warranty Labor Expense</t>
        </is>
      </c>
      <c r="B36" s="53" t="inlineStr">
        <is>
          <t>P&amp;L</t>
        </is>
      </c>
      <c r="C36" s="53" t="inlineStr">
        <is>
          <t>COGS</t>
        </is>
      </c>
      <c r="D36" s="53" t="inlineStr">
        <is>
          <t>Cost of labor - Contractors</t>
        </is>
      </c>
      <c r="E36" s="53" t="inlineStr">
        <is>
          <t>ALL</t>
        </is>
      </c>
      <c r="F36" s="53" t="n">
        <v>35</v>
      </c>
    </row>
    <row r="37">
      <c r="A37" s="53" t="inlineStr">
        <is>
          <t>Warranty Material Expense</t>
        </is>
      </c>
      <c r="B37" s="53" t="inlineStr">
        <is>
          <t>P&amp;L</t>
        </is>
      </c>
      <c r="C37" s="53" t="inlineStr">
        <is>
          <t>COGS</t>
        </is>
      </c>
      <c r="D37" s="53" t="inlineStr">
        <is>
          <t>Job Site Expenses</t>
        </is>
      </c>
      <c r="E37" s="53" t="inlineStr">
        <is>
          <t>ALL</t>
        </is>
      </c>
      <c r="F37" s="53" t="n">
        <v>36</v>
      </c>
    </row>
    <row r="38">
      <c r="A38" s="53" t="inlineStr">
        <is>
          <t>Advertising &amp; Marketing</t>
        </is>
      </c>
      <c r="B38" s="53" t="inlineStr">
        <is>
          <t>P&amp;L</t>
        </is>
      </c>
      <c r="C38" s="53" t="inlineStr">
        <is>
          <t>Operating Expense</t>
        </is>
      </c>
      <c r="D38" s="53" t="inlineStr">
        <is>
          <t>Expenses</t>
        </is>
      </c>
      <c r="E38" s="53" t="inlineStr">
        <is>
          <t>ALL</t>
        </is>
      </c>
      <c r="F38" s="53" t="n">
        <v>37</v>
      </c>
    </row>
    <row r="39">
      <c r="A39" s="53" t="inlineStr">
        <is>
          <t>Ask My Accountant</t>
        </is>
      </c>
      <c r="B39" s="53" t="inlineStr">
        <is>
          <t>P&amp;L</t>
        </is>
      </c>
      <c r="C39" s="53" t="inlineStr">
        <is>
          <t>Operating Expense</t>
        </is>
      </c>
      <c r="D39" s="53" t="inlineStr">
        <is>
          <t>Expenses</t>
        </is>
      </c>
      <c r="E39" s="53" t="inlineStr">
        <is>
          <t>ALL</t>
        </is>
      </c>
      <c r="F39" s="53" t="n">
        <v>38</v>
      </c>
    </row>
    <row r="40">
      <c r="A40" s="53" t="inlineStr">
        <is>
          <t>Bad Debt</t>
        </is>
      </c>
      <c r="B40" s="53" t="inlineStr">
        <is>
          <t>P&amp;L</t>
        </is>
      </c>
      <c r="C40" s="53" t="inlineStr">
        <is>
          <t>Operating Expense</t>
        </is>
      </c>
      <c r="D40" s="53" t="inlineStr">
        <is>
          <t>Expenses</t>
        </is>
      </c>
      <c r="E40" s="53" t="inlineStr">
        <is>
          <t>ALL</t>
        </is>
      </c>
      <c r="F40" s="53" t="n">
        <v>39</v>
      </c>
    </row>
    <row r="41">
      <c r="A41" s="53" t="inlineStr">
        <is>
          <t>Bank Charges &amp; Fees</t>
        </is>
      </c>
      <c r="B41" s="53" t="inlineStr">
        <is>
          <t>P&amp;L</t>
        </is>
      </c>
      <c r="C41" s="53" t="inlineStr">
        <is>
          <t>Operating Expense</t>
        </is>
      </c>
      <c r="D41" s="53" t="inlineStr">
        <is>
          <t>Expenses</t>
        </is>
      </c>
      <c r="E41" s="53" t="inlineStr">
        <is>
          <t>ALL</t>
        </is>
      </c>
      <c r="F41" s="53" t="n">
        <v>40</v>
      </c>
    </row>
    <row r="42">
      <c r="A42" s="53" t="inlineStr">
        <is>
          <t>Bonus</t>
        </is>
      </c>
      <c r="B42" s="53" t="inlineStr">
        <is>
          <t>P&amp;L</t>
        </is>
      </c>
      <c r="C42" s="53" t="inlineStr">
        <is>
          <t>Operating Expense</t>
        </is>
      </c>
      <c r="D42" s="53" t="inlineStr">
        <is>
          <t>Payroll Expenses</t>
        </is>
      </c>
      <c r="E42" s="53" t="inlineStr">
        <is>
          <t>ALL</t>
        </is>
      </c>
      <c r="F42" s="53" t="n">
        <v>41</v>
      </c>
    </row>
    <row r="43">
      <c r="A43" s="53" t="inlineStr">
        <is>
          <t>Bonus Accrual Expense</t>
        </is>
      </c>
      <c r="B43" s="53" t="inlineStr">
        <is>
          <t>P&amp;L</t>
        </is>
      </c>
      <c r="C43" s="53" t="inlineStr">
        <is>
          <t>Operating Expense</t>
        </is>
      </c>
      <c r="D43" s="53" t="inlineStr">
        <is>
          <t>Bonus &amp; Commission Expense</t>
        </is>
      </c>
      <c r="E43" s="53" t="inlineStr">
        <is>
          <t>ALL</t>
        </is>
      </c>
      <c r="F43" s="53" t="n">
        <v>42</v>
      </c>
    </row>
    <row r="44">
      <c r="A44" s="53" t="inlineStr">
        <is>
          <t>Car &amp; Truck</t>
        </is>
      </c>
      <c r="B44" s="53" t="inlineStr">
        <is>
          <t>P&amp;L</t>
        </is>
      </c>
      <c r="C44" s="53" t="inlineStr">
        <is>
          <t>Operating Expense</t>
        </is>
      </c>
      <c r="D44" s="53" t="inlineStr">
        <is>
          <t>Expenses</t>
        </is>
      </c>
      <c r="E44" s="53" t="inlineStr">
        <is>
          <t>ALL</t>
        </is>
      </c>
      <c r="F44" s="53" t="n">
        <v>43</v>
      </c>
    </row>
    <row r="45">
      <c r="A45" s="53" t="inlineStr">
        <is>
          <t>Charitable Contributions</t>
        </is>
      </c>
      <c r="B45" s="53" t="inlineStr">
        <is>
          <t>P&amp;L</t>
        </is>
      </c>
      <c r="C45" s="53" t="inlineStr">
        <is>
          <t>Operating Expense</t>
        </is>
      </c>
      <c r="D45" s="53" t="inlineStr">
        <is>
          <t>Expenses</t>
        </is>
      </c>
      <c r="E45" s="53" t="inlineStr">
        <is>
          <t>ALL</t>
        </is>
      </c>
      <c r="F45" s="53" t="n">
        <v>44</v>
      </c>
    </row>
    <row r="46">
      <c r="A46" s="53" t="inlineStr">
        <is>
          <t>Charitable Contributions - Non-Deductible</t>
        </is>
      </c>
      <c r="B46" s="53" t="inlineStr">
        <is>
          <t>P&amp;L</t>
        </is>
      </c>
      <c r="C46" s="53" t="inlineStr">
        <is>
          <t>Operating Expense</t>
        </is>
      </c>
      <c r="D46" s="53" t="inlineStr">
        <is>
          <t>Charitable Contributions</t>
        </is>
      </c>
      <c r="E46" s="53" t="inlineStr">
        <is>
          <t>ALL</t>
        </is>
      </c>
      <c r="F46" s="53" t="n">
        <v>45</v>
      </c>
    </row>
    <row r="47">
      <c r="A47" s="53" t="inlineStr">
        <is>
          <t>Commission</t>
        </is>
      </c>
      <c r="B47" s="53" t="inlineStr">
        <is>
          <t>P&amp;L</t>
        </is>
      </c>
      <c r="C47" s="53" t="inlineStr">
        <is>
          <t>Operating Expense</t>
        </is>
      </c>
      <c r="D47" s="53" t="inlineStr">
        <is>
          <t>Payroll Expenses</t>
        </is>
      </c>
      <c r="E47" s="53" t="inlineStr">
        <is>
          <t>ALL</t>
        </is>
      </c>
      <c r="F47" s="53" t="n">
        <v>46</v>
      </c>
    </row>
    <row r="48">
      <c r="A48" s="53" t="inlineStr">
        <is>
          <t>Contractors</t>
        </is>
      </c>
      <c r="B48" s="53" t="inlineStr">
        <is>
          <t>P&amp;L</t>
        </is>
      </c>
      <c r="C48" s="53" t="inlineStr">
        <is>
          <t>Operating Expense</t>
        </is>
      </c>
      <c r="D48" s="53" t="inlineStr">
        <is>
          <t>Expenses</t>
        </is>
      </c>
      <c r="E48" s="53" t="inlineStr">
        <is>
          <t>ALL</t>
        </is>
      </c>
      <c r="F48" s="53" t="n">
        <v>47</v>
      </c>
    </row>
    <row r="49">
      <c r="A49" s="53" t="inlineStr">
        <is>
          <t>DEF - Boom Truck</t>
        </is>
      </c>
      <c r="B49" s="53" t="inlineStr">
        <is>
          <t>P&amp;L</t>
        </is>
      </c>
      <c r="C49" s="53" t="inlineStr">
        <is>
          <t>Operating Expense</t>
        </is>
      </c>
      <c r="D49" s="53" t="inlineStr">
        <is>
          <t>Car &amp; Truck</t>
        </is>
      </c>
      <c r="E49" s="53" t="inlineStr">
        <is>
          <t>ALL</t>
        </is>
      </c>
      <c r="F49" s="53" t="n">
        <v>48</v>
      </c>
    </row>
    <row r="50">
      <c r="A50" s="53" t="inlineStr">
        <is>
          <t>DOT Boom Trucks Compliance</t>
        </is>
      </c>
      <c r="B50" s="53" t="inlineStr">
        <is>
          <t>P&amp;L</t>
        </is>
      </c>
      <c r="C50" s="53" t="inlineStr">
        <is>
          <t>Operating Expense</t>
        </is>
      </c>
      <c r="D50" s="53" t="inlineStr">
        <is>
          <t>Car &amp; Truck</t>
        </is>
      </c>
      <c r="E50" s="53" t="inlineStr">
        <is>
          <t>ALL</t>
        </is>
      </c>
      <c r="F50" s="53" t="n">
        <v>49</v>
      </c>
    </row>
    <row r="51">
      <c r="A51" s="53" t="inlineStr">
        <is>
          <t>Depreciation</t>
        </is>
      </c>
      <c r="B51" s="53" t="inlineStr">
        <is>
          <t>P&amp;L</t>
        </is>
      </c>
      <c r="C51" s="53" t="inlineStr">
        <is>
          <t>Operating Expense</t>
        </is>
      </c>
      <c r="D51" s="53" t="inlineStr">
        <is>
          <t>Expenses</t>
        </is>
      </c>
      <c r="E51" s="53" t="inlineStr">
        <is>
          <t>ALL</t>
        </is>
      </c>
      <c r="F51" s="53" t="n">
        <v>50</v>
      </c>
    </row>
    <row r="52">
      <c r="A52" s="53" t="inlineStr">
        <is>
          <t>Drywall Division Labor - Subcontractors</t>
        </is>
      </c>
      <c r="B52" s="53" t="inlineStr">
        <is>
          <t>P&amp;L</t>
        </is>
      </c>
      <c r="C52" s="53" t="inlineStr">
        <is>
          <t>Operating Expense</t>
        </is>
      </c>
      <c r="D52" s="53" t="inlineStr">
        <is>
          <t>Expenses</t>
        </is>
      </c>
      <c r="E52" s="53" t="inlineStr">
        <is>
          <t>DW</t>
        </is>
      </c>
      <c r="F52" s="53" t="n">
        <v>51</v>
      </c>
    </row>
    <row r="53">
      <c r="A53" s="53" t="inlineStr">
        <is>
          <t>Drywall Division Supplies Expense</t>
        </is>
      </c>
      <c r="B53" s="53" t="inlineStr">
        <is>
          <t>P&amp;L</t>
        </is>
      </c>
      <c r="C53" s="53" t="inlineStr">
        <is>
          <t>Operating Expense</t>
        </is>
      </c>
      <c r="D53" s="53" t="inlineStr">
        <is>
          <t>Expenses</t>
        </is>
      </c>
      <c r="E53" s="53" t="inlineStr">
        <is>
          <t>DW</t>
        </is>
      </c>
      <c r="F53" s="53" t="n">
        <v>52</v>
      </c>
    </row>
    <row r="54">
      <c r="A54" s="53" t="inlineStr">
        <is>
          <t>Drywall Supply HD Boom Scatter Diesel - Boom Truck</t>
        </is>
      </c>
      <c r="B54" s="53" t="inlineStr">
        <is>
          <t>P&amp;L</t>
        </is>
      </c>
      <c r="C54" s="53" t="inlineStr">
        <is>
          <t>Operating Expense</t>
        </is>
      </c>
      <c r="D54" s="53" t="inlineStr">
        <is>
          <t>Fuel Diesel - Boom Truck</t>
        </is>
      </c>
      <c r="E54" s="53" t="inlineStr">
        <is>
          <t>DW</t>
        </is>
      </c>
      <c r="F54" s="53" t="n">
        <v>53</v>
      </c>
    </row>
    <row r="55">
      <c r="A55" s="53" t="inlineStr">
        <is>
          <t>Drywall Supply HD Boom Scatter Expense</t>
        </is>
      </c>
      <c r="B55" s="53" t="inlineStr">
        <is>
          <t>P&amp;L</t>
        </is>
      </c>
      <c r="C55" s="53" t="inlineStr">
        <is>
          <t>Operating Expense</t>
        </is>
      </c>
      <c r="D55" s="53" t="inlineStr">
        <is>
          <t>Expenses</t>
        </is>
      </c>
      <c r="E55" s="53" t="inlineStr">
        <is>
          <t>DW</t>
        </is>
      </c>
      <c r="F55" s="53" t="n">
        <v>54</v>
      </c>
    </row>
    <row r="56">
      <c r="A56" s="53" t="inlineStr">
        <is>
          <t>Drywall Supply HD Boom Scatter Labor</t>
        </is>
      </c>
      <c r="B56" s="53" t="inlineStr">
        <is>
          <t>P&amp;L</t>
        </is>
      </c>
      <c r="C56" s="53" t="inlineStr">
        <is>
          <t>Operating Expense</t>
        </is>
      </c>
      <c r="D56" s="53" t="inlineStr">
        <is>
          <t>Expenses</t>
        </is>
      </c>
      <c r="E56" s="53" t="inlineStr">
        <is>
          <t>DW</t>
        </is>
      </c>
      <c r="F56" s="53" t="n">
        <v>55</v>
      </c>
    </row>
    <row r="57">
      <c r="A57" s="53" t="inlineStr">
        <is>
          <t>Drywall Supply HD Boom Scatter Travel</t>
        </is>
      </c>
      <c r="B57" s="53" t="inlineStr">
        <is>
          <t>P&amp;L</t>
        </is>
      </c>
      <c r="C57" s="53" t="inlineStr">
        <is>
          <t>Operating Expense</t>
        </is>
      </c>
      <c r="D57" s="53" t="inlineStr">
        <is>
          <t>Expenses</t>
        </is>
      </c>
      <c r="E57" s="53" t="inlineStr">
        <is>
          <t>DW</t>
        </is>
      </c>
      <c r="F57" s="53" t="n">
        <v>56</v>
      </c>
    </row>
    <row r="58">
      <c r="A58" s="53" t="inlineStr">
        <is>
          <t>Dues &amp; subscriptions</t>
        </is>
      </c>
      <c r="B58" s="53" t="inlineStr">
        <is>
          <t>P&amp;L</t>
        </is>
      </c>
      <c r="C58" s="53" t="inlineStr">
        <is>
          <t>Operating Expense</t>
        </is>
      </c>
      <c r="D58" s="53" t="inlineStr">
        <is>
          <t>Expenses</t>
        </is>
      </c>
      <c r="E58" s="53" t="inlineStr">
        <is>
          <t>ALL</t>
        </is>
      </c>
      <c r="F58" s="53" t="n">
        <v>57</v>
      </c>
    </row>
    <row r="59">
      <c r="A59" s="53" t="inlineStr">
        <is>
          <t>Employee Benefits</t>
        </is>
      </c>
      <c r="B59" s="53" t="inlineStr">
        <is>
          <t>P&amp;L</t>
        </is>
      </c>
      <c r="C59" s="53" t="inlineStr">
        <is>
          <t>Operating Expense</t>
        </is>
      </c>
      <c r="D59" s="53" t="inlineStr">
        <is>
          <t>Payroll Expenses</t>
        </is>
      </c>
      <c r="E59" s="53" t="inlineStr">
        <is>
          <t>ALL</t>
        </is>
      </c>
      <c r="F59" s="53" t="n">
        <v>58</v>
      </c>
    </row>
    <row r="60">
      <c r="A60" s="53" t="inlineStr">
        <is>
          <t>Entertainment</t>
        </is>
      </c>
      <c r="B60" s="53" t="inlineStr">
        <is>
          <t>P&amp;L</t>
        </is>
      </c>
      <c r="C60" s="53" t="inlineStr">
        <is>
          <t>Operating Expense</t>
        </is>
      </c>
      <c r="D60" s="53" t="inlineStr">
        <is>
          <t>Meals &amp; Entertainment</t>
        </is>
      </c>
      <c r="E60" s="53" t="inlineStr">
        <is>
          <t>ALL</t>
        </is>
      </c>
      <c r="F60" s="53" t="n">
        <v>59</v>
      </c>
    </row>
    <row r="61">
      <c r="A61" s="53" t="inlineStr">
        <is>
          <t>Equipment/Vehicle Rental</t>
        </is>
      </c>
      <c r="B61" s="53" t="inlineStr">
        <is>
          <t>P&amp;L</t>
        </is>
      </c>
      <c r="C61" s="53" t="inlineStr">
        <is>
          <t>Operating Expense</t>
        </is>
      </c>
      <c r="D61" s="53" t="inlineStr">
        <is>
          <t>Expenses</t>
        </is>
      </c>
      <c r="E61" s="53" t="inlineStr">
        <is>
          <t>ALL</t>
        </is>
      </c>
      <c r="F61" s="53" t="n">
        <v>60</v>
      </c>
    </row>
    <row r="62">
      <c r="A62" s="53" t="inlineStr">
        <is>
          <t>Expenses — Unitemized</t>
        </is>
      </c>
      <c r="B62" s="53" t="inlineStr">
        <is>
          <t>P&amp;L</t>
        </is>
      </c>
      <c r="C62" s="53" t="inlineStr">
        <is>
          <t>Operating Expense</t>
        </is>
      </c>
      <c r="D62" s="53" t="inlineStr">
        <is>
          <t>Expenses</t>
        </is>
      </c>
      <c r="E62" s="53" t="inlineStr">
        <is>
          <t>ALL</t>
        </is>
      </c>
      <c r="F62" s="53" t="n">
        <v>61</v>
      </c>
    </row>
    <row r="63">
      <c r="A63" s="53" t="inlineStr">
        <is>
          <t>Freight</t>
        </is>
      </c>
      <c r="B63" s="53" t="inlineStr">
        <is>
          <t>P&amp;L</t>
        </is>
      </c>
      <c r="C63" s="53" t="inlineStr">
        <is>
          <t>Operating Expense</t>
        </is>
      </c>
      <c r="D63" s="53" t="inlineStr">
        <is>
          <t>Expenses</t>
        </is>
      </c>
      <c r="E63" s="53" t="inlineStr">
        <is>
          <t>ALL</t>
        </is>
      </c>
      <c r="F63" s="53" t="n">
        <v>62</v>
      </c>
    </row>
    <row r="64">
      <c r="A64" s="53" t="inlineStr">
        <is>
          <t>Fuel Diesel - Boom Truck</t>
        </is>
      </c>
      <c r="B64" s="53" t="inlineStr">
        <is>
          <t>P&amp;L</t>
        </is>
      </c>
      <c r="C64" s="53" t="inlineStr">
        <is>
          <t>Operating Expense</t>
        </is>
      </c>
      <c r="D64" s="53" t="inlineStr">
        <is>
          <t>Car &amp; Truck</t>
        </is>
      </c>
      <c r="E64" s="53" t="inlineStr">
        <is>
          <t>ALL</t>
        </is>
      </c>
      <c r="F64" s="53" t="n">
        <v>63</v>
      </c>
    </row>
    <row r="65">
      <c r="A65" s="53" t="inlineStr">
        <is>
          <t>Fuel Truck - Company Pickup</t>
        </is>
      </c>
      <c r="B65" s="53" t="inlineStr">
        <is>
          <t>P&amp;L</t>
        </is>
      </c>
      <c r="C65" s="53" t="inlineStr">
        <is>
          <t>Operating Expense</t>
        </is>
      </c>
      <c r="D65" s="53" t="inlineStr">
        <is>
          <t>Car &amp; Truck</t>
        </is>
      </c>
      <c r="E65" s="53" t="inlineStr">
        <is>
          <t>ALL</t>
        </is>
      </c>
      <c r="F65" s="53" t="n">
        <v>64</v>
      </c>
    </row>
    <row r="66">
      <c r="A66" s="53" t="inlineStr">
        <is>
          <t>Health Insurance</t>
        </is>
      </c>
      <c r="B66" s="53" t="inlineStr">
        <is>
          <t>P&amp;L</t>
        </is>
      </c>
      <c r="C66" s="53" t="inlineStr">
        <is>
          <t>Operating Expense</t>
        </is>
      </c>
      <c r="D66" s="53" t="inlineStr">
        <is>
          <t>Employee Benefits</t>
        </is>
      </c>
      <c r="E66" s="53" t="inlineStr">
        <is>
          <t>ALL</t>
        </is>
      </c>
      <c r="F66" s="53" t="n">
        <v>65</v>
      </c>
    </row>
    <row r="67">
      <c r="A67" s="53" t="inlineStr">
        <is>
          <t>Insurance</t>
        </is>
      </c>
      <c r="B67" s="53" t="inlineStr">
        <is>
          <t>P&amp;L</t>
        </is>
      </c>
      <c r="C67" s="53" t="inlineStr">
        <is>
          <t>Operating Expense</t>
        </is>
      </c>
      <c r="D67" s="53" t="inlineStr">
        <is>
          <t>Expenses</t>
        </is>
      </c>
      <c r="E67" s="53" t="inlineStr">
        <is>
          <t>ALL</t>
        </is>
      </c>
      <c r="F67" s="53" t="n">
        <v>66</v>
      </c>
    </row>
    <row r="68">
      <c r="A68" s="53" t="inlineStr">
        <is>
          <t>Interest Paid</t>
        </is>
      </c>
      <c r="B68" s="53" t="inlineStr">
        <is>
          <t>P&amp;L</t>
        </is>
      </c>
      <c r="C68" s="53" t="inlineStr">
        <is>
          <t>Operating Expense</t>
        </is>
      </c>
      <c r="D68" s="53" t="inlineStr">
        <is>
          <t>Expenses</t>
        </is>
      </c>
      <c r="E68" s="53" t="inlineStr">
        <is>
          <t>ALL</t>
        </is>
      </c>
      <c r="F68" s="53" t="n">
        <v>67</v>
      </c>
    </row>
    <row r="69">
      <c r="A69" s="53" t="inlineStr">
        <is>
          <t>Job Supplies</t>
        </is>
      </c>
      <c r="B69" s="53" t="inlineStr">
        <is>
          <t>P&amp;L</t>
        </is>
      </c>
      <c r="C69" s="53" t="inlineStr">
        <is>
          <t>Operating Expense</t>
        </is>
      </c>
      <c r="D69" s="53" t="inlineStr">
        <is>
          <t>Expenses</t>
        </is>
      </c>
      <c r="E69" s="53" t="inlineStr">
        <is>
          <t>ALL</t>
        </is>
      </c>
      <c r="F69" s="53" t="n">
        <v>68</v>
      </c>
    </row>
    <row r="70">
      <c r="A70" s="53" t="inlineStr">
        <is>
          <t>Legal &amp; Professional Services</t>
        </is>
      </c>
      <c r="B70" s="53" t="inlineStr">
        <is>
          <t>P&amp;L</t>
        </is>
      </c>
      <c r="C70" s="53" t="inlineStr">
        <is>
          <t>Operating Expense</t>
        </is>
      </c>
      <c r="D70" s="53" t="inlineStr">
        <is>
          <t>Expenses</t>
        </is>
      </c>
      <c r="E70" s="53" t="inlineStr">
        <is>
          <t>ALL</t>
        </is>
      </c>
      <c r="F70" s="53" t="n">
        <v>69</v>
      </c>
    </row>
    <row r="71">
      <c r="A71" s="53" t="inlineStr">
        <is>
          <t>Meals</t>
        </is>
      </c>
      <c r="B71" s="53" t="inlineStr">
        <is>
          <t>P&amp;L</t>
        </is>
      </c>
      <c r="C71" s="53" t="inlineStr">
        <is>
          <t>Operating Expense</t>
        </is>
      </c>
      <c r="D71" s="53" t="inlineStr">
        <is>
          <t>Meals &amp; Entertainment</t>
        </is>
      </c>
      <c r="E71" s="53" t="inlineStr">
        <is>
          <t>ALL</t>
        </is>
      </c>
      <c r="F71" s="53" t="n">
        <v>70</v>
      </c>
    </row>
    <row r="72">
      <c r="A72" s="53" t="inlineStr">
        <is>
          <t>Meals &amp; Entertainment</t>
        </is>
      </c>
      <c r="B72" s="53" t="inlineStr">
        <is>
          <t>P&amp;L</t>
        </is>
      </c>
      <c r="C72" s="53" t="inlineStr">
        <is>
          <t>Operating Expense</t>
        </is>
      </c>
      <c r="D72" s="53" t="inlineStr">
        <is>
          <t>Expenses</t>
        </is>
      </c>
      <c r="E72" s="53" t="inlineStr">
        <is>
          <t>ALL</t>
        </is>
      </c>
      <c r="F72" s="53" t="n">
        <v>71</v>
      </c>
    </row>
    <row r="73">
      <c r="A73" s="53" t="inlineStr">
        <is>
          <t>Melio Credit card fee</t>
        </is>
      </c>
      <c r="B73" s="53" t="inlineStr">
        <is>
          <t>P&amp;L</t>
        </is>
      </c>
      <c r="C73" s="53" t="inlineStr">
        <is>
          <t>Operating Expense</t>
        </is>
      </c>
      <c r="D73" s="53" t="inlineStr">
        <is>
          <t>Expenses</t>
        </is>
      </c>
      <c r="E73" s="53" t="inlineStr">
        <is>
          <t>ALL</t>
        </is>
      </c>
      <c r="F73" s="53" t="n">
        <v>72</v>
      </c>
    </row>
    <row r="74">
      <c r="A74" s="53" t="inlineStr">
        <is>
          <t>Misc / Spot Bonus Expense</t>
        </is>
      </c>
      <c r="B74" s="53" t="inlineStr">
        <is>
          <t>P&amp;L</t>
        </is>
      </c>
      <c r="C74" s="53" t="inlineStr">
        <is>
          <t>Operating Expense</t>
        </is>
      </c>
      <c r="D74" s="53" t="inlineStr">
        <is>
          <t>Bonus &amp; Commission Expense</t>
        </is>
      </c>
      <c r="E74" s="53" t="inlineStr">
        <is>
          <t>ALL</t>
        </is>
      </c>
      <c r="F74" s="53" t="n">
        <v>73</v>
      </c>
    </row>
    <row r="75">
      <c r="A75" s="53" t="inlineStr">
        <is>
          <t>Office Supplies &amp; Software</t>
        </is>
      </c>
      <c r="B75" s="53" t="inlineStr">
        <is>
          <t>P&amp;L</t>
        </is>
      </c>
      <c r="C75" s="53" t="inlineStr">
        <is>
          <t>Operating Expense</t>
        </is>
      </c>
      <c r="D75" s="53" t="inlineStr">
        <is>
          <t>Expenses</t>
        </is>
      </c>
      <c r="E75" s="53" t="inlineStr">
        <is>
          <t>ALL</t>
        </is>
      </c>
      <c r="F75" s="53" t="n">
        <v>74</v>
      </c>
    </row>
    <row r="76">
      <c r="A76" s="53" t="inlineStr">
        <is>
          <t>Other Business Expenses</t>
        </is>
      </c>
      <c r="B76" s="53" t="inlineStr">
        <is>
          <t>P&amp;L</t>
        </is>
      </c>
      <c r="C76" s="53" t="inlineStr">
        <is>
          <t>Operating Expense</t>
        </is>
      </c>
      <c r="D76" s="53" t="inlineStr">
        <is>
          <t>Expenses</t>
        </is>
      </c>
      <c r="E76" s="53" t="inlineStr">
        <is>
          <t>ALL</t>
        </is>
      </c>
      <c r="F76" s="53" t="n">
        <v>75</v>
      </c>
    </row>
    <row r="77">
      <c r="A77" s="53" t="inlineStr">
        <is>
          <t>Outsourced IT Services</t>
        </is>
      </c>
      <c r="B77" s="53" t="inlineStr">
        <is>
          <t>P&amp;L</t>
        </is>
      </c>
      <c r="C77" s="53" t="inlineStr">
        <is>
          <t>Operating Expense</t>
        </is>
      </c>
      <c r="D77" s="53" t="inlineStr">
        <is>
          <t>Expenses</t>
        </is>
      </c>
      <c r="E77" s="53" t="inlineStr">
        <is>
          <t>ALL</t>
        </is>
      </c>
      <c r="F77" s="53" t="n">
        <v>76</v>
      </c>
    </row>
    <row r="78">
      <c r="A78" s="53" t="inlineStr">
        <is>
          <t>Outsourced Safety</t>
        </is>
      </c>
      <c r="B78" s="53" t="inlineStr">
        <is>
          <t>P&amp;L</t>
        </is>
      </c>
      <c r="C78" s="53" t="inlineStr">
        <is>
          <t>Operating Expense</t>
        </is>
      </c>
      <c r="D78" s="53" t="inlineStr">
        <is>
          <t>Expenses</t>
        </is>
      </c>
      <c r="E78" s="53" t="inlineStr">
        <is>
          <t>ALL</t>
        </is>
      </c>
      <c r="F78" s="53" t="n">
        <v>77</v>
      </c>
    </row>
    <row r="79">
      <c r="A79" s="53" t="inlineStr">
        <is>
          <t>Payroll Fees</t>
        </is>
      </c>
      <c r="B79" s="53" t="inlineStr">
        <is>
          <t>P&amp;L</t>
        </is>
      </c>
      <c r="C79" s="53" t="inlineStr">
        <is>
          <t>Operating Expense</t>
        </is>
      </c>
      <c r="D79" s="53" t="inlineStr">
        <is>
          <t>Payroll Expenses</t>
        </is>
      </c>
      <c r="E79" s="53" t="inlineStr">
        <is>
          <t>ALL</t>
        </is>
      </c>
      <c r="F79" s="53" t="n">
        <v>78</v>
      </c>
    </row>
    <row r="80">
      <c r="A80" s="53" t="inlineStr">
        <is>
          <t>Property Tax</t>
        </is>
      </c>
      <c r="B80" s="53" t="inlineStr">
        <is>
          <t>P&amp;L</t>
        </is>
      </c>
      <c r="C80" s="53" t="inlineStr">
        <is>
          <t>Operating Expense</t>
        </is>
      </c>
      <c r="D80" s="53" t="inlineStr">
        <is>
          <t>Expenses</t>
        </is>
      </c>
      <c r="E80" s="53" t="inlineStr">
        <is>
          <t>ALL</t>
        </is>
      </c>
      <c r="F80" s="53" t="n">
        <v>79</v>
      </c>
    </row>
    <row r="81">
      <c r="A81" s="53" t="inlineStr">
        <is>
          <t>Reimbursable Expenses</t>
        </is>
      </c>
      <c r="B81" s="53" t="inlineStr">
        <is>
          <t>P&amp;L</t>
        </is>
      </c>
      <c r="C81" s="53" t="inlineStr">
        <is>
          <t>Operating Expense</t>
        </is>
      </c>
      <c r="D81" s="53" t="inlineStr">
        <is>
          <t>Expenses</t>
        </is>
      </c>
      <c r="E81" s="53" t="inlineStr">
        <is>
          <t>ALL</t>
        </is>
      </c>
      <c r="F81" s="53" t="n">
        <v>80</v>
      </c>
    </row>
    <row r="82">
      <c r="A82" s="53" t="inlineStr">
        <is>
          <t>Rent &amp; Lease</t>
        </is>
      </c>
      <c r="B82" s="53" t="inlineStr">
        <is>
          <t>P&amp;L</t>
        </is>
      </c>
      <c r="C82" s="53" t="inlineStr">
        <is>
          <t>Operating Expense</t>
        </is>
      </c>
      <c r="D82" s="53" t="inlineStr">
        <is>
          <t>Expenses</t>
        </is>
      </c>
      <c r="E82" s="53" t="inlineStr">
        <is>
          <t>ALL</t>
        </is>
      </c>
      <c r="F82" s="53" t="n">
        <v>81</v>
      </c>
    </row>
    <row r="83">
      <c r="A83" s="53" t="inlineStr">
        <is>
          <t>Repairs &amp; Maintenance</t>
        </is>
      </c>
      <c r="B83" s="53" t="inlineStr">
        <is>
          <t>P&amp;L</t>
        </is>
      </c>
      <c r="C83" s="53" t="inlineStr">
        <is>
          <t>Operating Expense</t>
        </is>
      </c>
      <c r="D83" s="53" t="inlineStr">
        <is>
          <t>Expenses</t>
        </is>
      </c>
      <c r="E83" s="53" t="inlineStr">
        <is>
          <t>ALL</t>
        </is>
      </c>
      <c r="F83" s="53" t="n">
        <v>82</v>
      </c>
    </row>
    <row r="84">
      <c r="A84" s="53" t="inlineStr">
        <is>
          <t>Service - Boom Truck</t>
        </is>
      </c>
      <c r="B84" s="53" t="inlineStr">
        <is>
          <t>P&amp;L</t>
        </is>
      </c>
      <c r="C84" s="53" t="inlineStr">
        <is>
          <t>Operating Expense</t>
        </is>
      </c>
      <c r="D84" s="53" t="inlineStr">
        <is>
          <t>Car &amp; Truck</t>
        </is>
      </c>
      <c r="E84" s="53" t="inlineStr">
        <is>
          <t>ALL</t>
        </is>
      </c>
      <c r="F84" s="53" t="n">
        <v>83</v>
      </c>
    </row>
    <row r="85">
      <c r="A85" s="53" t="inlineStr">
        <is>
          <t>Service - Boom Truck 1103 Volvo</t>
        </is>
      </c>
      <c r="B85" s="53" t="inlineStr">
        <is>
          <t>P&amp;L</t>
        </is>
      </c>
      <c r="C85" s="53" t="inlineStr">
        <is>
          <t>Operating Expense</t>
        </is>
      </c>
      <c r="D85" s="53" t="inlineStr">
        <is>
          <t>Car &amp; Truck</t>
        </is>
      </c>
      <c r="E85" s="53" t="inlineStr">
        <is>
          <t>ALL</t>
        </is>
      </c>
      <c r="F85" s="53" t="n">
        <v>84</v>
      </c>
    </row>
    <row r="86">
      <c r="A86" s="53" t="inlineStr">
        <is>
          <t>Service - Boom Truck 1107 Western Star</t>
        </is>
      </c>
      <c r="B86" s="53" t="inlineStr">
        <is>
          <t>P&amp;L</t>
        </is>
      </c>
      <c r="C86" s="53" t="inlineStr">
        <is>
          <t>Operating Expense</t>
        </is>
      </c>
      <c r="D86" s="53" t="inlineStr">
        <is>
          <t>Car &amp; Truck</t>
        </is>
      </c>
      <c r="E86" s="53" t="inlineStr">
        <is>
          <t>ALL</t>
        </is>
      </c>
      <c r="F86" s="53" t="n">
        <v>85</v>
      </c>
    </row>
    <row r="87">
      <c r="A87" s="53" t="inlineStr">
        <is>
          <t>Service - Boom Truck 1109 Freightliner 16</t>
        </is>
      </c>
      <c r="B87" s="53" t="inlineStr">
        <is>
          <t>P&amp;L</t>
        </is>
      </c>
      <c r="C87" s="53" t="inlineStr">
        <is>
          <t>Operating Expense</t>
        </is>
      </c>
      <c r="D87" s="53" t="inlineStr">
        <is>
          <t>Car &amp; Truck</t>
        </is>
      </c>
      <c r="E87" s="53" t="inlineStr">
        <is>
          <t>ALL</t>
        </is>
      </c>
      <c r="F87" s="53" t="n">
        <v>86</v>
      </c>
    </row>
    <row r="88">
      <c r="A88" s="53" t="inlineStr">
        <is>
          <t>Service - Boom Truck 1110 Peterbilt 18</t>
        </is>
      </c>
      <c r="B88" s="53" t="inlineStr">
        <is>
          <t>P&amp;L</t>
        </is>
      </c>
      <c r="C88" s="53" t="inlineStr">
        <is>
          <t>Operating Expense</t>
        </is>
      </c>
      <c r="D88" s="53" t="inlineStr">
        <is>
          <t>Car &amp; Truck</t>
        </is>
      </c>
      <c r="E88" s="53" t="inlineStr">
        <is>
          <t>ALL</t>
        </is>
      </c>
      <c r="F88" s="53" t="n">
        <v>87</v>
      </c>
    </row>
    <row r="89">
      <c r="A89" s="53" t="inlineStr">
        <is>
          <t>Service - Boom Truck 1111 Freightliner</t>
        </is>
      </c>
      <c r="B89" s="53" t="inlineStr">
        <is>
          <t>P&amp;L</t>
        </is>
      </c>
      <c r="C89" s="53" t="inlineStr">
        <is>
          <t>Operating Expense</t>
        </is>
      </c>
      <c r="D89" s="53" t="inlineStr">
        <is>
          <t>Car &amp; Truck</t>
        </is>
      </c>
      <c r="E89" s="53" t="inlineStr">
        <is>
          <t>ALL</t>
        </is>
      </c>
      <c r="F89" s="53" t="n">
        <v>88</v>
      </c>
    </row>
    <row r="90">
      <c r="A90" s="53" t="inlineStr">
        <is>
          <t>Service - Boom Truck 1112 Peterbilt 17</t>
        </is>
      </c>
      <c r="B90" s="53" t="inlineStr">
        <is>
          <t>P&amp;L</t>
        </is>
      </c>
      <c r="C90" s="53" t="inlineStr">
        <is>
          <t>Operating Expense</t>
        </is>
      </c>
      <c r="D90" s="53" t="inlineStr">
        <is>
          <t>Car &amp; Truck</t>
        </is>
      </c>
      <c r="E90" s="53" t="inlineStr">
        <is>
          <t>ALL</t>
        </is>
      </c>
      <c r="F90" s="53" t="n">
        <v>89</v>
      </c>
    </row>
    <row r="91">
      <c r="A91" s="53" t="inlineStr">
        <is>
          <t>Service - Company Truck</t>
        </is>
      </c>
      <c r="B91" s="53" t="inlineStr">
        <is>
          <t>P&amp;L</t>
        </is>
      </c>
      <c r="C91" s="53" t="inlineStr">
        <is>
          <t>Operating Expense</t>
        </is>
      </c>
      <c r="D91" s="53" t="inlineStr">
        <is>
          <t>Car &amp; Truck</t>
        </is>
      </c>
      <c r="E91" s="53" t="inlineStr">
        <is>
          <t>ALL</t>
        </is>
      </c>
      <c r="F91" s="53" t="n">
        <v>90</v>
      </c>
    </row>
    <row r="92">
      <c r="A92" s="53" t="inlineStr">
        <is>
          <t>Small Tools &amp; Equipment</t>
        </is>
      </c>
      <c r="B92" s="53" t="inlineStr">
        <is>
          <t>P&amp;L</t>
        </is>
      </c>
      <c r="C92" s="53" t="inlineStr">
        <is>
          <t>Operating Expense</t>
        </is>
      </c>
      <c r="D92" s="53" t="inlineStr">
        <is>
          <t>Expenses</t>
        </is>
      </c>
      <c r="E92" s="53" t="inlineStr">
        <is>
          <t>ALL</t>
        </is>
      </c>
      <c r="F92" s="53" t="n">
        <v>91</v>
      </c>
    </row>
    <row r="93">
      <c r="A93" s="53" t="inlineStr">
        <is>
          <t>Software Subscription/Use Fee</t>
        </is>
      </c>
      <c r="B93" s="53" t="inlineStr">
        <is>
          <t>P&amp;L</t>
        </is>
      </c>
      <c r="C93" s="53" t="inlineStr">
        <is>
          <t>Operating Expense</t>
        </is>
      </c>
      <c r="D93" s="53" t="inlineStr">
        <is>
          <t>Office Supplies &amp; Software</t>
        </is>
      </c>
      <c r="E93" s="53" t="inlineStr">
        <is>
          <t>ALL</t>
        </is>
      </c>
      <c r="F93" s="53" t="n">
        <v>92</v>
      </c>
    </row>
    <row r="94">
      <c r="A94" s="53" t="inlineStr">
        <is>
          <t>Taxes</t>
        </is>
      </c>
      <c r="B94" s="53" t="inlineStr">
        <is>
          <t>P&amp;L</t>
        </is>
      </c>
      <c r="C94" s="53" t="inlineStr">
        <is>
          <t>Operating Expense</t>
        </is>
      </c>
      <c r="D94" s="53" t="inlineStr">
        <is>
          <t>Payroll Expenses</t>
        </is>
      </c>
      <c r="E94" s="53" t="inlineStr">
        <is>
          <t>ALL</t>
        </is>
      </c>
      <c r="F94" s="53" t="n">
        <v>93</v>
      </c>
    </row>
    <row r="95">
      <c r="A95" s="53" t="inlineStr">
        <is>
          <t>Taxes &amp; Licenses</t>
        </is>
      </c>
      <c r="B95" s="53" t="inlineStr">
        <is>
          <t>P&amp;L</t>
        </is>
      </c>
      <c r="C95" s="53" t="inlineStr">
        <is>
          <t>Operating Expense</t>
        </is>
      </c>
      <c r="D95" s="53" t="inlineStr">
        <is>
          <t>Expenses</t>
        </is>
      </c>
      <c r="E95" s="53" t="inlineStr">
        <is>
          <t>ALL</t>
        </is>
      </c>
      <c r="F95" s="53" t="n">
        <v>94</v>
      </c>
    </row>
    <row r="96">
      <c r="A96" s="53" t="inlineStr">
        <is>
          <t>Training &amp; Education</t>
        </is>
      </c>
      <c r="B96" s="53" t="inlineStr">
        <is>
          <t>P&amp;L</t>
        </is>
      </c>
      <c r="C96" s="53" t="inlineStr">
        <is>
          <t>Operating Expense</t>
        </is>
      </c>
      <c r="D96" s="53" t="inlineStr">
        <is>
          <t>Expenses</t>
        </is>
      </c>
      <c r="E96" s="53" t="inlineStr">
        <is>
          <t>ALL</t>
        </is>
      </c>
      <c r="F96" s="53" t="n">
        <v>95</v>
      </c>
    </row>
    <row r="97">
      <c r="A97" s="53" t="inlineStr">
        <is>
          <t>Travel</t>
        </is>
      </c>
      <c r="B97" s="53" t="inlineStr">
        <is>
          <t>P&amp;L</t>
        </is>
      </c>
      <c r="C97" s="53" t="inlineStr">
        <is>
          <t>Operating Expense</t>
        </is>
      </c>
      <c r="D97" s="53" t="inlineStr">
        <is>
          <t>Expenses</t>
        </is>
      </c>
      <c r="E97" s="53" t="inlineStr">
        <is>
          <t>ALL</t>
        </is>
      </c>
      <c r="F97" s="53" t="n">
        <v>96</v>
      </c>
    </row>
    <row r="98">
      <c r="A98" s="53" t="inlineStr">
        <is>
          <t>Travel - Fuel</t>
        </is>
      </c>
      <c r="B98" s="53" t="inlineStr">
        <is>
          <t>P&amp;L</t>
        </is>
      </c>
      <c r="C98" s="53" t="inlineStr">
        <is>
          <t>Operating Expense</t>
        </is>
      </c>
      <c r="D98" s="53" t="inlineStr">
        <is>
          <t>Travel</t>
        </is>
      </c>
      <c r="E98" s="53" t="inlineStr">
        <is>
          <t>ALL</t>
        </is>
      </c>
      <c r="F98" s="53" t="n">
        <v>97</v>
      </c>
    </row>
    <row r="99">
      <c r="A99" s="53" t="inlineStr">
        <is>
          <t>Travel - Meals</t>
        </is>
      </c>
      <c r="B99" s="53" t="inlineStr">
        <is>
          <t>P&amp;L</t>
        </is>
      </c>
      <c r="C99" s="53" t="inlineStr">
        <is>
          <t>Operating Expense</t>
        </is>
      </c>
      <c r="D99" s="53" t="inlineStr">
        <is>
          <t>Travel</t>
        </is>
      </c>
      <c r="E99" s="53" t="inlineStr">
        <is>
          <t>ALL</t>
        </is>
      </c>
      <c r="F99" s="53" t="n">
        <v>98</v>
      </c>
    </row>
    <row r="100">
      <c r="A100" s="53" t="inlineStr">
        <is>
          <t>Uncategorized Expense</t>
        </is>
      </c>
      <c r="B100" s="53" t="inlineStr">
        <is>
          <t>P&amp;L</t>
        </is>
      </c>
      <c r="C100" s="53" t="inlineStr">
        <is>
          <t>Operating Expense</t>
        </is>
      </c>
      <c r="D100" s="53" t="inlineStr">
        <is>
          <t>Expenses</t>
        </is>
      </c>
      <c r="E100" s="53" t="inlineStr">
        <is>
          <t>ALL</t>
        </is>
      </c>
      <c r="F100" s="53" t="n">
        <v>99</v>
      </c>
    </row>
    <row r="101">
      <c r="A101" s="53" t="inlineStr">
        <is>
          <t>Utilities</t>
        </is>
      </c>
      <c r="B101" s="53" t="inlineStr">
        <is>
          <t>P&amp;L</t>
        </is>
      </c>
      <c r="C101" s="53" t="inlineStr">
        <is>
          <t>Operating Expense</t>
        </is>
      </c>
      <c r="D101" s="53" t="inlineStr">
        <is>
          <t>Expenses</t>
        </is>
      </c>
      <c r="E101" s="53" t="inlineStr">
        <is>
          <t>ALL</t>
        </is>
      </c>
      <c r="F101" s="53" t="n">
        <v>100</v>
      </c>
    </row>
    <row r="102">
      <c r="A102" s="53" t="inlineStr">
        <is>
          <t>Wage Accrual</t>
        </is>
      </c>
      <c r="B102" s="53" t="inlineStr">
        <is>
          <t>P&amp;L</t>
        </is>
      </c>
      <c r="C102" s="53" t="inlineStr">
        <is>
          <t>Operating Expense</t>
        </is>
      </c>
      <c r="D102" s="53" t="inlineStr">
        <is>
          <t>Bonus &amp; Commission Expense</t>
        </is>
      </c>
      <c r="E102" s="53" t="inlineStr">
        <is>
          <t>ALL</t>
        </is>
      </c>
      <c r="F102" s="53" t="n">
        <v>101</v>
      </c>
    </row>
    <row r="103">
      <c r="A103" s="53" t="inlineStr">
        <is>
          <t>Wages</t>
        </is>
      </c>
      <c r="B103" s="53" t="inlineStr">
        <is>
          <t>P&amp;L</t>
        </is>
      </c>
      <c r="C103" s="53" t="inlineStr">
        <is>
          <t>Operating Expense</t>
        </is>
      </c>
      <c r="D103" s="53" t="inlineStr">
        <is>
          <t>Payroll Expenses</t>
        </is>
      </c>
      <c r="E103" s="53" t="inlineStr">
        <is>
          <t>ALL</t>
        </is>
      </c>
      <c r="F103" s="53" t="n">
        <v>102</v>
      </c>
    </row>
    <row r="104">
      <c r="A104" s="53" t="inlineStr">
        <is>
          <t>Credit Card Rewards</t>
        </is>
      </c>
      <c r="B104" s="53" t="inlineStr">
        <is>
          <t>P&amp;L</t>
        </is>
      </c>
      <c r="C104" s="53" t="inlineStr">
        <is>
          <t>Other Income</t>
        </is>
      </c>
      <c r="D104" s="53" t="inlineStr">
        <is>
          <t>Other Income</t>
        </is>
      </c>
      <c r="E104" s="53" t="inlineStr">
        <is>
          <t>ALL</t>
        </is>
      </c>
      <c r="F104" s="53" t="n">
        <v>103</v>
      </c>
    </row>
    <row r="105">
      <c r="A105" s="53" t="inlineStr">
        <is>
          <t>Interest Earned</t>
        </is>
      </c>
      <c r="B105" s="53" t="inlineStr">
        <is>
          <t>P&amp;L</t>
        </is>
      </c>
      <c r="C105" s="53" t="inlineStr">
        <is>
          <t>Other Income</t>
        </is>
      </c>
      <c r="D105" s="53" t="inlineStr">
        <is>
          <t>Other Income</t>
        </is>
      </c>
      <c r="E105" s="53" t="inlineStr">
        <is>
          <t>ALL</t>
        </is>
      </c>
      <c r="F105" s="53" t="n">
        <v>104</v>
      </c>
    </row>
    <row r="106">
      <c r="A106" s="53" t="inlineStr">
        <is>
          <t>Other Income</t>
        </is>
      </c>
      <c r="B106" s="53" t="inlineStr">
        <is>
          <t>P&amp;L</t>
        </is>
      </c>
      <c r="C106" s="53" t="inlineStr">
        <is>
          <t>Other Income</t>
        </is>
      </c>
      <c r="D106" s="53" t="inlineStr">
        <is>
          <t>Other Income</t>
        </is>
      </c>
      <c r="E106" s="53" t="inlineStr">
        <is>
          <t>ALL</t>
        </is>
      </c>
      <c r="F106" s="53" t="n">
        <v>105</v>
      </c>
    </row>
    <row r="107">
      <c r="A107" s="53" t="inlineStr">
        <is>
          <t>Subletter Rent Income</t>
        </is>
      </c>
      <c r="B107" s="53" t="inlineStr">
        <is>
          <t>P&amp;L</t>
        </is>
      </c>
      <c r="C107" s="53" t="inlineStr">
        <is>
          <t>Other Income</t>
        </is>
      </c>
      <c r="D107" s="53" t="inlineStr">
        <is>
          <t>Other Income</t>
        </is>
      </c>
      <c r="E107" s="53" t="inlineStr">
        <is>
          <t>ALL</t>
        </is>
      </c>
      <c r="F107" s="53" t="n">
        <v>106</v>
      </c>
    </row>
    <row r="108">
      <c r="A108" s="53" t="inlineStr">
        <is>
          <t>Subletter Utility Income</t>
        </is>
      </c>
      <c r="B108" s="53" t="inlineStr">
        <is>
          <t>P&amp;L</t>
        </is>
      </c>
      <c r="C108" s="53" t="inlineStr">
        <is>
          <t>Other Income</t>
        </is>
      </c>
      <c r="D108" s="53" t="inlineStr">
        <is>
          <t>Other Income</t>
        </is>
      </c>
      <c r="E108" s="53" t="inlineStr">
        <is>
          <t>ALL</t>
        </is>
      </c>
      <c r="F108" s="53" t="n">
        <v>107</v>
      </c>
    </row>
    <row r="109">
      <c r="A109" s="53" t="inlineStr">
        <is>
          <t>Vendor Rebate Income</t>
        </is>
      </c>
      <c r="B109" s="53" t="inlineStr">
        <is>
          <t>P&amp;L</t>
        </is>
      </c>
      <c r="C109" s="53" t="inlineStr">
        <is>
          <t>Other Income</t>
        </is>
      </c>
      <c r="D109" s="53" t="inlineStr">
        <is>
          <t>Other Income</t>
        </is>
      </c>
      <c r="E109" s="53" t="inlineStr">
        <is>
          <t>ALL</t>
        </is>
      </c>
      <c r="F109" s="53" t="n">
        <v>108</v>
      </c>
    </row>
    <row r="110">
      <c r="A110" s="53" t="inlineStr">
        <is>
          <t>Gain or Loss on Assets</t>
        </is>
      </c>
      <c r="B110" s="53" t="inlineStr">
        <is>
          <t>P&amp;L</t>
        </is>
      </c>
      <c r="C110" s="53" t="inlineStr">
        <is>
          <t>Other Expense</t>
        </is>
      </c>
      <c r="D110" s="53" t="inlineStr">
        <is>
          <t>Other Expenses</t>
        </is>
      </c>
      <c r="E110" s="53" t="inlineStr">
        <is>
          <t>ALL</t>
        </is>
      </c>
      <c r="F110" s="53" t="n">
        <v>109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9AA3B2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40" t="inlineStr">
        <is>
          <t>DivKey</t>
        </is>
      </c>
      <c r="B1" s="40" t="inlineStr">
        <is>
          <t>Division</t>
        </is>
      </c>
      <c r="C1" s="40" t="inlineStr">
        <is>
          <t>Sort</t>
        </is>
      </c>
      <c r="D1" s="40" t="inlineStr">
        <is>
          <t>Color</t>
        </is>
      </c>
    </row>
    <row r="2">
      <c r="A2" s="53" t="inlineStr">
        <is>
          <t>TI</t>
        </is>
      </c>
      <c r="B2" s="53" t="inlineStr">
        <is>
          <t>Tenant Improvement</t>
        </is>
      </c>
      <c r="C2" s="53" t="n">
        <v>1</v>
      </c>
      <c r="D2" s="53" t="inlineStr">
        <is>
          <t>#029CF5</t>
        </is>
      </c>
    </row>
    <row r="3">
      <c r="A3" s="53" t="inlineStr">
        <is>
          <t>MF</t>
        </is>
      </c>
      <c r="B3" s="53" t="inlineStr">
        <is>
          <t>Multi-Family</t>
        </is>
      </c>
      <c r="C3" s="53" t="n">
        <v>2</v>
      </c>
      <c r="D3" s="53" t="inlineStr">
        <is>
          <t>#4F8FC7</t>
        </is>
      </c>
    </row>
    <row r="4">
      <c r="A4" s="53" t="inlineStr">
        <is>
          <t>DW</t>
        </is>
      </c>
      <c r="B4" s="53" t="inlineStr">
        <is>
          <t>Drywall</t>
        </is>
      </c>
      <c r="C4" s="53" t="n">
        <v>3</v>
      </c>
      <c r="D4" s="53" t="inlineStr">
        <is>
          <t>#6E7585</t>
        </is>
      </c>
    </row>
    <row r="5">
      <c r="A5" s="53" t="inlineStr">
        <is>
          <t>EN</t>
        </is>
      </c>
      <c r="B5" s="53" t="inlineStr">
        <is>
          <t>Engineering</t>
        </is>
      </c>
      <c r="C5" s="53" t="n">
        <v>4</v>
      </c>
      <c r="D5" s="53" t="inlineStr">
        <is>
          <t>#515967</t>
        </is>
      </c>
    </row>
    <row r="6">
      <c r="A6" s="53" t="inlineStr">
        <is>
          <t>UN</t>
        </is>
      </c>
      <c r="B6" s="53" t="inlineStr">
        <is>
          <t>Unallocated</t>
        </is>
      </c>
      <c r="C6" s="53" t="n">
        <v>9</v>
      </c>
      <c r="D6" s="53" t="inlineStr">
        <is>
          <t>#3A4150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9AA3B2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</cols>
  <sheetData>
    <row r="1">
      <c r="A1" s="40" t="inlineStr">
        <is>
          <t>PMName</t>
        </is>
      </c>
      <c r="B1" s="40" t="inlineStr">
        <is>
          <t>ActiveJobs</t>
        </is>
      </c>
      <c r="C1" s="40" t="inlineStr">
        <is>
          <t>Active</t>
        </is>
      </c>
    </row>
    <row r="2">
      <c r="A2" s="53" t="inlineStr">
        <is>
          <t>(Unassigned)</t>
        </is>
      </c>
      <c r="B2" s="53" t="n">
        <v>221</v>
      </c>
      <c r="C2" s="53" t="inlineStr">
        <is>
          <t>FALSE</t>
        </is>
      </c>
    </row>
    <row r="3">
      <c r="A3" s="53" t="inlineStr">
        <is>
          <t>Ben Garza</t>
        </is>
      </c>
      <c r="B3" s="53" t="n">
        <v>15</v>
      </c>
      <c r="C3" s="53" t="inlineStr">
        <is>
          <t>TRUE</t>
        </is>
      </c>
    </row>
    <row r="4">
      <c r="A4" s="53" t="inlineStr">
        <is>
          <t>Cole Garriott</t>
        </is>
      </c>
      <c r="B4" s="53" t="n">
        <v>9</v>
      </c>
      <c r="C4" s="53" t="inlineStr">
        <is>
          <t>TRUE</t>
        </is>
      </c>
    </row>
    <row r="5">
      <c r="A5" s="53" t="inlineStr">
        <is>
          <t>Dustin Hurt</t>
        </is>
      </c>
      <c r="B5" s="53" t="n">
        <v>6</v>
      </c>
      <c r="C5" s="53" t="inlineStr">
        <is>
          <t>TRUE</t>
        </is>
      </c>
    </row>
    <row r="6">
      <c r="A6" s="53" t="inlineStr">
        <is>
          <t>Kelden Tyson</t>
        </is>
      </c>
      <c r="B6" s="53" t="n">
        <v>7</v>
      </c>
      <c r="C6" s="53" t="inlineStr">
        <is>
          <t>TRUE</t>
        </is>
      </c>
    </row>
    <row r="7">
      <c r="A7" s="53" t="inlineStr">
        <is>
          <t>Shawn Welcher</t>
        </is>
      </c>
      <c r="B7" s="53" t="n">
        <v>5</v>
      </c>
      <c r="C7" s="53" t="inlineStr">
        <is>
          <t>TRUE</t>
        </is>
      </c>
    </row>
    <row r="8">
      <c r="A8" s="53" t="inlineStr">
        <is>
          <t>Spencer Anderson</t>
        </is>
      </c>
      <c r="B8" s="53" t="n">
        <v>14</v>
      </c>
      <c r="C8" s="53" t="inlineStr">
        <is>
          <t>TRUE</t>
        </is>
      </c>
    </row>
    <row r="9">
      <c r="A9" s="53" t="inlineStr">
        <is>
          <t>Ted Wells</t>
        </is>
      </c>
      <c r="B9" s="53" t="n">
        <v>3</v>
      </c>
      <c r="C9" s="53" t="inlineStr">
        <is>
          <t>TRUE</t>
        </is>
      </c>
    </row>
    <row r="10">
      <c r="A10" s="53" t="inlineStr">
        <is>
          <t>Tommy Cohoat</t>
        </is>
      </c>
      <c r="B10" s="53" t="n">
        <v>18</v>
      </c>
      <c r="C10" s="53" t="inlineStr">
        <is>
          <t>TRUE</t>
        </is>
      </c>
    </row>
    <row r="11">
      <c r="A11" s="53" t="inlineStr">
        <is>
          <t>Trevor Anderson</t>
        </is>
      </c>
      <c r="B11" s="53" t="n">
        <v>10</v>
      </c>
      <c r="C11" s="53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9AA3B2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40" t="inlineStr">
        <is>
          <t>Param</t>
        </is>
      </c>
      <c r="B1" s="40" t="inlineStr">
        <is>
          <t>Value</t>
        </is>
      </c>
      <c r="C1" s="40" t="inlineStr">
        <is>
          <t>Note</t>
        </is>
      </c>
    </row>
    <row r="2">
      <c r="A2" s="53" t="inlineStr">
        <is>
          <t>LOC Limit</t>
        </is>
      </c>
      <c r="B2" s="53" t="n">
        <v>8000000</v>
      </c>
      <c r="C2" s="53" t="inlineStr">
        <is>
          <t>USER INPUT — Forum line-of-credit commitment (not in QuickBooks)</t>
        </is>
      </c>
    </row>
    <row r="3">
      <c r="A3" s="53" t="inlineStr">
        <is>
          <t>Advance Rate</t>
        </is>
      </c>
      <c r="B3" s="53" t="n">
        <v>0.8</v>
      </c>
      <c r="C3" s="53" t="inlineStr">
        <is>
          <t>USER INPUT — borrowing-base advance rate on eligible AR</t>
        </is>
      </c>
    </row>
    <row r="4">
      <c r="A4" s="53" t="inlineStr">
        <is>
          <t>Eligible AR</t>
        </is>
      </c>
      <c r="B4" s="53" t="n">
        <v>12986875.87</v>
      </c>
      <c r="C4" s="53" t="inlineStr">
        <is>
          <t>Defaulted to total trade AR; refine to eligible basis</t>
        </is>
      </c>
    </row>
    <row r="5">
      <c r="A5" s="53" t="inlineStr">
        <is>
          <t>LOC Drawn</t>
        </is>
      </c>
      <c r="B5" s="53" t="n">
        <v>5440076.95</v>
      </c>
      <c r="C5" s="53" t="inlineStr">
        <is>
          <t>REAL — QuickBooks balance sheet, Forum LOC (0874)</t>
        </is>
      </c>
    </row>
    <row r="6">
      <c r="A6" s="53" t="inlineStr">
        <is>
          <t>Cash Balance</t>
        </is>
      </c>
      <c r="B6" s="53" t="n">
        <v>-54623.3</v>
      </c>
      <c r="C6" s="53" t="inlineStr">
        <is>
          <t>REAL — QuickBooks balance sheet 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62B38"/>
    <outlinePr summaryBelow="1" summaryRight="1"/>
    <pageSetUpPr/>
  </sheetPr>
  <dimension ref="A1:O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Revenue Billed by Job — 2026 (Jan–May)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" customHeight="1">
      <c r="A2" s="3" t="inlineStr">
        <is>
          <t>Knowify invoices by invoice date  •  140 jobs with 2026 revenue  •  sorted largest first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6" customHeight="1">
      <c r="A4" s="22" t="inlineStr">
        <is>
          <t>Job</t>
        </is>
      </c>
      <c r="B4" s="22" t="inlineStr">
        <is>
          <t>Jan 2026</t>
        </is>
      </c>
      <c r="C4" s="22" t="inlineStr">
        <is>
          <t>Feb 2026</t>
        </is>
      </c>
      <c r="D4" s="22" t="inlineStr">
        <is>
          <t>Mar 2026</t>
        </is>
      </c>
      <c r="E4" s="22" t="inlineStr">
        <is>
          <t>Apr 2026</t>
        </is>
      </c>
      <c r="F4" s="22" t="inlineStr">
        <is>
          <t>May 2026</t>
        </is>
      </c>
      <c r="G4" s="22" t="inlineStr">
        <is>
          <t>Total Jan-May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3" t="inlineStr">
        <is>
          <t>MF.2025.972 Union Flats - Fishers</t>
        </is>
      </c>
      <c r="B5" s="24" t="n">
        <v>27090</v>
      </c>
      <c r="C5" s="24" t="n">
        <v>229770</v>
      </c>
      <c r="D5" s="24" t="n">
        <v>486459</v>
      </c>
      <c r="E5" s="24" t="n">
        <v>841491</v>
      </c>
      <c r="F5" s="24" t="n">
        <v>571623.75</v>
      </c>
      <c r="G5" s="39" t="n">
        <v>2156433.75</v>
      </c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3" t="inlineStr">
        <is>
          <t>MF.2025.1019 Town &amp; Country Apartments (NY MF Project - 22 bldgs)</t>
        </is>
      </c>
      <c r="B6" s="24" t="n">
        <v>246097.48</v>
      </c>
      <c r="C6" s="24" t="n">
        <v>562089.22</v>
      </c>
      <c r="D6" s="24" t="n">
        <v>675814.0699999999</v>
      </c>
      <c r="E6" s="24" t="n">
        <v>0</v>
      </c>
      <c r="F6" s="24" t="n">
        <v>435716.98</v>
      </c>
      <c r="G6" s="39" t="n">
        <v>1919717.75</v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3" t="inlineStr">
        <is>
          <t>2025.964 Avon Municipal Building</t>
        </is>
      </c>
      <c r="B7" s="24" t="n">
        <v>363417.48</v>
      </c>
      <c r="C7" s="24" t="n">
        <v>173192.63</v>
      </c>
      <c r="D7" s="24" t="n">
        <v>226932.38</v>
      </c>
      <c r="E7" s="24" t="n">
        <v>220010.73</v>
      </c>
      <c r="F7" s="24" t="n">
        <v>236453.93</v>
      </c>
      <c r="G7" s="39" t="n">
        <v>1220007.15</v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3" t="inlineStr">
        <is>
          <t>MF.2024.931 Wild Air</t>
        </is>
      </c>
      <c r="B8" s="24" t="n">
        <v>166011.35</v>
      </c>
      <c r="C8" s="24" t="n">
        <v>148756.83</v>
      </c>
      <c r="D8" s="24" t="n">
        <v>226412.55</v>
      </c>
      <c r="E8" s="24" t="n">
        <v>408053.89</v>
      </c>
      <c r="F8" s="24" t="n">
        <v>126290.65</v>
      </c>
      <c r="G8" s="39" t="n">
        <v>1075525.27</v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3" t="inlineStr">
        <is>
          <t>2025.1029 Resmed - Indy 500</t>
        </is>
      </c>
      <c r="B9" s="24" t="n">
        <v>41976.09</v>
      </c>
      <c r="C9" s="24" t="n">
        <v>65098.75</v>
      </c>
      <c r="D9" s="24" t="n">
        <v>104940.22</v>
      </c>
      <c r="E9" s="24" t="n">
        <v>538961.21</v>
      </c>
      <c r="F9" s="24" t="n">
        <v>217317.46</v>
      </c>
      <c r="G9" s="39" t="n">
        <v>968293.73</v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3" t="inlineStr">
        <is>
          <t>MF.2025.989-2 Springdale Cinema - Drywall</t>
        </is>
      </c>
      <c r="B10" s="24" t="n">
        <v>122512.5</v>
      </c>
      <c r="C10" s="24" t="n">
        <v>224842.5</v>
      </c>
      <c r="D10" s="24" t="n">
        <v>256635</v>
      </c>
      <c r="E10" s="24" t="n">
        <v>344520</v>
      </c>
      <c r="F10" s="24" t="n">
        <v>0</v>
      </c>
      <c r="G10" s="39" t="n">
        <v>948510</v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3" t="inlineStr">
        <is>
          <t>2025.1024 Metro Lion</t>
        </is>
      </c>
      <c r="B11" s="24" t="n">
        <v>231487.2</v>
      </c>
      <c r="C11" s="24" t="n">
        <v>553922.8</v>
      </c>
      <c r="D11" s="24" t="n">
        <v>0</v>
      </c>
      <c r="E11" s="24" t="n">
        <v>1300</v>
      </c>
      <c r="F11" s="24" t="n">
        <v>0</v>
      </c>
      <c r="G11" s="39" t="n">
        <v>786710</v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3" t="inlineStr">
        <is>
          <t>2025.991 Walmart Republic</t>
        </is>
      </c>
      <c r="B12" s="24" t="n">
        <v>65246.93</v>
      </c>
      <c r="C12" s="24" t="n">
        <v>194391.63</v>
      </c>
      <c r="D12" s="24" t="n">
        <v>141074.42</v>
      </c>
      <c r="E12" s="24" t="n">
        <v>186798.6</v>
      </c>
      <c r="F12" s="24" t="n">
        <v>0</v>
      </c>
      <c r="G12" s="39" t="n">
        <v>587511.58</v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3" t="inlineStr">
        <is>
          <t>2025.978 Ardalan Plaza</t>
        </is>
      </c>
      <c r="B13" s="24" t="n">
        <v>29270.16</v>
      </c>
      <c r="C13" s="24" t="n">
        <v>88455.24000000001</v>
      </c>
      <c r="D13" s="24" t="n">
        <v>182393.32</v>
      </c>
      <c r="E13" s="24" t="n">
        <v>58873.86</v>
      </c>
      <c r="F13" s="24" t="n">
        <v>193598.5</v>
      </c>
      <c r="G13" s="39" t="n">
        <v>552591.08</v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3" t="inlineStr">
        <is>
          <t>MF.2024.928 Holliday Farms Assisted Living - Zionsville</t>
        </is>
      </c>
      <c r="B14" s="24" t="n">
        <v>75888.38</v>
      </c>
      <c r="C14" s="24" t="n">
        <v>23629.34</v>
      </c>
      <c r="D14" s="24" t="n">
        <v>56885.34</v>
      </c>
      <c r="E14" s="24" t="n">
        <v>54038.62</v>
      </c>
      <c r="F14" s="24" t="n">
        <v>338327.69</v>
      </c>
      <c r="G14" s="39" t="n">
        <v>548769.37</v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3" t="inlineStr">
        <is>
          <t>2025.1001 Evolve Transporters</t>
        </is>
      </c>
      <c r="B15" s="24" t="n">
        <v>290318.22</v>
      </c>
      <c r="C15" s="24" t="n">
        <v>204675.12</v>
      </c>
      <c r="D15" s="24" t="n">
        <v>10660.05</v>
      </c>
      <c r="E15" s="24" t="n">
        <v>30489.3</v>
      </c>
      <c r="F15" s="24" t="n">
        <v>1341</v>
      </c>
      <c r="G15" s="39" t="n">
        <v>537483.6899999999</v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3" t="inlineStr">
        <is>
          <t>2025.1023 Vikan Products BTS</t>
        </is>
      </c>
      <c r="B16" s="24" t="n">
        <v>0</v>
      </c>
      <c r="C16" s="24" t="n">
        <v>16087.5</v>
      </c>
      <c r="D16" s="24" t="n">
        <v>95690.7</v>
      </c>
      <c r="E16" s="24" t="n">
        <v>205262.77</v>
      </c>
      <c r="F16" s="24" t="n">
        <v>198556.32</v>
      </c>
      <c r="G16" s="39" t="n">
        <v>515597.29</v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3" t="inlineStr">
        <is>
          <t>2025.1030 Westfield Police HQ</t>
        </is>
      </c>
      <c r="B17" s="24" t="n">
        <v>0</v>
      </c>
      <c r="C17" s="24" t="n">
        <v>0</v>
      </c>
      <c r="D17" s="24" t="n">
        <v>0</v>
      </c>
      <c r="E17" s="24" t="n">
        <v>94815</v>
      </c>
      <c r="F17" s="24" t="n">
        <v>420570</v>
      </c>
      <c r="G17" s="39" t="n">
        <v>515385</v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3" t="inlineStr">
        <is>
          <t>MF.2024.892 The Lofts at Headwaters Park</t>
        </is>
      </c>
      <c r="B18" s="24" t="n">
        <v>161432.46</v>
      </c>
      <c r="C18" s="24" t="n">
        <v>114855.12</v>
      </c>
      <c r="D18" s="24" t="n">
        <v>62543.7</v>
      </c>
      <c r="E18" s="24" t="n">
        <v>89590.28</v>
      </c>
      <c r="F18" s="24" t="n">
        <v>63353.47</v>
      </c>
      <c r="G18" s="39" t="n">
        <v>491775.03</v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3" t="inlineStr">
        <is>
          <t>2025.990 Walmart Orlando</t>
        </is>
      </c>
      <c r="B19" s="24" t="n">
        <v>55072.44</v>
      </c>
      <c r="C19" s="24" t="n">
        <v>100249.47</v>
      </c>
      <c r="D19" s="24" t="n">
        <v>127771.38</v>
      </c>
      <c r="E19" s="24" t="n">
        <v>133941.78</v>
      </c>
      <c r="F19" s="24" t="n">
        <v>74099.78999999999</v>
      </c>
      <c r="G19" s="39" t="n">
        <v>491134.86</v>
      </c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MF.2025.992 Young's Creek Apartments</t>
        </is>
      </c>
      <c r="B20" s="24" t="n">
        <v>127149.57</v>
      </c>
      <c r="C20" s="24" t="n">
        <v>58491.67</v>
      </c>
      <c r="D20" s="24" t="n">
        <v>30618</v>
      </c>
      <c r="E20" s="24" t="n">
        <v>272493.11</v>
      </c>
      <c r="F20" s="24" t="n">
        <v>0</v>
      </c>
      <c r="G20" s="39" t="n">
        <v>488752.35</v>
      </c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3" t="inlineStr">
        <is>
          <t>2026.1035 The Ark</t>
        </is>
      </c>
      <c r="B21" s="24" t="n">
        <v>0</v>
      </c>
      <c r="C21" s="24" t="n">
        <v>0</v>
      </c>
      <c r="D21" s="24" t="n">
        <v>228065.58</v>
      </c>
      <c r="E21" s="24" t="n">
        <v>86809.67999999999</v>
      </c>
      <c r="F21" s="24" t="n">
        <v>156749.71</v>
      </c>
      <c r="G21" s="39" t="n">
        <v>471624.97</v>
      </c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3" t="inlineStr">
        <is>
          <t>MF.2025.989-1 Springdale Cinema - Paint</t>
        </is>
      </c>
      <c r="B22" s="24" t="n">
        <v>0</v>
      </c>
      <c r="C22" s="24" t="n">
        <v>0</v>
      </c>
      <c r="D22" s="24" t="n">
        <v>55440</v>
      </c>
      <c r="E22" s="24" t="n">
        <v>165847.5</v>
      </c>
      <c r="F22" s="24" t="n">
        <v>206955</v>
      </c>
      <c r="G22" s="39" t="n">
        <v>428242.5</v>
      </c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3" t="inlineStr">
        <is>
          <t>Priority Way Office</t>
        </is>
      </c>
      <c r="B23" s="24" t="n">
        <v>0</v>
      </c>
      <c r="C23" s="24" t="n">
        <v>0</v>
      </c>
      <c r="D23" s="24" t="n">
        <v>413250</v>
      </c>
      <c r="E23" s="24" t="n">
        <v>0</v>
      </c>
      <c r="F23" s="24" t="n">
        <v>0</v>
      </c>
      <c r="G23" s="39" t="n">
        <v>413250</v>
      </c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3" t="inlineStr">
        <is>
          <t>2025.1026 HNTB Buildout (Salesforce Tower)</t>
        </is>
      </c>
      <c r="B24" s="24" t="n">
        <v>40056.3</v>
      </c>
      <c r="C24" s="24" t="n">
        <v>92546.64</v>
      </c>
      <c r="D24" s="24" t="n">
        <v>111708.94</v>
      </c>
      <c r="E24" s="24" t="n">
        <v>75748.67999999999</v>
      </c>
      <c r="F24" s="24" t="n">
        <v>92235.03999999999</v>
      </c>
      <c r="G24" s="39" t="n">
        <v>412295.6</v>
      </c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3" t="inlineStr">
        <is>
          <t>2026.1042 SND2 at ILP Bldg IV Whitestown</t>
        </is>
      </c>
      <c r="B25" s="24" t="n">
        <v>0</v>
      </c>
      <c r="C25" s="24" t="n">
        <v>0</v>
      </c>
      <c r="D25" s="24" t="n">
        <v>164669.04</v>
      </c>
      <c r="E25" s="24" t="n">
        <v>68841.53999999999</v>
      </c>
      <c r="F25" s="24" t="n">
        <v>123216.76</v>
      </c>
      <c r="G25" s="39" t="n">
        <v>356727.34</v>
      </c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3" t="inlineStr">
        <is>
          <t>MF.2024.945 Encore Senior Living</t>
        </is>
      </c>
      <c r="B26" s="24" t="n">
        <v>43797.38</v>
      </c>
      <c r="C26" s="24" t="n">
        <v>94697.22</v>
      </c>
      <c r="D26" s="24" t="n">
        <v>54087.55</v>
      </c>
      <c r="E26" s="24" t="n">
        <v>91941.31</v>
      </c>
      <c r="F26" s="24" t="n">
        <v>61193.27</v>
      </c>
      <c r="G26" s="39" t="n">
        <v>345716.73</v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3" t="inlineStr">
        <is>
          <t>2024.950 Caterpillar Triple Crown</t>
        </is>
      </c>
      <c r="B27" s="24" t="n">
        <v>9448.35</v>
      </c>
      <c r="C27" s="24" t="n">
        <v>147545.92</v>
      </c>
      <c r="D27" s="24" t="n">
        <v>38045.07</v>
      </c>
      <c r="E27" s="24" t="n">
        <v>72880.67</v>
      </c>
      <c r="F27" s="24" t="n">
        <v>36620.15</v>
      </c>
      <c r="G27" s="39" t="n">
        <v>304540.16</v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3" t="inlineStr">
        <is>
          <t>2025.994 Stotan Port Laredo Spec Offices</t>
        </is>
      </c>
      <c r="B28" s="24" t="n">
        <v>107527.5</v>
      </c>
      <c r="C28" s="24" t="n">
        <v>25920</v>
      </c>
      <c r="D28" s="24" t="n">
        <v>27180</v>
      </c>
      <c r="E28" s="24" t="n">
        <v>0</v>
      </c>
      <c r="F28" s="24" t="n">
        <v>114932.8</v>
      </c>
      <c r="G28" s="39" t="n">
        <v>275560.3</v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3" t="inlineStr">
        <is>
          <t>MF.2026.1050 AC Hotel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202650.67</v>
      </c>
      <c r="G29" s="39" t="n">
        <v>202650.67</v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3" t="inlineStr">
        <is>
          <t>2026.1033 Avon Demising Wall</t>
        </is>
      </c>
      <c r="B30" s="24" t="n">
        <v>0</v>
      </c>
      <c r="C30" s="24" t="n">
        <v>0</v>
      </c>
      <c r="D30" s="24" t="n">
        <v>181500</v>
      </c>
      <c r="E30" s="24" t="n">
        <v>0</v>
      </c>
      <c r="F30" s="24" t="n">
        <v>0</v>
      </c>
      <c r="G30" s="39" t="n">
        <v>181500</v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3" t="inlineStr">
        <is>
          <t>2024.909 Andretti Global HQ</t>
        </is>
      </c>
      <c r="B31" s="24" t="n">
        <v>40682</v>
      </c>
      <c r="C31" s="24" t="n">
        <v>0</v>
      </c>
      <c r="D31" s="24" t="n">
        <v>0</v>
      </c>
      <c r="E31" s="24" t="n">
        <v>0</v>
      </c>
      <c r="F31" s="24" t="n">
        <v>129947</v>
      </c>
      <c r="G31" s="39" t="n">
        <v>170629</v>
      </c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3" t="inlineStr">
        <is>
          <t>2026.1038 Artistic Composite Pallet Expansion</t>
        </is>
      </c>
      <c r="B32" s="24" t="n">
        <v>0</v>
      </c>
      <c r="C32" s="24" t="n">
        <v>0</v>
      </c>
      <c r="D32" s="24" t="n">
        <v>104592.42</v>
      </c>
      <c r="E32" s="24" t="n">
        <v>65920.59</v>
      </c>
      <c r="F32" s="24" t="n">
        <v>0</v>
      </c>
      <c r="G32" s="39" t="n">
        <v>170513.01</v>
      </c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3" t="inlineStr">
        <is>
          <t>2025.1006 Keller Office</t>
        </is>
      </c>
      <c r="B33" s="24" t="n">
        <v>0</v>
      </c>
      <c r="C33" s="24" t="n">
        <v>0</v>
      </c>
      <c r="D33" s="24" t="n">
        <v>0</v>
      </c>
      <c r="E33" s="24" t="n">
        <v>0</v>
      </c>
      <c r="F33" s="24" t="n">
        <v>168520.5</v>
      </c>
      <c r="G33" s="39" t="n">
        <v>168520.5</v>
      </c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3" t="inlineStr">
        <is>
          <t>2026.1041 Whiteland Building 2 - Blackhawk</t>
        </is>
      </c>
      <c r="B34" s="24" t="n">
        <v>0</v>
      </c>
      <c r="C34" s="24" t="n">
        <v>0</v>
      </c>
      <c r="D34" s="24" t="n">
        <v>0</v>
      </c>
      <c r="E34" s="24" t="n">
        <v>111888</v>
      </c>
      <c r="F34" s="24" t="n">
        <v>44532.3</v>
      </c>
      <c r="G34" s="39" t="n">
        <v>156420.3</v>
      </c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3" t="inlineStr">
        <is>
          <t>2026.1047 Springdale Building 4 Demising Walls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148800</v>
      </c>
      <c r="G35" s="39" t="n">
        <v>148800</v>
      </c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3" t="inlineStr">
        <is>
          <t>2025.1027 Indy Boat Co</t>
        </is>
      </c>
      <c r="B36" s="24" t="n">
        <v>0</v>
      </c>
      <c r="C36" s="24" t="n">
        <v>0</v>
      </c>
      <c r="D36" s="24" t="n">
        <v>0</v>
      </c>
      <c r="E36" s="24" t="n">
        <v>53062.2</v>
      </c>
      <c r="F36" s="24" t="n">
        <v>83283.7</v>
      </c>
      <c r="G36" s="39" t="n">
        <v>136345.9</v>
      </c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3" t="inlineStr">
        <is>
          <t>2026.1043 Deer Creek Building 1</t>
        </is>
      </c>
      <c r="B37" s="24" t="n">
        <v>0</v>
      </c>
      <c r="C37" s="24" t="n">
        <v>0</v>
      </c>
      <c r="D37" s="24" t="n">
        <v>135000</v>
      </c>
      <c r="E37" s="24" t="n">
        <v>0</v>
      </c>
      <c r="F37" s="24" t="n">
        <v>0</v>
      </c>
      <c r="G37" s="39" t="n">
        <v>135000</v>
      </c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3" t="inlineStr">
        <is>
          <t>2026.1045 First OnSite (Ameriplex)</t>
        </is>
      </c>
      <c r="B38" s="24" t="n">
        <v>0</v>
      </c>
      <c r="C38" s="24" t="n">
        <v>0</v>
      </c>
      <c r="D38" s="24" t="n">
        <v>0</v>
      </c>
      <c r="E38" s="24" t="n">
        <v>128000</v>
      </c>
      <c r="F38" s="24" t="n">
        <v>0</v>
      </c>
      <c r="G38" s="39" t="n">
        <v>128000</v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3" t="inlineStr">
        <is>
          <t>2026.1037 CV - Castle Rock</t>
        </is>
      </c>
      <c r="B39" s="24" t="n">
        <v>0</v>
      </c>
      <c r="C39" s="24" t="n">
        <v>125451</v>
      </c>
      <c r="D39" s="24" t="n">
        <v>0</v>
      </c>
      <c r="E39" s="24" t="n">
        <v>0</v>
      </c>
      <c r="F39" s="24" t="n">
        <v>2000</v>
      </c>
      <c r="G39" s="39" t="n">
        <v>127451</v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3" t="inlineStr">
        <is>
          <t>2026.1046 Automatic Distributors (Park 130 Bldg 6)</t>
        </is>
      </c>
      <c r="B40" s="24" t="n">
        <v>0</v>
      </c>
      <c r="C40" s="24" t="n">
        <v>0</v>
      </c>
      <c r="D40" s="24" t="n">
        <v>0</v>
      </c>
      <c r="E40" s="24" t="n">
        <v>32697</v>
      </c>
      <c r="F40" s="24" t="n">
        <v>91953</v>
      </c>
      <c r="G40" s="39" t="n">
        <v>124650</v>
      </c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3" t="inlineStr">
        <is>
          <t>2025.967 Bunge Project Flex</t>
        </is>
      </c>
      <c r="B41" s="24" t="n">
        <v>0</v>
      </c>
      <c r="C41" s="24" t="n">
        <v>11965.23</v>
      </c>
      <c r="D41" s="24" t="n">
        <v>109085.8</v>
      </c>
      <c r="E41" s="24" t="n">
        <v>0</v>
      </c>
      <c r="F41" s="24" t="n">
        <v>0</v>
      </c>
      <c r="G41" s="39" t="n">
        <v>121051.03</v>
      </c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3" t="inlineStr">
        <is>
          <t>2026.1036 Port Laredo Trade Center</t>
        </is>
      </c>
      <c r="B42" s="24" t="n">
        <v>0</v>
      </c>
      <c r="C42" s="24" t="n">
        <v>0</v>
      </c>
      <c r="D42" s="24" t="n">
        <v>73818</v>
      </c>
      <c r="E42" s="24" t="n">
        <v>0</v>
      </c>
      <c r="F42" s="24" t="n">
        <v>34657</v>
      </c>
      <c r="G42" s="39" t="n">
        <v>108475</v>
      </c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3" t="inlineStr">
        <is>
          <t>2025.1012 Airport South Logistics Bldg. B</t>
        </is>
      </c>
      <c r="B43" s="24" t="n">
        <v>0</v>
      </c>
      <c r="C43" s="24" t="n">
        <v>0</v>
      </c>
      <c r="D43" s="24" t="n">
        <v>9868.5</v>
      </c>
      <c r="E43" s="24" t="n">
        <v>26117.77</v>
      </c>
      <c r="F43" s="24" t="n">
        <v>67259.03</v>
      </c>
      <c r="G43" s="39" t="n">
        <v>103245.3</v>
      </c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3" t="inlineStr">
        <is>
          <t>MF.2025.977 Civic Square Condos</t>
        </is>
      </c>
      <c r="B44" s="24" t="n">
        <v>16373.48</v>
      </c>
      <c r="C44" s="24" t="n">
        <v>2902.5</v>
      </c>
      <c r="D44" s="24" t="n">
        <v>3275.1</v>
      </c>
      <c r="E44" s="24" t="n">
        <v>0</v>
      </c>
      <c r="F44" s="24" t="n">
        <v>61611.56</v>
      </c>
      <c r="G44" s="39" t="n">
        <v>84162.64</v>
      </c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3" t="inlineStr">
        <is>
          <t>MF.2025.975 The Eleven - Monon Square</t>
        </is>
      </c>
      <c r="B45" s="24" t="n">
        <v>0</v>
      </c>
      <c r="C45" s="24" t="n">
        <v>0</v>
      </c>
      <c r="D45" s="24" t="n">
        <v>0</v>
      </c>
      <c r="E45" s="24" t="n">
        <v>30587.39</v>
      </c>
      <c r="F45" s="24" t="n">
        <v>47118.33</v>
      </c>
      <c r="G45" s="39" t="n">
        <v>77705.72</v>
      </c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3" t="inlineStr">
        <is>
          <t>2025.1032 65 Commerce Park Building 7</t>
        </is>
      </c>
      <c r="B46" s="24" t="n">
        <v>0</v>
      </c>
      <c r="C46" s="24" t="n">
        <v>0</v>
      </c>
      <c r="D46" s="24" t="n">
        <v>0</v>
      </c>
      <c r="E46" s="24" t="n">
        <v>0</v>
      </c>
      <c r="F46" s="24" t="n">
        <v>71314.2</v>
      </c>
      <c r="G46" s="39" t="n">
        <v>71314.2</v>
      </c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3" t="inlineStr">
        <is>
          <t>2025.981 Fort Ben - Foamcraft</t>
        </is>
      </c>
      <c r="B47" s="24" t="n">
        <v>0</v>
      </c>
      <c r="C47" s="24" t="n">
        <v>69374.88</v>
      </c>
      <c r="D47" s="24" t="n">
        <v>0</v>
      </c>
      <c r="E47" s="24" t="n">
        <v>0</v>
      </c>
      <c r="F47" s="24" t="n">
        <v>0</v>
      </c>
      <c r="G47" s="39" t="n">
        <v>69374.88</v>
      </c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3" t="inlineStr">
        <is>
          <t>MF.2025.976 Firefly Youth Housing</t>
        </is>
      </c>
      <c r="B48" s="24" t="n">
        <v>4050</v>
      </c>
      <c r="C48" s="24" t="n">
        <v>0</v>
      </c>
      <c r="D48" s="24" t="n">
        <v>18000</v>
      </c>
      <c r="E48" s="24" t="n">
        <v>36934.63</v>
      </c>
      <c r="F48" s="24" t="n">
        <v>9000</v>
      </c>
      <c r="G48" s="39" t="n">
        <v>67984.63</v>
      </c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3" t="inlineStr">
        <is>
          <t>2023.839 Hamilton County National Guard Readiness Center</t>
        </is>
      </c>
      <c r="B49" s="24" t="n">
        <v>0</v>
      </c>
      <c r="C49" s="24" t="n">
        <v>0</v>
      </c>
      <c r="D49" s="24" t="n">
        <v>0</v>
      </c>
      <c r="E49" s="24" t="n">
        <v>58016.76</v>
      </c>
      <c r="F49" s="24" t="n">
        <v>0</v>
      </c>
      <c r="G49" s="39" t="n">
        <v>58016.76</v>
      </c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3" t="inlineStr">
        <is>
          <t>2025.1015 WBP Lot 4</t>
        </is>
      </c>
      <c r="B50" s="24" t="n">
        <v>31758.75</v>
      </c>
      <c r="C50" s="24" t="n">
        <v>18902.5</v>
      </c>
      <c r="D50" s="24" t="n">
        <v>0</v>
      </c>
      <c r="E50" s="24" t="n">
        <v>5500</v>
      </c>
      <c r="F50" s="24" t="n">
        <v>0</v>
      </c>
      <c r="G50" s="39" t="n">
        <v>56161.25</v>
      </c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3" t="inlineStr">
        <is>
          <t>2025.966 C5 Bullitt III Logistics Center Warehouse</t>
        </is>
      </c>
      <c r="B51" s="24" t="n">
        <v>56050.1</v>
      </c>
      <c r="C51" s="24" t="n">
        <v>0</v>
      </c>
      <c r="D51" s="24" t="n">
        <v>0</v>
      </c>
      <c r="E51" s="24" t="n">
        <v>0</v>
      </c>
      <c r="F51" s="24" t="n">
        <v>0</v>
      </c>
      <c r="G51" s="39" t="n">
        <v>56050.1</v>
      </c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3" t="inlineStr">
        <is>
          <t>2026.1034 Stella's Ice Cream Shop</t>
        </is>
      </c>
      <c r="B52" s="24" t="n">
        <v>0</v>
      </c>
      <c r="C52" s="24" t="n">
        <v>0</v>
      </c>
      <c r="D52" s="24" t="n">
        <v>22860</v>
      </c>
      <c r="E52" s="24" t="n">
        <v>11250</v>
      </c>
      <c r="F52" s="24" t="n">
        <v>18000</v>
      </c>
      <c r="G52" s="39" t="n">
        <v>52110</v>
      </c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3" t="inlineStr">
        <is>
          <t>2025.1016 WBP Lot C</t>
        </is>
      </c>
      <c r="B53" s="24" t="n">
        <v>25903.13</v>
      </c>
      <c r="C53" s="24" t="n">
        <v>0</v>
      </c>
      <c r="D53" s="24" t="n">
        <v>0</v>
      </c>
      <c r="E53" s="24" t="n">
        <v>0</v>
      </c>
      <c r="F53" s="24" t="n">
        <v>13081.87</v>
      </c>
      <c r="G53" s="39" t="n">
        <v>38985</v>
      </c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3" t="inlineStr">
        <is>
          <t>2025.979 Groundbreakers</t>
        </is>
      </c>
      <c r="B54" s="24" t="n">
        <v>5282.37</v>
      </c>
      <c r="C54" s="24" t="n">
        <v>32067.74</v>
      </c>
      <c r="D54" s="24" t="n">
        <v>0</v>
      </c>
      <c r="E54" s="24" t="n">
        <v>0</v>
      </c>
      <c r="F54" s="24" t="n">
        <v>0</v>
      </c>
      <c r="G54" s="39" t="n">
        <v>37350.11</v>
      </c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3" t="inlineStr">
        <is>
          <t>2025.1013 Lucas Oil Corydon</t>
        </is>
      </c>
      <c r="B55" s="24" t="n">
        <v>0</v>
      </c>
      <c r="C55" s="24" t="n">
        <v>22500</v>
      </c>
      <c r="D55" s="24" t="n">
        <v>0</v>
      </c>
      <c r="E55" s="24" t="n">
        <v>0</v>
      </c>
      <c r="F55" s="24" t="n">
        <v>10000</v>
      </c>
      <c r="G55" s="39" t="n">
        <v>32500</v>
      </c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3" t="inlineStr">
        <is>
          <t>2024.913 Walmart Phoenix</t>
        </is>
      </c>
      <c r="B56" s="24" t="n">
        <v>0</v>
      </c>
      <c r="C56" s="24" t="n">
        <v>0</v>
      </c>
      <c r="D56" s="24" t="n">
        <v>25857</v>
      </c>
      <c r="E56" s="24" t="n">
        <v>3055.5</v>
      </c>
      <c r="F56" s="24" t="n">
        <v>0</v>
      </c>
      <c r="G56" s="39" t="n">
        <v>28912.5</v>
      </c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3" t="inlineStr">
        <is>
          <t>2023.843 Walmart Frederick</t>
        </is>
      </c>
      <c r="B57" s="24" t="n">
        <v>0</v>
      </c>
      <c r="C57" s="24" t="n">
        <v>0</v>
      </c>
      <c r="D57" s="24" t="n">
        <v>26200</v>
      </c>
      <c r="E57" s="24" t="n">
        <v>0</v>
      </c>
      <c r="F57" s="24" t="n">
        <v>0</v>
      </c>
      <c r="G57" s="39" t="n">
        <v>26200</v>
      </c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3" t="inlineStr">
        <is>
          <t>DS.2026.2404 Flores Sandhu Res</t>
        </is>
      </c>
      <c r="B58" s="24" t="n">
        <v>0</v>
      </c>
      <c r="C58" s="24" t="n">
        <v>0</v>
      </c>
      <c r="D58" s="24" t="n">
        <v>20852.65</v>
      </c>
      <c r="E58" s="24" t="n">
        <v>0</v>
      </c>
      <c r="F58" s="24" t="n">
        <v>0</v>
      </c>
      <c r="G58" s="39" t="n">
        <v>20852.65</v>
      </c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3" t="inlineStr">
        <is>
          <t>2026.1056 Senator Banks Office</t>
        </is>
      </c>
      <c r="B59" s="24" t="n">
        <v>0</v>
      </c>
      <c r="C59" s="24" t="n">
        <v>0</v>
      </c>
      <c r="D59" s="24" t="n">
        <v>0</v>
      </c>
      <c r="E59" s="24" t="n">
        <v>0</v>
      </c>
      <c r="F59" s="24" t="n">
        <v>20467.33</v>
      </c>
      <c r="G59" s="39" t="n">
        <v>20467.33</v>
      </c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3" t="inlineStr">
        <is>
          <t>DS.2026.2387 0204 Jose Irachetta</t>
        </is>
      </c>
      <c r="B60" s="24" t="n">
        <v>0</v>
      </c>
      <c r="C60" s="24" t="n">
        <v>20097.86</v>
      </c>
      <c r="D60" s="24" t="n">
        <v>0</v>
      </c>
      <c r="E60" s="24" t="n">
        <v>0</v>
      </c>
      <c r="F60" s="24" t="n">
        <v>0</v>
      </c>
      <c r="G60" s="39" t="n">
        <v>20097.86</v>
      </c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3" t="inlineStr">
        <is>
          <t>2025.1025 Park 100 - Building 22</t>
        </is>
      </c>
      <c r="B61" s="24" t="n">
        <v>19640</v>
      </c>
      <c r="C61" s="24" t="n">
        <v>0</v>
      </c>
      <c r="D61" s="24" t="n">
        <v>0</v>
      </c>
      <c r="E61" s="24" t="n">
        <v>0</v>
      </c>
      <c r="F61" s="24" t="n">
        <v>0</v>
      </c>
      <c r="G61" s="39" t="n">
        <v>19640</v>
      </c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3" t="inlineStr">
        <is>
          <t>DS.2026.2376 5724 E Southport Rd</t>
        </is>
      </c>
      <c r="B62" s="24" t="n">
        <v>18119.63</v>
      </c>
      <c r="C62" s="24" t="n">
        <v>0</v>
      </c>
      <c r="D62" s="24" t="n">
        <v>0</v>
      </c>
      <c r="E62" s="24" t="n">
        <v>0</v>
      </c>
      <c r="F62" s="24" t="n">
        <v>0</v>
      </c>
      <c r="G62" s="39" t="n">
        <v>18119.63</v>
      </c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3" t="inlineStr">
        <is>
          <t>2025.1028 Northpoint</t>
        </is>
      </c>
      <c r="B63" s="24" t="n">
        <v>0</v>
      </c>
      <c r="C63" s="24" t="n">
        <v>0</v>
      </c>
      <c r="D63" s="24" t="n">
        <v>0</v>
      </c>
      <c r="E63" s="24" t="n">
        <v>17415</v>
      </c>
      <c r="F63" s="24" t="n">
        <v>0</v>
      </c>
      <c r="G63" s="39" t="n">
        <v>17415</v>
      </c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3" t="inlineStr">
        <is>
          <t>2025.993 Batesville Public Library</t>
        </is>
      </c>
      <c r="B64" s="24" t="n">
        <v>6637.82</v>
      </c>
      <c r="C64" s="24" t="n">
        <v>4425.21</v>
      </c>
      <c r="D64" s="24" t="n">
        <v>6267.5</v>
      </c>
      <c r="E64" s="24" t="n">
        <v>0</v>
      </c>
      <c r="F64" s="24" t="n">
        <v>0</v>
      </c>
      <c r="G64" s="39" t="n">
        <v>17330.53</v>
      </c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3" t="inlineStr">
        <is>
          <t>DS.2026.2406 Premier Custom Homes Quote</t>
        </is>
      </c>
      <c r="B65" s="24" t="n">
        <v>0</v>
      </c>
      <c r="C65" s="24" t="n">
        <v>0</v>
      </c>
      <c r="D65" s="24" t="n">
        <v>0</v>
      </c>
      <c r="E65" s="24" t="n">
        <v>17262.74</v>
      </c>
      <c r="F65" s="24" t="n">
        <v>0</v>
      </c>
      <c r="G65" s="39" t="n">
        <v>17262.74</v>
      </c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3" t="inlineStr">
        <is>
          <t>2024.929 DEEM Warehouse</t>
        </is>
      </c>
      <c r="B66" s="24" t="n">
        <v>0</v>
      </c>
      <c r="C66" s="24" t="n">
        <v>0</v>
      </c>
      <c r="D66" s="24" t="n">
        <v>15645.5</v>
      </c>
      <c r="E66" s="24" t="n">
        <v>0</v>
      </c>
      <c r="F66" s="24" t="n">
        <v>0</v>
      </c>
      <c r="G66" s="39" t="n">
        <v>15645.5</v>
      </c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3" t="inlineStr">
        <is>
          <t>2025.1021 Convivio</t>
        </is>
      </c>
      <c r="B67" s="24" t="n">
        <v>2250</v>
      </c>
      <c r="C67" s="24" t="n">
        <v>12458.26</v>
      </c>
      <c r="D67" s="24" t="n">
        <v>0</v>
      </c>
      <c r="E67" s="24" t="n">
        <v>0</v>
      </c>
      <c r="F67" s="24" t="n">
        <v>0</v>
      </c>
      <c r="G67" s="39" t="n">
        <v>14708.26</v>
      </c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3" t="inlineStr">
        <is>
          <t>DS.2026.2432 Liberty Assisted LIving 0528</t>
        </is>
      </c>
      <c r="B68" s="24" t="n">
        <v>0</v>
      </c>
      <c r="C68" s="24" t="n">
        <v>0</v>
      </c>
      <c r="D68" s="24" t="n">
        <v>0</v>
      </c>
      <c r="E68" s="24" t="n">
        <v>0</v>
      </c>
      <c r="F68" s="24" t="n">
        <v>12455.2</v>
      </c>
      <c r="G68" s="39" t="n">
        <v>12455.2</v>
      </c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3" t="inlineStr">
        <is>
          <t>DS.2026.2380 Mike Valentine 0129</t>
        </is>
      </c>
      <c r="B69" s="24" t="n">
        <v>12430.13</v>
      </c>
      <c r="C69" s="24" t="n">
        <v>0</v>
      </c>
      <c r="D69" s="24" t="n">
        <v>0</v>
      </c>
      <c r="E69" s="24" t="n">
        <v>0</v>
      </c>
      <c r="F69" s="24" t="n">
        <v>0</v>
      </c>
      <c r="G69" s="39" t="n">
        <v>12430.13</v>
      </c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3" t="inlineStr">
        <is>
          <t>DS.2026.2365 GSI Sackstedor Bloomington</t>
        </is>
      </c>
      <c r="B70" s="24" t="n">
        <v>11604.16</v>
      </c>
      <c r="C70" s="24" t="n">
        <v>0</v>
      </c>
      <c r="D70" s="24" t="n">
        <v>0</v>
      </c>
      <c r="E70" s="24" t="n">
        <v>0</v>
      </c>
      <c r="F70" s="24" t="n">
        <v>0</v>
      </c>
      <c r="G70" s="39" t="n">
        <v>11604.16</v>
      </c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3" t="inlineStr">
        <is>
          <t>DS.2026.2401 Flores Kenneland</t>
        </is>
      </c>
      <c r="B71" s="24" t="n">
        <v>0</v>
      </c>
      <c r="C71" s="24" t="n">
        <v>0</v>
      </c>
      <c r="D71" s="24" t="n">
        <v>11454.33</v>
      </c>
      <c r="E71" s="24" t="n">
        <v>0</v>
      </c>
      <c r="F71" s="24" t="n">
        <v>0</v>
      </c>
      <c r="G71" s="39" t="n">
        <v>11454.33</v>
      </c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3" t="inlineStr">
        <is>
          <t>2026.1040 Lakeside Books</t>
        </is>
      </c>
      <c r="B72" s="24" t="n">
        <v>0</v>
      </c>
      <c r="C72" s="24" t="n">
        <v>0</v>
      </c>
      <c r="D72" s="24" t="n">
        <v>0</v>
      </c>
      <c r="E72" s="24" t="n">
        <v>0</v>
      </c>
      <c r="F72" s="24" t="n">
        <v>10020</v>
      </c>
      <c r="G72" s="39" t="n">
        <v>10020</v>
      </c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3" t="inlineStr">
        <is>
          <t>DS.2026.2412 10732 Heaven Cove Way</t>
        </is>
      </c>
      <c r="B73" s="24" t="n">
        <v>0</v>
      </c>
      <c r="C73" s="24" t="n">
        <v>0</v>
      </c>
      <c r="D73" s="24" t="n">
        <v>0</v>
      </c>
      <c r="E73" s="24" t="n">
        <v>0</v>
      </c>
      <c r="F73" s="24" t="n">
        <v>10008.15</v>
      </c>
      <c r="G73" s="39" t="n">
        <v>10008.15</v>
      </c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3" t="inlineStr">
        <is>
          <t>2025.1031 Pita Way</t>
        </is>
      </c>
      <c r="B74" s="24" t="n">
        <v>0</v>
      </c>
      <c r="C74" s="24" t="n">
        <v>8770.5</v>
      </c>
      <c r="D74" s="24" t="n">
        <v>974.5</v>
      </c>
      <c r="E74" s="24" t="n">
        <v>0</v>
      </c>
      <c r="F74" s="24" t="n">
        <v>0</v>
      </c>
      <c r="G74" s="39" t="n">
        <v>9745</v>
      </c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3" t="inlineStr">
        <is>
          <t>DS.2026.2433 Liberty Assisted Living 0529</t>
        </is>
      </c>
      <c r="B75" s="24" t="n">
        <v>0</v>
      </c>
      <c r="C75" s="24" t="n">
        <v>0</v>
      </c>
      <c r="D75" s="24" t="n">
        <v>0</v>
      </c>
      <c r="E75" s="24" t="n">
        <v>0</v>
      </c>
      <c r="F75" s="24" t="n">
        <v>9607.6</v>
      </c>
      <c r="G75" s="39" t="n">
        <v>9607.6</v>
      </c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3" t="inlineStr">
        <is>
          <t>2025.984 Whiteland Indiana Guard Shack</t>
        </is>
      </c>
      <c r="B76" s="24" t="n">
        <v>0</v>
      </c>
      <c r="C76" s="24" t="n">
        <v>0</v>
      </c>
      <c r="D76" s="24" t="n">
        <v>0</v>
      </c>
      <c r="E76" s="24" t="n">
        <v>0</v>
      </c>
      <c r="F76" s="24" t="n">
        <v>9200</v>
      </c>
      <c r="G76" s="39" t="n">
        <v>9200</v>
      </c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3" t="inlineStr">
        <is>
          <t>DS.2026.2375 1802 Alabama St</t>
        </is>
      </c>
      <c r="B77" s="24" t="n">
        <v>9073.559999999999</v>
      </c>
      <c r="C77" s="24" t="n">
        <v>0</v>
      </c>
      <c r="D77" s="24" t="n">
        <v>0</v>
      </c>
      <c r="E77" s="24" t="n">
        <v>0</v>
      </c>
      <c r="F77" s="24" t="n">
        <v>0</v>
      </c>
      <c r="G77" s="39" t="n">
        <v>9073.559999999999</v>
      </c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3" t="inlineStr">
        <is>
          <t>DS.2026.2389 Courtyards of Russell Oaks 145</t>
        </is>
      </c>
      <c r="B78" s="24" t="n">
        <v>0</v>
      </c>
      <c r="C78" s="24" t="n">
        <v>8375.35</v>
      </c>
      <c r="D78" s="24" t="n">
        <v>299.6</v>
      </c>
      <c r="E78" s="24" t="n">
        <v>0</v>
      </c>
      <c r="F78" s="24" t="n">
        <v>0</v>
      </c>
      <c r="G78" s="39" t="n">
        <v>8674.950000000001</v>
      </c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3" t="inlineStr">
        <is>
          <t>DS.2026.2421 Flores Ohio Job</t>
        </is>
      </c>
      <c r="B79" s="24" t="n">
        <v>0</v>
      </c>
      <c r="C79" s="24" t="n">
        <v>0</v>
      </c>
      <c r="D79" s="24" t="n">
        <v>0</v>
      </c>
      <c r="E79" s="24" t="n">
        <v>0</v>
      </c>
      <c r="F79" s="24" t="n">
        <v>8624.08</v>
      </c>
      <c r="G79" s="39" t="n">
        <v>8624.08</v>
      </c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3" t="inlineStr">
        <is>
          <t>DS.2026.2394 5778 Marvie Drive</t>
        </is>
      </c>
      <c r="B80" s="24" t="n">
        <v>0</v>
      </c>
      <c r="C80" s="24" t="n">
        <v>8586.040000000001</v>
      </c>
      <c r="D80" s="24" t="n">
        <v>0</v>
      </c>
      <c r="E80" s="24" t="n">
        <v>0</v>
      </c>
      <c r="F80" s="24" t="n">
        <v>0</v>
      </c>
      <c r="G80" s="39" t="n">
        <v>8586.040000000001</v>
      </c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3" t="inlineStr">
        <is>
          <t>DS.2026.2392 3705 Holiday Farms Blvd - Precision</t>
        </is>
      </c>
      <c r="B81" s="24" t="n">
        <v>0</v>
      </c>
      <c r="C81" s="24" t="n">
        <v>8393.530000000001</v>
      </c>
      <c r="D81" s="24" t="n">
        <v>0</v>
      </c>
      <c r="E81" s="24" t="n">
        <v>0</v>
      </c>
      <c r="F81" s="24" t="n">
        <v>0</v>
      </c>
      <c r="G81" s="39" t="n">
        <v>8393.530000000001</v>
      </c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3" t="inlineStr">
        <is>
          <t>DS.2026.2383 Courtyards of Cielo Ranch 37</t>
        </is>
      </c>
      <c r="B82" s="24" t="n">
        <v>0</v>
      </c>
      <c r="C82" s="24" t="n">
        <v>7718.84</v>
      </c>
      <c r="D82" s="24" t="n">
        <v>0</v>
      </c>
      <c r="E82" s="24" t="n">
        <v>0</v>
      </c>
      <c r="F82" s="24" t="n">
        <v>0</v>
      </c>
      <c r="G82" s="39" t="n">
        <v>7718.84</v>
      </c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3" t="inlineStr">
        <is>
          <t>DS.2026.2363 Courtyards of Westfield 96</t>
        </is>
      </c>
      <c r="B83" s="24" t="n">
        <v>7700.52</v>
      </c>
      <c r="C83" s="24" t="n">
        <v>0</v>
      </c>
      <c r="D83" s="24" t="n">
        <v>0</v>
      </c>
      <c r="E83" s="24" t="n">
        <v>0</v>
      </c>
      <c r="F83" s="24" t="n">
        <v>0</v>
      </c>
      <c r="G83" s="39" t="n">
        <v>7700.52</v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3" t="inlineStr">
        <is>
          <t>DS.2026.2400 Courtyards of Russell Oaks 115</t>
        </is>
      </c>
      <c r="B84" s="24" t="n">
        <v>0</v>
      </c>
      <c r="C84" s="24" t="n">
        <v>0</v>
      </c>
      <c r="D84" s="24" t="n">
        <v>7645.75</v>
      </c>
      <c r="E84" s="24" t="n">
        <v>0</v>
      </c>
      <c r="F84" s="24" t="n">
        <v>0</v>
      </c>
      <c r="G84" s="39" t="n">
        <v>7645.75</v>
      </c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3" t="inlineStr">
        <is>
          <t>DS.2026.2378 Courtyards of Westfield 108</t>
        </is>
      </c>
      <c r="B85" s="24" t="n">
        <v>7637.37</v>
      </c>
      <c r="C85" s="24" t="n">
        <v>0</v>
      </c>
      <c r="D85" s="24" t="n">
        <v>0</v>
      </c>
      <c r="E85" s="24" t="n">
        <v>0</v>
      </c>
      <c r="F85" s="24" t="n">
        <v>0</v>
      </c>
      <c r="G85" s="39" t="n">
        <v>7637.37</v>
      </c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3" t="inlineStr">
        <is>
          <t>DS.2026.2410 Courtyards of Russell Oaks 113</t>
        </is>
      </c>
      <c r="B86" s="24" t="n">
        <v>0</v>
      </c>
      <c r="C86" s="24" t="n">
        <v>0</v>
      </c>
      <c r="D86" s="24" t="n">
        <v>0</v>
      </c>
      <c r="E86" s="24" t="n">
        <v>7585.02</v>
      </c>
      <c r="F86" s="24" t="n">
        <v>0</v>
      </c>
      <c r="G86" s="39" t="n">
        <v>7585.02</v>
      </c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3" t="inlineStr">
        <is>
          <t>DS.2026.2369 Courtyards of Westfield 111</t>
        </is>
      </c>
      <c r="B87" s="24" t="n">
        <v>7574.01</v>
      </c>
      <c r="C87" s="24" t="n">
        <v>0</v>
      </c>
      <c r="D87" s="24" t="n">
        <v>0</v>
      </c>
      <c r="E87" s="24" t="n">
        <v>0</v>
      </c>
      <c r="F87" s="24" t="n">
        <v>0</v>
      </c>
      <c r="G87" s="39" t="n">
        <v>7574.01</v>
      </c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3" t="inlineStr">
        <is>
          <t>DS.2026.2377 Courtyards of Cielo Ranch 38</t>
        </is>
      </c>
      <c r="B88" s="24" t="n">
        <v>7574.01</v>
      </c>
      <c r="C88" s="24" t="n">
        <v>0</v>
      </c>
      <c r="D88" s="24" t="n">
        <v>0</v>
      </c>
      <c r="E88" s="24" t="n">
        <v>0</v>
      </c>
      <c r="F88" s="24" t="n">
        <v>0</v>
      </c>
      <c r="G88" s="39" t="n">
        <v>7574.01</v>
      </c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3" t="inlineStr">
        <is>
          <t>DS.2026.2402 Courtyards of Cielo Ranch 17</t>
        </is>
      </c>
      <c r="B89" s="24" t="n">
        <v>0</v>
      </c>
      <c r="C89" s="24" t="n">
        <v>0</v>
      </c>
      <c r="D89" s="24" t="n">
        <v>7307.29</v>
      </c>
      <c r="E89" s="24" t="n">
        <v>240.36</v>
      </c>
      <c r="F89" s="24" t="n">
        <v>0</v>
      </c>
      <c r="G89" s="39" t="n">
        <v>7547.65</v>
      </c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3" t="inlineStr">
        <is>
          <t>DS.2026.2398 Courtyards of Ceilo Ranch 26</t>
        </is>
      </c>
      <c r="B90" s="24" t="n">
        <v>0</v>
      </c>
      <c r="C90" s="24" t="n">
        <v>0</v>
      </c>
      <c r="D90" s="24" t="n">
        <v>7276.63</v>
      </c>
      <c r="E90" s="24" t="n">
        <v>0</v>
      </c>
      <c r="F90" s="24" t="n">
        <v>0</v>
      </c>
      <c r="G90" s="39" t="n">
        <v>7276.63</v>
      </c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3" t="inlineStr">
        <is>
          <t>DS.2026.2368 Courtyards of Russell Oaks 60</t>
        </is>
      </c>
      <c r="B91" s="24" t="n">
        <v>7243.75</v>
      </c>
      <c r="C91" s="24" t="n">
        <v>0</v>
      </c>
      <c r="D91" s="24" t="n">
        <v>0</v>
      </c>
      <c r="E91" s="24" t="n">
        <v>0</v>
      </c>
      <c r="F91" s="24" t="n">
        <v>0</v>
      </c>
      <c r="G91" s="39" t="n">
        <v>7243.75</v>
      </c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3" t="inlineStr">
        <is>
          <t>DS.2026.2405 21569 Anchor Bay Drive</t>
        </is>
      </c>
      <c r="B92" s="24" t="n">
        <v>0</v>
      </c>
      <c r="C92" s="24" t="n">
        <v>0</v>
      </c>
      <c r="D92" s="24" t="n">
        <v>0</v>
      </c>
      <c r="E92" s="24" t="n">
        <v>7033.52</v>
      </c>
      <c r="F92" s="24" t="n">
        <v>0</v>
      </c>
      <c r="G92" s="39" t="n">
        <v>7033.52</v>
      </c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3" t="inlineStr">
        <is>
          <t>DS.2026.2408 Courtyards of Westfield 107</t>
        </is>
      </c>
      <c r="B93" s="24" t="n">
        <v>0</v>
      </c>
      <c r="C93" s="24" t="n">
        <v>0</v>
      </c>
      <c r="D93" s="24" t="n">
        <v>0</v>
      </c>
      <c r="E93" s="24" t="n">
        <v>6956.92</v>
      </c>
      <c r="F93" s="24" t="n">
        <v>0</v>
      </c>
      <c r="G93" s="39" t="n">
        <v>6956.92</v>
      </c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3" t="inlineStr">
        <is>
          <t>DS.2026.2385 Courtyards of Russell Oaks 123</t>
        </is>
      </c>
      <c r="B94" s="24" t="n">
        <v>0</v>
      </c>
      <c r="C94" s="24" t="n">
        <v>6812.24</v>
      </c>
      <c r="D94" s="24" t="n">
        <v>0</v>
      </c>
      <c r="E94" s="24" t="n">
        <v>0</v>
      </c>
      <c r="F94" s="24" t="n">
        <v>0</v>
      </c>
      <c r="G94" s="39" t="n">
        <v>6812.24</v>
      </c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3" t="inlineStr">
        <is>
          <t>DS.2026.2371 13429 E 116th St</t>
        </is>
      </c>
      <c r="B95" s="24" t="n">
        <v>6806.08</v>
      </c>
      <c r="C95" s="24" t="n">
        <v>0</v>
      </c>
      <c r="D95" s="24" t="n">
        <v>0</v>
      </c>
      <c r="E95" s="24" t="n">
        <v>0</v>
      </c>
      <c r="F95" s="24" t="n">
        <v>0</v>
      </c>
      <c r="G95" s="39" t="n">
        <v>6806.08</v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3" t="inlineStr">
        <is>
          <t>2026.1039 Upland Prospect Street</t>
        </is>
      </c>
      <c r="B96" s="24" t="n">
        <v>0</v>
      </c>
      <c r="C96" s="24" t="n">
        <v>6500</v>
      </c>
      <c r="D96" s="24" t="n">
        <v>0</v>
      </c>
      <c r="E96" s="24" t="n">
        <v>0</v>
      </c>
      <c r="F96" s="24" t="n">
        <v>0</v>
      </c>
      <c r="G96" s="39" t="n">
        <v>6500</v>
      </c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3" t="inlineStr">
        <is>
          <t>DS.2026.2386 Courtyards of Russell Oaks 125</t>
        </is>
      </c>
      <c r="B97" s="24" t="n">
        <v>0</v>
      </c>
      <c r="C97" s="24" t="n">
        <v>6318.06</v>
      </c>
      <c r="D97" s="24" t="n">
        <v>0</v>
      </c>
      <c r="E97" s="24" t="n">
        <v>0</v>
      </c>
      <c r="F97" s="24" t="n">
        <v>0</v>
      </c>
      <c r="G97" s="39" t="n">
        <v>6318.06</v>
      </c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3" t="inlineStr">
        <is>
          <t>DS.2026.2388 Courtyards of Cielo Ranch 13</t>
        </is>
      </c>
      <c r="B98" s="24" t="n">
        <v>0</v>
      </c>
      <c r="C98" s="24" t="n">
        <v>6290.19</v>
      </c>
      <c r="D98" s="24" t="n">
        <v>0</v>
      </c>
      <c r="E98" s="24" t="n">
        <v>0</v>
      </c>
      <c r="F98" s="24" t="n">
        <v>0</v>
      </c>
      <c r="G98" s="39" t="n">
        <v>6290.19</v>
      </c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3" t="inlineStr">
        <is>
          <t>DS.2026.2396 6252 West Turtle Hill Ct</t>
        </is>
      </c>
      <c r="B99" s="24" t="n">
        <v>0</v>
      </c>
      <c r="C99" s="24" t="n">
        <v>0</v>
      </c>
      <c r="D99" s="24" t="n">
        <v>6268.5</v>
      </c>
      <c r="E99" s="24" t="n">
        <v>0</v>
      </c>
      <c r="F99" s="24" t="n">
        <v>0</v>
      </c>
      <c r="G99" s="39" t="n">
        <v>6268.5</v>
      </c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3" t="inlineStr">
        <is>
          <t>2025.983 DEEM Warehouse Drop Ceiling</t>
        </is>
      </c>
      <c r="B100" s="24" t="n">
        <v>0</v>
      </c>
      <c r="C100" s="24" t="n">
        <v>6200</v>
      </c>
      <c r="D100" s="24" t="n">
        <v>0</v>
      </c>
      <c r="E100" s="24" t="n">
        <v>0</v>
      </c>
      <c r="F100" s="24" t="n">
        <v>0</v>
      </c>
      <c r="G100" s="39" t="n">
        <v>6200</v>
      </c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3" t="inlineStr">
        <is>
          <t>DS.2026.2399 Courtyards of Russell Oaks 74</t>
        </is>
      </c>
      <c r="B101" s="24" t="n">
        <v>0</v>
      </c>
      <c r="C101" s="24" t="n">
        <v>0</v>
      </c>
      <c r="D101" s="24" t="n">
        <v>6156.42</v>
      </c>
      <c r="E101" s="24" t="n">
        <v>0</v>
      </c>
      <c r="F101" s="24" t="n">
        <v>0</v>
      </c>
      <c r="G101" s="39" t="n">
        <v>6156.42</v>
      </c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3" t="inlineStr">
        <is>
          <t>DS.2026.2366 Courtyards of Cielo Ranch 15</t>
        </is>
      </c>
      <c r="B102" s="24" t="n">
        <v>6022.94</v>
      </c>
      <c r="C102" s="24" t="n">
        <v>0</v>
      </c>
      <c r="D102" s="24" t="n">
        <v>0</v>
      </c>
      <c r="E102" s="24" t="n">
        <v>0</v>
      </c>
      <c r="F102" s="24" t="n">
        <v>0</v>
      </c>
      <c r="G102" s="39" t="n">
        <v>6022.94</v>
      </c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3" t="inlineStr">
        <is>
          <t>DS.2026.2370 Courtyards of Westfield 106</t>
        </is>
      </c>
      <c r="B103" s="24" t="n">
        <v>5971.55</v>
      </c>
      <c r="C103" s="24" t="n">
        <v>0</v>
      </c>
      <c r="D103" s="24" t="n">
        <v>0</v>
      </c>
      <c r="E103" s="24" t="n">
        <v>0</v>
      </c>
      <c r="F103" s="24" t="n">
        <v>0</v>
      </c>
      <c r="G103" s="39" t="n">
        <v>5971.55</v>
      </c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3" t="inlineStr">
        <is>
          <t>DS.2026.2407 Courtyards of Russel Oaks 126</t>
        </is>
      </c>
      <c r="B104" s="24" t="n">
        <v>0</v>
      </c>
      <c r="C104" s="24" t="n">
        <v>0</v>
      </c>
      <c r="D104" s="24" t="n">
        <v>0</v>
      </c>
      <c r="E104" s="24" t="n">
        <v>5928.42</v>
      </c>
      <c r="F104" s="24" t="n">
        <v>0</v>
      </c>
      <c r="G104" s="39" t="n">
        <v>5928.42</v>
      </c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3" t="inlineStr">
        <is>
          <t>DS.2026.2418 118 Centre Place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5520.75</v>
      </c>
      <c r="G105" s="39" t="n">
        <v>5520.75</v>
      </c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3" t="inlineStr">
        <is>
          <t>DS.2026.2416 52 Centre Place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5520.75</v>
      </c>
      <c r="G106" s="39" t="n">
        <v>5520.75</v>
      </c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3" t="inlineStr">
        <is>
          <t>DS.2026.2425 14 Parks</t>
        </is>
      </c>
      <c r="B107" s="24" t="n">
        <v>0</v>
      </c>
      <c r="C107" s="24" t="n">
        <v>0</v>
      </c>
      <c r="D107" s="24" t="n">
        <v>0</v>
      </c>
      <c r="E107" s="24" t="n">
        <v>0</v>
      </c>
      <c r="F107" s="24" t="n">
        <v>5520.75</v>
      </c>
      <c r="G107" s="39" t="n">
        <v>5520.75</v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3" t="inlineStr">
        <is>
          <t>DS.2026.2426 121 Centre Place</t>
        </is>
      </c>
      <c r="B108" s="24" t="n">
        <v>0</v>
      </c>
      <c r="C108" s="24" t="n">
        <v>0</v>
      </c>
      <c r="D108" s="24" t="n">
        <v>0</v>
      </c>
      <c r="E108" s="24" t="n">
        <v>0</v>
      </c>
      <c r="F108" s="24" t="n">
        <v>5520.75</v>
      </c>
      <c r="G108" s="39" t="n">
        <v>5520.75</v>
      </c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3" t="inlineStr">
        <is>
          <t>DS.2026.2403 Big Dawg Pickup 0327</t>
        </is>
      </c>
      <c r="B109" s="24" t="n">
        <v>0</v>
      </c>
      <c r="C109" s="24" t="n">
        <v>0</v>
      </c>
      <c r="D109" s="24" t="n">
        <v>5302.49</v>
      </c>
      <c r="E109" s="24" t="n">
        <v>0</v>
      </c>
      <c r="F109" s="24" t="n">
        <v>0</v>
      </c>
      <c r="G109" s="39" t="n">
        <v>5302.49</v>
      </c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3" t="inlineStr">
        <is>
          <t>DS.2026.2428 9 Centre Place</t>
        </is>
      </c>
      <c r="B110" s="24" t="n">
        <v>0</v>
      </c>
      <c r="C110" s="24" t="n">
        <v>0</v>
      </c>
      <c r="D110" s="24" t="n">
        <v>0</v>
      </c>
      <c r="E110" s="24" t="n">
        <v>0</v>
      </c>
      <c r="F110" s="24" t="n">
        <v>4962.27</v>
      </c>
      <c r="G110" s="39" t="n">
        <v>4962.27</v>
      </c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3" t="inlineStr">
        <is>
          <t>DS.2026.2420 7508 Central Ave</t>
        </is>
      </c>
      <c r="B111" s="24" t="n">
        <v>0</v>
      </c>
      <c r="C111" s="24" t="n">
        <v>0</v>
      </c>
      <c r="D111" s="24" t="n">
        <v>0</v>
      </c>
      <c r="E111" s="24" t="n">
        <v>0</v>
      </c>
      <c r="F111" s="24" t="n">
        <v>4323.31</v>
      </c>
      <c r="G111" s="39" t="n">
        <v>4323.31</v>
      </c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3" t="inlineStr">
        <is>
          <t>DS.2026.2384 225 N St Ave</t>
        </is>
      </c>
      <c r="B112" s="24" t="n">
        <v>0</v>
      </c>
      <c r="C112" s="24" t="n">
        <v>4271.93</v>
      </c>
      <c r="D112" s="24" t="n">
        <v>0</v>
      </c>
      <c r="E112" s="24" t="n">
        <v>0</v>
      </c>
      <c r="F112" s="24" t="n">
        <v>0</v>
      </c>
      <c r="G112" s="39" t="n">
        <v>4271.93</v>
      </c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3" t="inlineStr">
        <is>
          <t>DS.2026.2417 117 Centre Place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4070.62</v>
      </c>
      <c r="G113" s="39" t="n">
        <v>4070.62</v>
      </c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3" t="inlineStr">
        <is>
          <t>DS.2026.2419 120 Centre Place</t>
        </is>
      </c>
      <c r="B114" s="24" t="n">
        <v>0</v>
      </c>
      <c r="C114" s="24" t="n">
        <v>0</v>
      </c>
      <c r="D114" s="24" t="n">
        <v>0</v>
      </c>
      <c r="E114" s="24" t="n">
        <v>0</v>
      </c>
      <c r="F114" s="24" t="n">
        <v>4070.62</v>
      </c>
      <c r="G114" s="39" t="n">
        <v>4070.62</v>
      </c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3" t="inlineStr">
        <is>
          <t>DS.2026.2372 Big Dawg Pickup 0115</t>
        </is>
      </c>
      <c r="B115" s="24" t="n">
        <v>3907.73</v>
      </c>
      <c r="C115" s="24" t="n">
        <v>0</v>
      </c>
      <c r="D115" s="24" t="n">
        <v>0</v>
      </c>
      <c r="E115" s="24" t="n">
        <v>0</v>
      </c>
      <c r="F115" s="24" t="n">
        <v>0</v>
      </c>
      <c r="G115" s="39" t="n">
        <v>3907.73</v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3" t="inlineStr">
        <is>
          <t>DS.2026.2424 10566 Coppergate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3882.79</v>
      </c>
      <c r="G116" s="39" t="n">
        <v>3882.79</v>
      </c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3" t="inlineStr">
        <is>
          <t>DS.2026.2411 Clark Remodel</t>
        </is>
      </c>
      <c r="B117" s="24" t="n">
        <v>0</v>
      </c>
      <c r="C117" s="24" t="n">
        <v>0</v>
      </c>
      <c r="D117" s="24" t="n">
        <v>0</v>
      </c>
      <c r="E117" s="24" t="n">
        <v>3764.86</v>
      </c>
      <c r="F117" s="24" t="n">
        <v>0</v>
      </c>
      <c r="G117" s="39" t="n">
        <v>3764.86</v>
      </c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3" t="inlineStr">
        <is>
          <t>DS.2026.2364 GSI 1-6</t>
        </is>
      </c>
      <c r="B118" s="24" t="n">
        <v>3762.61</v>
      </c>
      <c r="C118" s="24" t="n">
        <v>0</v>
      </c>
      <c r="D118" s="24" t="n">
        <v>0</v>
      </c>
      <c r="E118" s="24" t="n">
        <v>0</v>
      </c>
      <c r="F118" s="24" t="n">
        <v>0</v>
      </c>
      <c r="G118" s="39" t="n">
        <v>3762.61</v>
      </c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3" t="inlineStr">
        <is>
          <t>DS.2026.2429 108 Centre Place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3711.4</v>
      </c>
      <c r="G119" s="39" t="n">
        <v>3711.4</v>
      </c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3" t="inlineStr">
        <is>
          <t>DS.2026.2430 119 Centre Place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3411.3</v>
      </c>
      <c r="G120" s="39" t="n">
        <v>3411.3</v>
      </c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3" t="inlineStr">
        <is>
          <t>DS.2026.2431 123 Centre Place</t>
        </is>
      </c>
      <c r="B121" s="24" t="n">
        <v>0</v>
      </c>
      <c r="C121" s="24" t="n">
        <v>0</v>
      </c>
      <c r="D121" s="24" t="n">
        <v>0</v>
      </c>
      <c r="E121" s="24" t="n">
        <v>0</v>
      </c>
      <c r="F121" s="24" t="n">
        <v>3411.3</v>
      </c>
      <c r="G121" s="39" t="n">
        <v>3411.3</v>
      </c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3" t="inlineStr">
        <is>
          <t>DS.2026.2379 124 S A Street</t>
        </is>
      </c>
      <c r="B122" s="24" t="n">
        <v>2632.63</v>
      </c>
      <c r="C122" s="24" t="n">
        <v>0</v>
      </c>
      <c r="D122" s="24" t="n">
        <v>0</v>
      </c>
      <c r="E122" s="24" t="n">
        <v>0</v>
      </c>
      <c r="F122" s="24" t="n">
        <v>0</v>
      </c>
      <c r="G122" s="39" t="n">
        <v>2632.63</v>
      </c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3" t="inlineStr">
        <is>
          <t>DS.2026.2414 10824 McPherson St</t>
        </is>
      </c>
      <c r="B123" s="24" t="n">
        <v>0</v>
      </c>
      <c r="C123" s="24" t="n">
        <v>0</v>
      </c>
      <c r="D123" s="24" t="n">
        <v>0</v>
      </c>
      <c r="E123" s="24" t="n">
        <v>0</v>
      </c>
      <c r="F123" s="24" t="n">
        <v>2611.31</v>
      </c>
      <c r="G123" s="39" t="n">
        <v>2611.31</v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3" t="inlineStr">
        <is>
          <t>DS.2026.2415 10826 McPherson St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4" t="n">
        <v>2611.31</v>
      </c>
      <c r="G124" s="39" t="n">
        <v>2611.31</v>
      </c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3" t="inlineStr">
        <is>
          <t>DS.2026.2423 10816 McPherson St</t>
        </is>
      </c>
      <c r="B125" s="24" t="n">
        <v>0</v>
      </c>
      <c r="C125" s="24" t="n">
        <v>0</v>
      </c>
      <c r="D125" s="24" t="n">
        <v>0</v>
      </c>
      <c r="E125" s="24" t="n">
        <v>0</v>
      </c>
      <c r="F125" s="24" t="n">
        <v>2611.31</v>
      </c>
      <c r="G125" s="39" t="n">
        <v>2611.31</v>
      </c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3" t="inlineStr">
        <is>
          <t>DS.2026.2422 10814 McPherson St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2611.31</v>
      </c>
      <c r="G126" s="39" t="n">
        <v>2611.31</v>
      </c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3" t="inlineStr">
        <is>
          <t>DS.2026.2390 510 W Pine St</t>
        </is>
      </c>
      <c r="B127" s="24" t="n">
        <v>0</v>
      </c>
      <c r="C127" s="24" t="n">
        <v>2495.07</v>
      </c>
      <c r="D127" s="24" t="n">
        <v>0</v>
      </c>
      <c r="E127" s="24" t="n">
        <v>0</v>
      </c>
      <c r="F127" s="24" t="n">
        <v>0</v>
      </c>
      <c r="G127" s="39" t="n">
        <v>2495.07</v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3" t="inlineStr">
        <is>
          <t>DS.2026.2391 0218 Jose Iracheta</t>
        </is>
      </c>
      <c r="B128" s="24" t="n">
        <v>0</v>
      </c>
      <c r="C128" s="24" t="n">
        <v>2072.89</v>
      </c>
      <c r="D128" s="24" t="n">
        <v>0</v>
      </c>
      <c r="E128" s="24" t="n">
        <v>0</v>
      </c>
      <c r="F128" s="24" t="n">
        <v>0</v>
      </c>
      <c r="G128" s="39" t="n">
        <v>2072.89</v>
      </c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3" t="inlineStr">
        <is>
          <t>DS.2026.2427 Dapp Garage</t>
        </is>
      </c>
      <c r="B129" s="24" t="n">
        <v>0</v>
      </c>
      <c r="C129" s="24" t="n">
        <v>0</v>
      </c>
      <c r="D129" s="24" t="n">
        <v>0</v>
      </c>
      <c r="E129" s="24" t="n">
        <v>0</v>
      </c>
      <c r="F129" s="24" t="n">
        <v>2024.87</v>
      </c>
      <c r="G129" s="39" t="n">
        <v>2024.87</v>
      </c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3" t="inlineStr">
        <is>
          <t>2024.912 Upland Columbus</t>
        </is>
      </c>
      <c r="B130" s="24" t="n">
        <v>0</v>
      </c>
      <c r="C130" s="24" t="n">
        <v>0</v>
      </c>
      <c r="D130" s="24" t="n">
        <v>0</v>
      </c>
      <c r="E130" s="24" t="n">
        <v>0</v>
      </c>
      <c r="F130" s="24" t="n">
        <v>2020</v>
      </c>
      <c r="G130" s="39" t="n">
        <v>2020</v>
      </c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3" t="inlineStr">
        <is>
          <t>2025.999 Romet PWSI</t>
        </is>
      </c>
      <c r="B131" s="24" t="n">
        <v>0</v>
      </c>
      <c r="C131" s="24" t="n">
        <v>1940</v>
      </c>
      <c r="D131" s="24" t="n">
        <v>0</v>
      </c>
      <c r="E131" s="24" t="n">
        <v>0</v>
      </c>
      <c r="F131" s="24" t="n">
        <v>0</v>
      </c>
      <c r="G131" s="39" t="n">
        <v>1940</v>
      </c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3" t="inlineStr">
        <is>
          <t>DS.2026.2381 Hunt Addition</t>
        </is>
      </c>
      <c r="B132" s="24" t="n">
        <v>1601.79</v>
      </c>
      <c r="C132" s="24" t="n">
        <v>0</v>
      </c>
      <c r="D132" s="24" t="n">
        <v>0</v>
      </c>
      <c r="E132" s="24" t="n">
        <v>0</v>
      </c>
      <c r="F132" s="24" t="n">
        <v>0</v>
      </c>
      <c r="G132" s="39" t="n">
        <v>1601.79</v>
      </c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3" t="inlineStr">
        <is>
          <t>DS.2026.2374 Precision Pickup 0127</t>
        </is>
      </c>
      <c r="B133" s="24" t="n">
        <v>1151.37</v>
      </c>
      <c r="C133" s="24" t="n">
        <v>0</v>
      </c>
      <c r="D133" s="24" t="n">
        <v>0</v>
      </c>
      <c r="E133" s="24" t="n">
        <v>0</v>
      </c>
      <c r="F133" s="24" t="n">
        <v>0</v>
      </c>
      <c r="G133" s="39" t="n">
        <v>1151.37</v>
      </c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3" t="inlineStr">
        <is>
          <t>DS.2026.2413 Precision Pickup 0501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1096.76</v>
      </c>
      <c r="G134" s="39" t="n">
        <v>1096.76</v>
      </c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3" t="inlineStr">
        <is>
          <t>DS.2026.2382 Cohoat House</t>
        </is>
      </c>
      <c r="B135" s="24" t="n">
        <v>0</v>
      </c>
      <c r="C135" s="24" t="n">
        <v>1065.45</v>
      </c>
      <c r="D135" s="24" t="n">
        <v>0</v>
      </c>
      <c r="E135" s="24" t="n">
        <v>0</v>
      </c>
      <c r="F135" s="24" t="n">
        <v>0</v>
      </c>
      <c r="G135" s="39" t="n">
        <v>1065.45</v>
      </c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3" t="inlineStr">
        <is>
          <t>DS.2026.2367 Courtyards of Russell Oaks 126</t>
        </is>
      </c>
      <c r="B136" s="24" t="n">
        <v>360.55</v>
      </c>
      <c r="C136" s="24" t="n">
        <v>0</v>
      </c>
      <c r="D136" s="24" t="n">
        <v>0</v>
      </c>
      <c r="E136" s="24" t="n">
        <v>0</v>
      </c>
      <c r="F136" s="24" t="n">
        <v>0</v>
      </c>
      <c r="G136" s="39" t="n">
        <v>360.55</v>
      </c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3" t="inlineStr">
        <is>
          <t>DS.2026.2397 Courtyards of Cielo Ranch 26</t>
        </is>
      </c>
      <c r="B137" s="24" t="n">
        <v>0</v>
      </c>
      <c r="C137" s="24" t="n">
        <v>0</v>
      </c>
      <c r="D137" s="24" t="n">
        <v>360.55</v>
      </c>
      <c r="E137" s="24" t="n">
        <v>0</v>
      </c>
      <c r="F137" s="24" t="n">
        <v>0</v>
      </c>
      <c r="G137" s="39" t="n">
        <v>360.55</v>
      </c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3" t="inlineStr">
        <is>
          <t>DS.2026.2362 Courtyards of Russel Oaks 127</t>
        </is>
      </c>
      <c r="B138" s="24" t="n">
        <v>299.6</v>
      </c>
      <c r="C138" s="24" t="n">
        <v>0</v>
      </c>
      <c r="D138" s="24" t="n">
        <v>0</v>
      </c>
      <c r="E138" s="24" t="n">
        <v>0</v>
      </c>
      <c r="F138" s="24" t="n">
        <v>0</v>
      </c>
      <c r="G138" s="39" t="n">
        <v>299.6</v>
      </c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3" t="inlineStr">
        <is>
          <t>DS.2026.2395 Courtyards of Westfield 103</t>
        </is>
      </c>
      <c r="B139" s="24" t="n">
        <v>0</v>
      </c>
      <c r="C139" s="24" t="n">
        <v>0</v>
      </c>
      <c r="D139" s="24" t="n">
        <v>270.41</v>
      </c>
      <c r="E139" s="24" t="n">
        <v>0</v>
      </c>
      <c r="F139" s="24" t="n">
        <v>0</v>
      </c>
      <c r="G139" s="39" t="n">
        <v>270.41</v>
      </c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3" t="inlineStr">
        <is>
          <t>DS.2026.2393 Precision Pickup 0216</t>
        </is>
      </c>
      <c r="B140" s="24" t="n">
        <v>0</v>
      </c>
      <c r="C140" s="24" t="n">
        <v>252.01</v>
      </c>
      <c r="D140" s="24" t="n">
        <v>0</v>
      </c>
      <c r="E140" s="24" t="n">
        <v>0</v>
      </c>
      <c r="F140" s="24" t="n">
        <v>0</v>
      </c>
      <c r="G140" s="39" t="n">
        <v>252.01</v>
      </c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3" t="inlineStr">
        <is>
          <t>DS.2026.2373 Precision Pickup 0120</t>
        </is>
      </c>
      <c r="B141" s="24" t="n">
        <v>167.78</v>
      </c>
      <c r="C141" s="24" t="n">
        <v>0</v>
      </c>
      <c r="D141" s="24" t="n">
        <v>0</v>
      </c>
      <c r="E141" s="24" t="n">
        <v>0</v>
      </c>
      <c r="F141" s="24" t="n">
        <v>0</v>
      </c>
      <c r="G141" s="39" t="n">
        <v>167.78</v>
      </c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3" t="inlineStr">
        <is>
          <t>DS.2026.2409 Precision Pickup 0410</t>
        </is>
      </c>
      <c r="B142" s="24" t="n">
        <v>0</v>
      </c>
      <c r="C142" s="24" t="n">
        <v>0</v>
      </c>
      <c r="D142" s="24" t="n">
        <v>0</v>
      </c>
      <c r="E142" s="24" t="n">
        <v>107.86</v>
      </c>
      <c r="F142" s="24" t="n">
        <v>0</v>
      </c>
      <c r="G142" s="39" t="n">
        <v>107.86</v>
      </c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3" t="inlineStr">
        <is>
          <t>2024.874 Noblesville HS Academic Addition &amp; Renovation</t>
        </is>
      </c>
      <c r="B143" s="24" t="n">
        <v>-14964</v>
      </c>
      <c r="C143" s="24" t="n">
        <v>0</v>
      </c>
      <c r="D143" s="24" t="n">
        <v>0</v>
      </c>
      <c r="E143" s="24" t="n">
        <v>0</v>
      </c>
      <c r="F143" s="24" t="n">
        <v>0</v>
      </c>
      <c r="G143" s="39" t="n">
        <v>-14964</v>
      </c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3" t="inlineStr">
        <is>
          <t>MF.2024.875 Purdue Student Housing</t>
        </is>
      </c>
      <c r="B144" s="24" t="n">
        <v>-40103.3</v>
      </c>
      <c r="C144" s="24" t="n">
        <v>0</v>
      </c>
      <c r="D144" s="24" t="n">
        <v>0</v>
      </c>
      <c r="E144" s="24" t="n">
        <v>0</v>
      </c>
      <c r="F144" s="24" t="n">
        <v>0</v>
      </c>
      <c r="G144" s="39" t="n">
        <v>-40103.3</v>
      </c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40" t="inlineStr">
        <is>
          <t>TOTAL — all jobs</t>
        </is>
      </c>
      <c r="B145" s="31" t="n">
        <v>2479001.91</v>
      </c>
      <c r="C145" s="31" t="n">
        <v>3525424.88</v>
      </c>
      <c r="D145" s="31" t="n">
        <v>4583415.25</v>
      </c>
      <c r="E145" s="31" t="n">
        <v>4672034.07</v>
      </c>
      <c r="F145" s="31" t="n">
        <v>5022777.27</v>
      </c>
      <c r="G145" s="31" t="n">
        <v>20282653.38</v>
      </c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</sheetData>
  <mergeCells count="2">
    <mergeCell ref="A2:N2"/>
    <mergeCell ref="A1:N1"/>
  </mergeCells>
  <conditionalFormatting sqref="G5:G144">
    <cfRule type="dataBar" priority="1">
      <dataBar>
        <cfvo type="min"/>
        <cfvo type="max"/>
        <color rgb="00029CF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2026-06-17T23:44:28Z</dcterms:created>
  <dcterms:modified xsi:type="dcterms:W3CDTF">2026-06-17T23:44:29Z</dcterms:modified>
</cp:coreProperties>
</file>