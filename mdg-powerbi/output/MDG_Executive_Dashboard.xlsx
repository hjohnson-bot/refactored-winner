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Financials" sheetId="2" state="visible" r:id="rId2"/>
    <sheet name="Operations" sheetId="3" state="visible" r:id="rId3"/>
    <sheet name="Job Revenue by Month" sheetId="4" state="visible" r:id="rId4"/>
    <sheet name="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"/>
    <numFmt numFmtId="166" formatCode="0.0"/>
  </numFmts>
  <fonts count="19">
    <font>
      <name val="Calibri"/>
      <family val="2"/>
      <color theme="1"/>
      <sz val="11"/>
      <scheme val="minor"/>
    </font>
    <font>
      <name val="Segoe UI"/>
      <b val="1"/>
      <color rgb="001F2937"/>
      <sz val="10"/>
    </font>
    <font>
      <name val="Segoe UI"/>
      <b val="1"/>
      <color rgb="006B7280"/>
      <sz val="9"/>
    </font>
    <font>
      <name val="Segoe UI"/>
      <b val="1"/>
      <color rgb="00FFFFFF"/>
      <sz val="9"/>
    </font>
    <font>
      <name val="Segoe UI"/>
      <color rgb="001F2937"/>
      <sz val="9"/>
    </font>
    <font>
      <name val="Segoe UI"/>
      <b val="1"/>
      <color rgb="001F2937"/>
      <sz val="18"/>
    </font>
    <font>
      <name val="Segoe UI"/>
      <color rgb="006B7280"/>
      <sz val="10"/>
    </font>
    <font>
      <name val="Segoe UI"/>
      <i val="1"/>
      <color rgb="002E75B6"/>
      <sz val="9"/>
    </font>
    <font>
      <name val="Segoe UI"/>
      <b val="1"/>
      <color rgb="001F4E79"/>
      <sz val="12"/>
    </font>
    <font>
      <name val="Segoe UI"/>
      <i val="1"/>
      <color rgb="009AA3AF"/>
      <sz val="9"/>
    </font>
    <font>
      <name val="Segoe UI"/>
      <b val="1"/>
      <color rgb="006B7280"/>
      <sz val="8"/>
    </font>
    <font>
      <name val="Segoe UI"/>
      <color rgb="006B7280"/>
      <sz val="8"/>
    </font>
    <font>
      <name val="Segoe UI"/>
      <b val="1"/>
      <color rgb="00C0392B"/>
      <sz val="18"/>
    </font>
    <font>
      <name val="Segoe UI"/>
      <b val="1"/>
      <color rgb="002E7D32"/>
      <sz val="18"/>
    </font>
    <font>
      <name val="Segoe UI"/>
      <b val="1"/>
      <color rgb="00FFFFFF"/>
      <sz val="10"/>
    </font>
    <font>
      <name val="Segoe UI"/>
      <color rgb="001F2937"/>
      <sz val="10"/>
    </font>
    <font>
      <name val="Segoe UI"/>
      <b val="1"/>
      <color rgb="001F4E79"/>
      <sz val="11"/>
    </font>
    <font>
      <name val="Segoe UI"/>
      <b val="1"/>
      <color rgb="002E75B6"/>
      <sz val="9"/>
    </font>
    <font>
      <name val="Segoe UI"/>
      <color rgb="002E75B6"/>
      <sz val="10"/>
    </font>
  </fonts>
  <fills count="7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3F6F9"/>
      </patternFill>
    </fill>
    <fill>
      <patternFill patternType="solid">
        <fgColor rgb="00FFFFFF"/>
      </patternFill>
    </fill>
    <fill>
      <patternFill patternType="solid">
        <fgColor rgb="001F4E79"/>
      </patternFill>
    </fill>
    <fill>
      <patternFill patternType="solid">
        <fgColor rgb="00FFF3CD"/>
      </patternFill>
    </fill>
  </fills>
  <borders count="13">
    <border>
      <left/>
      <right/>
      <top/>
      <bottom/>
      <diagonal/>
    </border>
    <border>
      <bottom style="medium">
        <color rgb="001F4E79"/>
      </bottom>
    </border>
    <border>
      <left style="thin">
        <color rgb="00C9D2DD"/>
      </left>
      <top style="thin">
        <color rgb="00C9D2DD"/>
      </top>
    </border>
    <border>
      <top style="thin">
        <color rgb="00C9D2DD"/>
      </top>
    </border>
    <border>
      <right style="thin">
        <color rgb="00C9D2DD"/>
      </right>
      <top style="thin">
        <color rgb="00C9D2DD"/>
      </top>
    </border>
    <border>
      <left style="thin">
        <color rgb="00C9D2DD"/>
      </left>
    </border>
    <border/>
    <border>
      <right style="thin">
        <color rgb="00C9D2DD"/>
      </right>
    </border>
    <border>
      <left style="thin">
        <color rgb="00C9D2DD"/>
      </left>
      <bottom style="thin">
        <color rgb="00C9D2DD"/>
      </bottom>
    </border>
    <border>
      <bottom style="thin">
        <color rgb="00C9D2DD"/>
      </bottom>
    </border>
    <border>
      <right style="thin">
        <color rgb="00C9D2DD"/>
      </right>
      <bottom style="thin">
        <color rgb="00C9D2DD"/>
      </bottom>
    </border>
    <border>
      <bottom style="thin">
        <color rgb="00D7DCE3"/>
      </bottom>
    </border>
    <border>
      <bottom style="thin">
        <color rgb="001F4E7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5" fillId="0" borderId="0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7" fillId="0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 indent="1"/>
    </xf>
    <xf numFmtId="0" fontId="0" fillId="0" borderId="3" pivotButton="0" quotePrefix="0" xfId="0"/>
    <xf numFmtId="0" fontId="0" fillId="0" borderId="4" pivotButton="0" quotePrefix="0" xfId="0"/>
    <xf numFmtId="0" fontId="4" fillId="3" borderId="5" applyAlignment="1" pivotButton="0" quotePrefix="0" xfId="0">
      <alignment horizontal="left" vertical="center" indent="1"/>
    </xf>
    <xf numFmtId="0" fontId="0" fillId="0" borderId="6" pivotButton="0" quotePrefix="0" xfId="0"/>
    <xf numFmtId="0" fontId="0" fillId="0" borderId="7" pivotButton="0" quotePrefix="0" xfId="0"/>
    <xf numFmtId="0" fontId="4" fillId="3" borderId="8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9" fillId="0" borderId="0" applyAlignment="1" pivotButton="0" quotePrefix="0" xfId="0">
      <alignment horizontal="left" vertical="center"/>
    </xf>
    <xf numFmtId="0" fontId="10" fillId="4" borderId="2" applyAlignment="1" pivotButton="0" quotePrefix="0" xfId="0">
      <alignment horizontal="left" vertical="center" indent="1"/>
    </xf>
    <xf numFmtId="165" fontId="5" fillId="4" borderId="5" applyAlignment="1" pivotButton="0" quotePrefix="0" xfId="0">
      <alignment horizontal="left" vertical="center" indent="1"/>
    </xf>
    <xf numFmtId="164" fontId="5" fillId="4" borderId="5" applyAlignment="1" pivotButton="0" quotePrefix="0" xfId="0">
      <alignment horizontal="left" vertical="center" indent="1"/>
    </xf>
    <xf numFmtId="165" fontId="12" fillId="4" borderId="5" applyAlignment="1" pivotButton="0" quotePrefix="0" xfId="0">
      <alignment horizontal="left" vertical="center" indent="1"/>
    </xf>
    <xf numFmtId="0" fontId="0" fillId="0" borderId="5" pivotButton="0" quotePrefix="0" xfId="0"/>
    <xf numFmtId="0" fontId="11" fillId="4" borderId="8" applyAlignment="1" pivotButton="0" quotePrefix="0" xfId="0">
      <alignment horizontal="left" vertical="center" indent="1"/>
    </xf>
    <xf numFmtId="3" fontId="5" fillId="4" borderId="5" applyAlignment="1" pivotButton="0" quotePrefix="0" xfId="0">
      <alignment horizontal="left" vertical="center" indent="1"/>
    </xf>
    <xf numFmtId="3" fontId="12" fillId="4" borderId="5" applyAlignment="1" pivotButton="0" quotePrefix="0" xfId="0">
      <alignment horizontal="left" vertical="center" indent="1"/>
    </xf>
    <xf numFmtId="164" fontId="13" fillId="4" borderId="5" applyAlignment="1" pivotButton="0" quotePrefix="0" xfId="0">
      <alignment horizontal="left" vertical="center" indent="1"/>
    </xf>
    <xf numFmtId="165" fontId="13" fillId="4" borderId="5" applyAlignment="1" pivotButton="0" quotePrefix="0" xfId="0">
      <alignment horizontal="left" vertical="center" indent="1"/>
    </xf>
    <xf numFmtId="2" fontId="5" fillId="4" borderId="5" applyAlignment="1" pivotButton="0" quotePrefix="0" xfId="0">
      <alignment horizontal="left" vertical="center" indent="1"/>
    </xf>
    <xf numFmtId="166" fontId="5" fillId="4" borderId="5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4" fillId="5" borderId="0" applyAlignment="1" pivotButton="0" quotePrefix="0" xfId="0">
      <alignment horizontal="left" vertical="center" wrapText="1" indent="1"/>
    </xf>
    <xf numFmtId="0" fontId="14" fillId="5" borderId="0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left" vertical="center" indent="1"/>
    </xf>
    <xf numFmtId="3" fontId="15" fillId="0" borderId="11" applyAlignment="1" pivotButton="0" quotePrefix="0" xfId="0">
      <alignment horizontal="right" vertical="center"/>
    </xf>
    <xf numFmtId="164" fontId="15" fillId="0" borderId="11" applyAlignment="1" pivotButton="0" quotePrefix="0" xfId="0">
      <alignment horizontal="right" vertical="center"/>
    </xf>
    <xf numFmtId="0" fontId="1" fillId="0" borderId="11" applyAlignment="1" pivotButton="0" quotePrefix="0" xfId="0">
      <alignment horizontal="left" vertical="center" indent="1"/>
    </xf>
    <xf numFmtId="165" fontId="1" fillId="0" borderId="11" applyAlignment="1" pivotButton="0" quotePrefix="0" xfId="0">
      <alignment horizontal="right" vertical="center"/>
    </xf>
    <xf numFmtId="165" fontId="15" fillId="0" borderId="11" applyAlignment="1" pivotButton="0" quotePrefix="0" xfId="0">
      <alignment horizontal="right" vertical="center"/>
    </xf>
    <xf numFmtId="0" fontId="1" fillId="3" borderId="12" applyAlignment="1" pivotButton="0" quotePrefix="0" xfId="0">
      <alignment horizontal="left" vertical="center" indent="1"/>
    </xf>
    <xf numFmtId="165" fontId="1" fillId="3" borderId="12" applyAlignment="1" pivotButton="0" quotePrefix="0" xfId="0">
      <alignment horizontal="right" vertical="center"/>
    </xf>
    <xf numFmtId="0" fontId="17" fillId="3" borderId="0" applyAlignment="1" pivotButton="0" quotePrefix="0" xfId="0">
      <alignment horizontal="left" vertical="center" indent="1"/>
    </xf>
    <xf numFmtId="0" fontId="15" fillId="3" borderId="0" applyAlignment="1" pivotButton="0" quotePrefix="0" xfId="0">
      <alignment horizontal="left" vertical="center"/>
    </xf>
    <xf numFmtId="0" fontId="15" fillId="0" borderId="11" applyAlignment="1" pivotButton="0" quotePrefix="0" xfId="0">
      <alignment horizontal="left" vertical="center" indent="2"/>
    </xf>
    <xf numFmtId="2" fontId="15" fillId="0" borderId="11" applyAlignment="1" pivotButton="0" quotePrefix="0" xfId="0">
      <alignment horizontal="right" vertical="center"/>
    </xf>
    <xf numFmtId="166" fontId="15" fillId="0" borderId="11" applyAlignment="1" pivotButton="0" quotePrefix="0" xfId="0">
      <alignment horizontal="right" vertical="center"/>
    </xf>
    <xf numFmtId="165" fontId="1" fillId="6" borderId="11" applyAlignment="1" pivotButton="0" quotePrefix="0" xfId="0">
      <alignment horizontal="right" vertical="center"/>
    </xf>
    <xf numFmtId="164" fontId="1" fillId="6" borderId="11" applyAlignment="1" pivotButton="0" quotePrefix="0" xfId="0">
      <alignment horizontal="right" vertical="center"/>
    </xf>
    <xf numFmtId="0" fontId="15" fillId="0" borderId="11" applyAlignment="1" pivotButton="0" quotePrefix="0" xfId="0">
      <alignment horizontal="right" vertical="center"/>
    </xf>
    <xf numFmtId="3" fontId="1" fillId="3" borderId="12" applyAlignment="1" pivotButton="0" quotePrefix="0" xfId="0">
      <alignment horizontal="right" vertical="center"/>
    </xf>
    <xf numFmtId="0" fontId="15" fillId="3" borderId="12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indent="1"/>
    </xf>
    <xf numFmtId="165" fontId="18" fillId="0" borderId="0" applyAlignment="1" pivotButton="0" quotePrefix="0" xfId="0">
      <alignment horizontal="right" vertical="center"/>
    </xf>
    <xf numFmtId="164" fontId="1" fillId="3" borderId="12" applyAlignment="1" pivotButton="0" quotePrefix="0" xfId="0">
      <alignment horizontal="right" vertical="center"/>
    </xf>
    <xf numFmtId="3" fontId="1" fillId="0" borderId="11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by month — 2026</a:t>
            </a:r>
          </a:p>
        </rich>
      </tx>
    </title>
    <plotArea>
      <lineChart>
        <grouping val="standard"/>
        <ser>
          <idx val="0"/>
          <order val="0"/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'Data'!$A$238:$A$242</f>
            </numRef>
          </cat>
          <val>
            <numRef>
              <f>'Data'!$B$238:$B$242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GL" displayName="tGL" ref="A4:F232" headerRowCount="1">
  <autoFilter ref="A4:F232"/>
  <tableColumns count="6">
    <tableColumn id="1" name="Account"/>
    <tableColumn id="2" name="Period"/>
    <tableColumn id="3" name="PeriodEnd"/>
    <tableColumn id="4" name="DivKey"/>
    <tableColumn id="5" name="Amount"/>
    <tableColumn id="6" name="Category"/>
  </tableColumns>
  <tableStyleInfo name="TableStyleLight9" showRowStripes="1"/>
</table>
</file>

<file path=xl/tables/table2.xml><?xml version="1.0" encoding="utf-8"?>
<table xmlns="http://schemas.openxmlformats.org/spreadsheetml/2006/main" id="2" name="tMonthly" displayName="tMonthly" ref="A235:H242" headerRowCount="1">
  <autoFilter ref="A235:H242"/>
  <tableColumns count="8">
    <tableColumn id="1" name="MonthEnd"/>
    <tableColumn id="2" name="Revenue"/>
    <tableColumn id="3" name="COGS"/>
    <tableColumn id="4" name="GrossProfit"/>
    <tableColumn id="5" name="OpEx"/>
    <tableColumn id="6" name="NetIncome"/>
    <tableColumn id="7" name="GrossMarginPct"/>
    <tableColumn id="8" name="NetMarginPct"/>
  </tableColumns>
  <tableStyleInfo name="TableStyleLight9" showRowStripes="1"/>
</table>
</file>

<file path=xl/tables/table3.xml><?xml version="1.0" encoding="utf-8"?>
<table xmlns="http://schemas.openxmlformats.org/spreadsheetml/2006/main" id="3" name="tWIP" displayName="tWIP" ref="A245:AH553" headerRowCount="1">
  <autoFilter ref="A245:AH553"/>
  <tableColumns count="34">
    <tableColumn id="1" name="SnapshotDate"/>
    <tableColumn id="2" name="ProjectId"/>
    <tableColumn id="3" name="Job"/>
    <tableColumn id="4" name="DivKey"/>
    <tableColumn id="5" name="PMName"/>
    <tableColumn id="6" name="Customer"/>
    <tableColumn id="7" name="Status"/>
    <tableColumn id="8" name="ContractTotal"/>
    <tableColumn id="9" name="ChangeOrders"/>
    <tableColumn id="10" name="Invoiced"/>
    <tableColumn id="11" name="PaymentsInvoices"/>
    <tableColumn id="12" name="BudgetTotal"/>
    <tableColumn id="13" name="ActualCost"/>
    <tableColumn id="14" name="PctComplete"/>
    <tableColumn id="15" name="EarnedRevenue"/>
    <tableColumn id="16" name="WIPNet"/>
    <tableColumn id="17" name="KnowifyWIP"/>
    <tableColumn id="18" name="Overbilled"/>
    <tableColumn id="19" name="Underbilled"/>
    <tableColumn id="20" name="ProfitAmount"/>
    <tableColumn id="21" name="ProfitPct"/>
    <tableColumn id="22" name="ProjectedProfit"/>
    <tableColumn id="23" name="ProjectedProfitPct"/>
    <tableColumn id="24" name="EstMarginPct"/>
    <tableColumn id="25" name="ProfitFadePct"/>
    <tableColumn id="26" name="Retainage"/>
    <tableColumn id="27" name="OpenAR"/>
    <tableColumn id="28" name="HasBudget"/>
    <tableColumn id="29" name="Managed"/>
    <tableColumn id="30" name="MaterialsActual"/>
    <tableColumn id="31" name="SubsActual"/>
    <tableColumn id="32" name="EquipmentActual"/>
    <tableColumn id="33" name="MiscActual"/>
    <tableColumn id="34" name="LaborCommitted"/>
  </tableColumns>
  <tableStyleInfo name="TableStyleLight9" showRowStripes="1"/>
</table>
</file>

<file path=xl/tables/table4.xml><?xml version="1.0" encoding="utf-8"?>
<table xmlns="http://schemas.openxmlformats.org/spreadsheetml/2006/main" id="4" name="tAR" displayName="tAR" ref="A556:E661" headerRowCount="1">
  <autoFilter ref="A556:E661"/>
  <tableColumns count="5">
    <tableColumn id="1" name="Customer"/>
    <tableColumn id="2" name="Bucket"/>
    <tableColumn id="3" name="Amount"/>
    <tableColumn id="4" name="IsRetainage"/>
    <tableColumn id="5" name="AsOfDate"/>
  </tableColumns>
  <tableStyleInfo name="TableStyleLight9" showRowStripes="1"/>
</table>
</file>

<file path=xl/tables/table5.xml><?xml version="1.0" encoding="utf-8"?>
<table xmlns="http://schemas.openxmlformats.org/spreadsheetml/2006/main" id="5" name="tAP" displayName="tAP" ref="A664:D810" headerRowCount="1">
  <autoFilter ref="A664:D810"/>
  <tableColumns count="4">
    <tableColumn id="1" name="Vendor"/>
    <tableColumn id="2" name="Bucket"/>
    <tableColumn id="3" name="Amount"/>
    <tableColumn id="4" name="AsOfDate"/>
  </tableColumns>
  <tableStyleInfo name="TableStyleLight9" showRowStripes="1"/>
</table>
</file>

<file path=xl/tables/table6.xml><?xml version="1.0" encoding="utf-8"?>
<table xmlns="http://schemas.openxmlformats.org/spreadsheetml/2006/main" id="6" name="tCash" displayName="tCash" ref="A813:M814" headerRowCount="1">
  <autoFilter ref="A813:M814"/>
  <tableColumns count="13">
    <tableColumn id="1" name="Date"/>
    <tableColumn id="2" name="CashBalance"/>
    <tableColumn id="3" name="LOCDrawn"/>
    <tableColumn id="4" name="LOCCapX"/>
    <tableColumn id="5" name="OperatingCF"/>
    <tableColumn id="6" name="InvestingCF"/>
    <tableColumn id="7" name="FinancingCF"/>
    <tableColumn id="8" name="NetCashChange"/>
    <tableColumn id="9" name="LOCLimit"/>
    <tableColumn id="10" name="AdvanceRate"/>
    <tableColumn id="11" name="EligibleAR"/>
    <tableColumn id="12" name="CurrentAssets"/>
    <tableColumn id="13" name="CurrentLiabilities"/>
  </tableColumns>
  <tableStyleInfo name="TableStyleLight9" showRowStripes="1"/>
</table>
</file>

<file path=xl/tables/table7.xml><?xml version="1.0" encoding="utf-8"?>
<table xmlns="http://schemas.openxmlformats.org/spreadsheetml/2006/main" id="7" name="tBS" displayName="tBS" ref="A817:D833" headerRowCount="1">
  <autoFilter ref="A817:D833"/>
  <tableColumns count="4">
    <tableColumn id="1" name="Account"/>
    <tableColumn id="2" name="Section"/>
    <tableColumn id="3" name="Amount"/>
    <tableColumn id="4" name="AsOfDate"/>
  </tableColumns>
  <tableStyleInfo name="TableStyleLight9" showRowStripes="1"/>
</table>
</file>

<file path=xl/tables/table8.xml><?xml version="1.0" encoding="utf-8"?>
<table xmlns="http://schemas.openxmlformats.org/spreadsheetml/2006/main" id="8" name="tInv" displayName="tInv" ref="A836:C1105" headerRowCount="1">
  <autoFilter ref="A836:C1105"/>
  <tableColumns count="3">
    <tableColumn id="1" name="Job"/>
    <tableColumn id="2" name="Month"/>
    <tableColumn id="3" name="Amount"/>
  </tableColumns>
  <tableStyleInfo name="TableStyleLight9" showRowStripes="1"/>
</table>
</file>

<file path=xl/tables/table9.xml><?xml version="1.0" encoding="utf-8"?>
<table xmlns="http://schemas.openxmlformats.org/spreadsheetml/2006/main" id="9" name="tCustRev" displayName="tCustRev" ref="A1108:B1165" headerRowCount="1">
  <autoFilter ref="A1108:B1165"/>
  <tableColumns count="2">
    <tableColumn id="1" name="Customer"/>
    <tableColumn id="2" name="Revenue2026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Relationship Type="http://schemas.openxmlformats.org/officeDocument/2006/relationships/table" Target="/xl/tables/table7.xml" Id="rId7" /><Relationship Type="http://schemas.openxmlformats.org/officeDocument/2006/relationships/table" Target="/xl/tables/table8.xml" Id="rId8" /><Relationship Type="http://schemas.openxmlformats.org/officeDocument/2006/relationships/table" Target="/xl/tables/table9.xml" Id="rId9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N33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22" customWidth="1" min="9" max="9"/>
    <col width="14" customWidth="1" min="10" max="10"/>
    <col width="14" customWidth="1" min="11" max="11"/>
    <col width="14" customWidth="1" min="12" max="12"/>
    <col width="10" customWidth="1" min="13" max="13"/>
  </cols>
  <sheetData>
    <row r="1" ht="30" customHeight="1">
      <c r="A1" s="1" t="inlineStr">
        <is>
          <t>Midwest Design Group — Executive Dashboard</t>
        </is>
      </c>
    </row>
    <row r="2" ht="16" customHeight="1">
      <c r="A2" s="2" t="inlineStr">
        <is>
          <t>Formula-driven workbook  •  live data  •  as of 2026-06-17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" customHeight="1">
      <c r="A3" s="4" t="inlineStr">
        <is>
          <t>Source: QuickBooks Online + Knowify (see Data sheet)</t>
        </is>
      </c>
    </row>
    <row r="5" ht="20" customHeight="1">
      <c r="A5" s="5" t="inlineStr">
        <is>
          <t>Data sources</t>
        </is>
      </c>
    </row>
    <row r="6">
      <c r="A6" s="6" t="inlineStr">
        <is>
          <t>QuickBooks Online   —   Profit &amp; Loss · Balance Sheet · A/R &amp; A/P Aging · Cash Flow            as of 2026-06-17</t>
        </is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8" t="n"/>
    </row>
    <row r="7">
      <c r="A7" s="9" t="inlineStr">
        <is>
          <t>Knowify   —   Jobs / AJR &amp; Invoices                                                            as of 2026-06-17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1" t="n"/>
    </row>
    <row r="8">
      <c r="A8" s="12" t="inlineStr">
        <is>
          <t>Every figure on the report sheets is a live Excel formula off the Data sheet and reconciles to source (RECONCILIATION.md).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4" t="n"/>
    </row>
    <row r="10" ht="20" customHeight="1">
      <c r="A10" s="5" t="inlineStr">
        <is>
          <t>Key metrics</t>
        </is>
      </c>
      <c r="F10" s="15" t="inlineStr">
        <is>
          <t>Source: live formulas</t>
        </is>
      </c>
    </row>
    <row r="11">
      <c r="A11" s="16" t="inlineStr">
        <is>
          <t>YTD REVENUE</t>
        </is>
      </c>
      <c r="B11" s="8" t="n"/>
      <c r="C11" s="16" t="inlineStr">
        <is>
          <t>GROSS MARGIN</t>
        </is>
      </c>
      <c r="D11" s="8" t="n"/>
      <c r="E11" s="16" t="inlineStr">
        <is>
          <t>NET INCOME</t>
        </is>
      </c>
      <c r="F11" s="8" t="n"/>
      <c r="G11" s="16" t="inlineStr">
        <is>
          <t>CASH</t>
        </is>
      </c>
      <c r="H11" s="8" t="n"/>
      <c r="I11" s="16" t="inlineStr">
        <is>
          <t>TRADE A/R</t>
        </is>
      </c>
      <c r="J11" s="8" t="n"/>
      <c r="K11" s="16" t="inlineStr">
        <is>
          <t>BACKLOG</t>
        </is>
      </c>
      <c r="L11" s="8" t="n"/>
    </row>
    <row r="12">
      <c r="A12" s="17">
        <f>SUMIFS(tGL[Amount],tGL[Period],"YTD2026",tGL[Category],"Revenue")</f>
        <v/>
      </c>
      <c r="B12" s="11" t="n"/>
      <c r="C12" s="18">
        <f>IFERROR((SUMIFS(tGL[Amount],tGL[Period],"YTD2026",tGL[Category],"Revenue")-SUMIFS(tGL[Amount],tGL[Period],"YTD2026",tGL[Category],"COGS"))/SUMIFS(tGL[Amount],tGL[Period],"YTD2026",tGL[Category],"Revenue"),0)</f>
        <v/>
      </c>
      <c r="D12" s="11" t="n"/>
      <c r="E12" s="17">
        <f>SUMIFS(tGL[Amount],tGL[Period],"YTD2026",tGL[Category],"Revenue")-SUMIFS(tGL[Amount],tGL[Period],"YTD2026",tGL[Category],"COGS")-SUMIFS(tGL[Amount],tGL[Period],"YTD2026",tGL[Category],"Operating Expense")+SUMIFS(tGL[Amount],tGL[Period],"YTD2026",tGL[Category],"Other Income")-SUMIFS(tGL[Amount],tGL[Period],"YTD2026",tGL[Category],"Other Expense")</f>
        <v/>
      </c>
      <c r="F12" s="11" t="n"/>
      <c r="G12" s="19">
        <f>SUM(tCash[CashBalance])</f>
        <v/>
      </c>
      <c r="H12" s="11" t="n"/>
      <c r="I12" s="17">
        <f>SUMIFS(tAR[Amount],tAR[IsRetainage],"FALSE")</f>
        <v/>
      </c>
      <c r="J12" s="11" t="n"/>
      <c r="K12" s="17">
        <f>SUM(tWIP[ContractTotal])-SUM(tWIP[Invoiced])</f>
        <v/>
      </c>
      <c r="L12" s="11" t="n"/>
    </row>
    <row r="13">
      <c r="A13" s="20" t="n"/>
      <c r="B13" s="11" t="n"/>
      <c r="C13" s="20" t="n"/>
      <c r="D13" s="11" t="n"/>
      <c r="E13" s="20" t="n"/>
      <c r="F13" s="11" t="n"/>
      <c r="G13" s="20" t="n"/>
      <c r="H13" s="11" t="n"/>
      <c r="I13" s="20" t="n"/>
      <c r="J13" s="11" t="n"/>
      <c r="K13" s="20" t="n"/>
      <c r="L13" s="11" t="n"/>
    </row>
    <row r="14">
      <c r="A14" s="21" t="inlineStr">
        <is>
          <t>QuickBooks · P&amp;L</t>
        </is>
      </c>
      <c r="B14" s="14" t="n"/>
      <c r="C14" s="21" t="inlineStr">
        <is>
          <t>QuickBooks · P&amp;L</t>
        </is>
      </c>
      <c r="D14" s="14" t="n"/>
      <c r="E14" s="21" t="inlineStr">
        <is>
          <t>QuickBooks · P&amp;L</t>
        </is>
      </c>
      <c r="F14" s="14" t="n"/>
      <c r="G14" s="21" t="inlineStr">
        <is>
          <t>QuickBooks · balance sheet</t>
        </is>
      </c>
      <c r="H14" s="14" t="n"/>
      <c r="I14" s="21" t="inlineStr">
        <is>
          <t>QuickBooks · A/R aging</t>
        </is>
      </c>
      <c r="J14" s="14" t="n"/>
      <c r="K14" s="21" t="inlineStr">
        <is>
          <t>Knowify · jobs</t>
        </is>
      </c>
      <c r="L14" s="14" t="n"/>
    </row>
    <row r="16">
      <c r="A16" s="16" t="inlineStr">
        <is>
          <t>2026 FORECAST REV</t>
        </is>
      </c>
      <c r="B16" s="8" t="n"/>
      <c r="C16" s="16" t="inlineStr">
        <is>
          <t>MANAGED JOBS</t>
        </is>
      </c>
      <c r="D16" s="8" t="n"/>
      <c r="E16" s="16" t="inlineStr">
        <is>
          <t>JOBS FADING</t>
        </is>
      </c>
      <c r="F16" s="8" t="n"/>
      <c r="G16" s="16" t="inlineStr">
        <is>
          <t>LOC UTILIZATION</t>
        </is>
      </c>
      <c r="H16" s="8" t="n"/>
      <c r="I16" s="16" t="inlineStr">
        <is>
          <t>OVERBILLED</t>
        </is>
      </c>
      <c r="J16" s="8" t="n"/>
      <c r="K16" s="16" t="inlineStr">
        <is>
          <t>BBC HEADROOM</t>
        </is>
      </c>
      <c r="L16" s="8" t="n"/>
    </row>
    <row r="17">
      <c r="A17" s="17">
        <f>SUM('Data'!B238:B242)/5*12</f>
        <v/>
      </c>
      <c r="B17" s="11" t="n"/>
      <c r="C17" s="22">
        <f>COUNTIF(tWIP[Managed],"TRUE")</f>
        <v/>
      </c>
      <c r="D17" s="11" t="n"/>
      <c r="E17" s="23">
        <f>COUNTIFS(tWIP[Managed],"TRUE",tWIP[ProfitFadePct],"&lt;-0.02")</f>
        <v/>
      </c>
      <c r="F17" s="11" t="n"/>
      <c r="G17" s="24">
        <f>IFERROR(SUM(tCash[LOCDrawn])/SUM(tCash[LOCLimit]),0)</f>
        <v/>
      </c>
      <c r="H17" s="11" t="n"/>
      <c r="I17" s="17">
        <f>SUM(tWIP[Overbilled])</f>
        <v/>
      </c>
      <c r="J17" s="11" t="n"/>
      <c r="K17" s="25">
        <f>MIN(SUM(tCash[EligibleAR])*AVERAGE(tCash[AdvanceRate]),SUM(tCash[LOCLimit]))-SUM(tCash[LOCDrawn])</f>
        <v/>
      </c>
      <c r="L17" s="11" t="n"/>
    </row>
    <row r="18">
      <c r="A18" s="20" t="n"/>
      <c r="B18" s="11" t="n"/>
      <c r="C18" s="20" t="n"/>
      <c r="D18" s="11" t="n"/>
      <c r="E18" s="20" t="n"/>
      <c r="F18" s="11" t="n"/>
      <c r="G18" s="20" t="n"/>
      <c r="H18" s="11" t="n"/>
      <c r="I18" s="20" t="n"/>
      <c r="J18" s="11" t="n"/>
      <c r="K18" s="20" t="n"/>
      <c r="L18" s="11" t="n"/>
    </row>
    <row r="19">
      <c r="A19" s="21" t="inlineStr">
        <is>
          <t>run-rate · 5 mo</t>
        </is>
      </c>
      <c r="B19" s="14" t="n"/>
      <c r="C19" s="21" t="inlineStr">
        <is>
          <t>Knowify · PM + budget</t>
        </is>
      </c>
      <c r="D19" s="14" t="n"/>
      <c r="E19" s="21" t="inlineStr">
        <is>
          <t>forecast margin &lt; booked</t>
        </is>
      </c>
      <c r="F19" s="14" t="n"/>
      <c r="G19" s="21" t="inlineStr">
        <is>
          <t>QuickBooks + input</t>
        </is>
      </c>
      <c r="H19" s="14" t="n"/>
      <c r="I19" s="21" t="inlineStr">
        <is>
          <t>Knowify · billed ahead</t>
        </is>
      </c>
      <c r="J19" s="14" t="n"/>
      <c r="K19" s="21" t="inlineStr">
        <is>
          <t>borrowing-base avail</t>
        </is>
      </c>
      <c r="L19" s="14" t="n"/>
    </row>
    <row r="21" ht="20" customHeight="1">
      <c r="A21" s="5" t="inlineStr">
        <is>
          <t>CFO scorecard</t>
        </is>
      </c>
      <c r="F21" s="15" t="inlineStr">
        <is>
          <t>Source: live formulas</t>
        </is>
      </c>
    </row>
    <row r="22">
      <c r="A22" s="16" t="inlineStr">
        <is>
          <t>EBITDA</t>
        </is>
      </c>
      <c r="B22" s="8" t="n"/>
      <c r="C22" s="16" t="inlineStr">
        <is>
          <t>OPERATING MARGIN</t>
        </is>
      </c>
      <c r="D22" s="8" t="n"/>
      <c r="E22" s="16" t="inlineStr">
        <is>
          <t>CURRENT RATIO</t>
        </is>
      </c>
      <c r="F22" s="8" t="n"/>
      <c r="G22" s="16" t="inlineStr">
        <is>
          <t>DEBT / EQUITY</t>
        </is>
      </c>
      <c r="H22" s="8" t="n"/>
      <c r="I22" s="16" t="inlineStr">
        <is>
          <t>DSO (DAYS)</t>
        </is>
      </c>
      <c r="J22" s="8" t="n"/>
      <c r="K22" s="16" t="inlineStr">
        <is>
          <t>CASH CONV. CYCLE</t>
        </is>
      </c>
      <c r="L22" s="8" t="n"/>
    </row>
    <row r="23">
      <c r="A23" s="17">
        <f>((SUMIFS(tGL[Amount],tGL[Period],"YTD2026",tGL[Category],"Revenue")-SUMIFS(tGL[Amount],tGL[Period],"YTD2026",tGL[Category],"COGS")-SUMIFS(tGL[Amount],tGL[Period],"YTD2026",tGL[Category],"Operating Expense"))+SUMIFS(tGL[Amount],tGL[Account],"Depreciation",tGL[Period],"YTD2026")+SUMIFS(tGL[Amount],tGL[Account],"Interest Paid",tGL[Period],"YTD2026"))</f>
        <v/>
      </c>
      <c r="B23" s="11" t="n"/>
      <c r="C23" s="18">
        <f>IFERROR((SUMIFS(tGL[Amount],tGL[Period],"YTD2026",tGL[Category],"Revenue")-SUMIFS(tGL[Amount],tGL[Period],"YTD2026",tGL[Category],"COGS")-SUMIFS(tGL[Amount],tGL[Period],"YTD2026",tGL[Category],"Operating Expense"))/SUMIFS(tGL[Amount],tGL[Period],"YTD2026",tGL[Category],"Revenue"),0)</f>
        <v/>
      </c>
      <c r="D23" s="11" t="n"/>
      <c r="E23" s="26">
        <f>IFERROR(SUM(tCash[CurrentAssets])/SUM(tCash[CurrentLiabilities]),0)</f>
        <v/>
      </c>
      <c r="F23" s="11" t="n"/>
      <c r="G23" s="26">
        <f>IFERROR(SUMIFS(tBS[Amount],tBS[Section],"Liabilities")/SUMIFS(tBS[Amount],tBS[Section],"Equity"),0)</f>
        <v/>
      </c>
      <c r="H23" s="11" t="n"/>
      <c r="I23" s="27">
        <f>IFERROR(SUMIFS(tAR[Amount],tAR[IsRetainage],"FALSE")/SUMIFS(tGL[Amount],tGL[Period],"YTD2026",tGL[Category],"Revenue")*168,0)</f>
        <v/>
      </c>
      <c r="J23" s="11" t="n"/>
      <c r="K23" s="27">
        <f>IFERROR(SUMIFS(tAR[Amount],tAR[IsRetainage],"FALSE")/SUMIFS(tGL[Amount],tGL[Period],"YTD2026",tGL[Category],"Revenue")*168+SUMIFS(tBS[Amount],tBS[Account],"Drywall Inventory")/SUMIFS(tGL[Amount],tGL[Period],"YTD2026",tGL[Category],"COGS")*168-SUM(tAP[Amount])/SUMIFS(tGL[Amount],tGL[Period],"YTD2026",tGL[Category],"COGS")*168,0)</f>
        <v/>
      </c>
      <c r="L23" s="11" t="n"/>
    </row>
    <row r="24">
      <c r="A24" s="20" t="n"/>
      <c r="B24" s="11" t="n"/>
      <c r="C24" s="20" t="n"/>
      <c r="D24" s="11" t="n"/>
      <c r="E24" s="20" t="n"/>
      <c r="F24" s="11" t="n"/>
      <c r="G24" s="20" t="n"/>
      <c r="H24" s="11" t="n"/>
      <c r="I24" s="20" t="n"/>
      <c r="J24" s="11" t="n"/>
      <c r="K24" s="20" t="n"/>
      <c r="L24" s="11" t="n"/>
    </row>
    <row r="25">
      <c r="A25" s="21" t="inlineStr">
        <is>
          <t>QuickBooks · P&amp;L</t>
        </is>
      </c>
      <c r="B25" s="14" t="n"/>
      <c r="C25" s="21" t="inlineStr">
        <is>
          <t>QuickBooks · P&amp;L</t>
        </is>
      </c>
      <c r="D25" s="14" t="n"/>
      <c r="E25" s="21" t="inlineStr">
        <is>
          <t>QuickBooks · balance sheet</t>
        </is>
      </c>
      <c r="F25" s="14" t="n"/>
      <c r="G25" s="21" t="inlineStr">
        <is>
          <t>QuickBooks · balance sheet</t>
        </is>
      </c>
      <c r="H25" s="14" t="n"/>
      <c r="I25" s="21" t="inlineStr">
        <is>
          <t>A/R vs revenue</t>
        </is>
      </c>
      <c r="J25" s="14" t="n"/>
      <c r="K25" s="21" t="inlineStr">
        <is>
          <t>DSO + DIO - DPO</t>
        </is>
      </c>
      <c r="L25" s="14" t="n"/>
    </row>
    <row r="28" ht="20" customHeight="1">
      <c r="A28" s="28" t="inlineStr">
        <is>
          <t>Revenue by month (2026)</t>
        </is>
      </c>
      <c r="F28" s="15" t="inlineStr">
        <is>
          <t>Source: Knowify · jobs</t>
        </is>
      </c>
    </row>
    <row r="29" ht="22" customHeight="1">
      <c r="I29" s="29" t="inlineStr">
        <is>
          <t>Division</t>
        </is>
      </c>
      <c r="J29" s="30" t="inlineStr">
        <is>
          <t>Contract</t>
        </is>
      </c>
      <c r="K29" s="30" t="inlineStr">
        <is>
          <t>Invoiced</t>
        </is>
      </c>
      <c r="L29" s="30" t="inlineStr">
        <is>
          <t>Profit $</t>
        </is>
      </c>
      <c r="M29" s="30" t="inlineStr">
        <is>
          <t>Margin</t>
        </is>
      </c>
    </row>
    <row r="30">
      <c r="I30" s="31" t="inlineStr">
        <is>
          <t>Tenant Improvement</t>
        </is>
      </c>
      <c r="J30" s="32">
        <f>SUMIF(tWIP[DivKey],"TI",tWIP[ContractTotal])</f>
        <v/>
      </c>
      <c r="K30" s="32">
        <f>SUMIF(tWIP[DivKey],"TI",tWIP[Invoiced])</f>
        <v/>
      </c>
      <c r="L30" s="32">
        <f>SUMIF(tWIP[DivKey],"TI",tWIP[ProfitAmount])</f>
        <v/>
      </c>
      <c r="M30" s="33">
        <f>IFERROR(SUMIF(tWIP[DivKey],"TI",tWIP[ProfitAmount])/SUMIF(tWIP[DivKey],"TI",tWIP[ContractTotal]),0)</f>
        <v/>
      </c>
    </row>
    <row r="31">
      <c r="I31" s="31" t="inlineStr">
        <is>
          <t>Multi-Family</t>
        </is>
      </c>
      <c r="J31" s="32">
        <f>SUMIF(tWIP[DivKey],"MF",tWIP[ContractTotal])</f>
        <v/>
      </c>
      <c r="K31" s="32">
        <f>SUMIF(tWIP[DivKey],"MF",tWIP[Invoiced])</f>
        <v/>
      </c>
      <c r="L31" s="32">
        <f>SUMIF(tWIP[DivKey],"MF",tWIP[ProfitAmount])</f>
        <v/>
      </c>
      <c r="M31" s="33">
        <f>IFERROR(SUMIF(tWIP[DivKey],"MF",tWIP[ProfitAmount])/SUMIF(tWIP[DivKey],"MF",tWIP[ContractTotal]),0)</f>
        <v/>
      </c>
    </row>
    <row r="32">
      <c r="I32" s="31" t="inlineStr">
        <is>
          <t>Drywall</t>
        </is>
      </c>
      <c r="J32" s="32">
        <f>SUMIF(tWIP[DivKey],"DW",tWIP[ContractTotal])</f>
        <v/>
      </c>
      <c r="K32" s="32">
        <f>SUMIF(tWIP[DivKey],"DW",tWIP[Invoiced])</f>
        <v/>
      </c>
      <c r="L32" s="32">
        <f>SUMIF(tWIP[DivKey],"DW",tWIP[ProfitAmount])</f>
        <v/>
      </c>
      <c r="M32" s="33">
        <f>IFERROR(SUMIF(tWIP[DivKey],"DW",tWIP[ProfitAmount])/SUMIF(tWIP[DivKey],"DW",tWIP[ContractTotal]),0)</f>
        <v/>
      </c>
    </row>
    <row r="33">
      <c r="I33" s="31" t="inlineStr">
        <is>
          <t>Unallocated</t>
        </is>
      </c>
      <c r="J33" s="32">
        <f>SUMIF(tWIP[DivKey],"UN",tWIP[ContractTotal])</f>
        <v/>
      </c>
      <c r="K33" s="32">
        <f>SUMIF(tWIP[DivKey],"UN",tWIP[Invoiced])</f>
        <v/>
      </c>
      <c r="L33" s="32">
        <f>SUMIF(tWIP[DivKey],"UN",tWIP[ProfitAmount])</f>
        <v/>
      </c>
      <c r="M33" s="33">
        <f>IFERROR(SUMIF(tWIP[DivKey],"UN",tWIP[ProfitAmount])/SUMIF(tWIP[DivKey],"UN",tWIP[ContractTotal]),0)</f>
        <v/>
      </c>
    </row>
  </sheetData>
  <mergeCells count="60">
    <mergeCell ref="K16:L16"/>
    <mergeCell ref="A12:B13"/>
    <mergeCell ref="K25:L25"/>
    <mergeCell ref="C12:D13"/>
    <mergeCell ref="I12:J13"/>
    <mergeCell ref="K12:L13"/>
    <mergeCell ref="A11:B11"/>
    <mergeCell ref="G11:H11"/>
    <mergeCell ref="I17:J18"/>
    <mergeCell ref="I11:J11"/>
    <mergeCell ref="C14:D14"/>
    <mergeCell ref="E14:F14"/>
    <mergeCell ref="C23:D24"/>
    <mergeCell ref="A17:B18"/>
    <mergeCell ref="K23:L24"/>
    <mergeCell ref="C17:D18"/>
    <mergeCell ref="A1:N1"/>
    <mergeCell ref="K17:L18"/>
    <mergeCell ref="K11:L11"/>
    <mergeCell ref="A6:N6"/>
    <mergeCell ref="A16:B16"/>
    <mergeCell ref="C16:D16"/>
    <mergeCell ref="I16:J16"/>
    <mergeCell ref="A25:B25"/>
    <mergeCell ref="I23:J24"/>
    <mergeCell ref="A23:B24"/>
    <mergeCell ref="C25:D25"/>
    <mergeCell ref="E19:F19"/>
    <mergeCell ref="I25:J25"/>
    <mergeCell ref="A7:N7"/>
    <mergeCell ref="G19:H19"/>
    <mergeCell ref="C22:D22"/>
    <mergeCell ref="I22:J22"/>
    <mergeCell ref="K22:L22"/>
    <mergeCell ref="A3:N3"/>
    <mergeCell ref="E12:F13"/>
    <mergeCell ref="G12:H13"/>
    <mergeCell ref="C11:D11"/>
    <mergeCell ref="A2:N2"/>
    <mergeCell ref="E11:F11"/>
    <mergeCell ref="A14:B14"/>
    <mergeCell ref="G14:H14"/>
    <mergeCell ref="I14:J14"/>
    <mergeCell ref="G23:H24"/>
    <mergeCell ref="K14:L14"/>
    <mergeCell ref="E17:F18"/>
    <mergeCell ref="A22:B22"/>
    <mergeCell ref="G17:H18"/>
    <mergeCell ref="A8:N8"/>
    <mergeCell ref="E16:F16"/>
    <mergeCell ref="G16:H16"/>
    <mergeCell ref="E25:F25"/>
    <mergeCell ref="A19:B19"/>
    <mergeCell ref="E23:F24"/>
    <mergeCell ref="C19:D19"/>
    <mergeCell ref="I19:J19"/>
    <mergeCell ref="G25:H25"/>
    <mergeCell ref="K19:L19"/>
    <mergeCell ref="E22:F22"/>
    <mergeCell ref="G22:H2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N8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</cols>
  <sheetData>
    <row r="1" ht="30" customHeight="1">
      <c r="A1" s="1" t="inlineStr">
        <is>
          <t>Financials</t>
        </is>
      </c>
    </row>
    <row r="2" ht="16" customHeight="1">
      <c r="A2" s="2" t="inlineStr">
        <is>
          <t>P&amp;L by period, cash &amp; liquidity, and balance sheet — all SUMIFS over the Data sheet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" customHeight="1">
      <c r="A3" s="4" t="inlineStr">
        <is>
          <t>Source: QuickBooks Online — P&amp;L, Balance Sheet &amp; Cash Flow</t>
        </is>
      </c>
    </row>
    <row r="5" ht="20" customHeight="1">
      <c r="A5" s="5" t="inlineStr">
        <is>
          <t>Profit &amp; Loss</t>
        </is>
      </c>
    </row>
    <row r="6" ht="22" customHeight="1">
      <c r="A6" s="29" t="inlineStr">
        <is>
          <t>Line item</t>
        </is>
      </c>
      <c r="B6" s="30" t="inlineStr">
        <is>
          <t>FY 2024</t>
        </is>
      </c>
      <c r="C6" s="30" t="inlineStr">
        <is>
          <t>FY 2025</t>
        </is>
      </c>
      <c r="D6" s="30" t="inlineStr">
        <is>
          <t>YTD 2026</t>
        </is>
      </c>
    </row>
    <row r="7">
      <c r="A7" s="34" t="inlineStr">
        <is>
          <t>Revenue</t>
        </is>
      </c>
      <c r="B7" s="35">
        <f>SUMIFS(tGL[Amount],tGL[Period],"FY2024",tGL[Category],"Revenue")</f>
        <v/>
      </c>
      <c r="C7" s="35">
        <f>SUMIFS(tGL[Amount],tGL[Period],"FY2025",tGL[Category],"Revenue")</f>
        <v/>
      </c>
      <c r="D7" s="35">
        <f>SUMIFS(tGL[Amount],tGL[Period],"YTD2026",tGL[Category],"Revenue")</f>
        <v/>
      </c>
    </row>
    <row r="8">
      <c r="A8" s="31" t="inlineStr">
        <is>
          <t>Cost of goods sold</t>
        </is>
      </c>
      <c r="B8" s="36">
        <f>SUMIFS(tGL[Amount],tGL[Period],"FY2024",tGL[Category],"COGS")</f>
        <v/>
      </c>
      <c r="C8" s="36">
        <f>SUMIFS(tGL[Amount],tGL[Period],"FY2025",tGL[Category],"COGS")</f>
        <v/>
      </c>
      <c r="D8" s="36">
        <f>SUMIFS(tGL[Amount],tGL[Period],"YTD2026",tGL[Category],"COGS")</f>
        <v/>
      </c>
    </row>
    <row r="9">
      <c r="A9" s="37" t="inlineStr">
        <is>
          <t>Gross profit</t>
        </is>
      </c>
      <c r="B9" s="38">
        <f>B7-B8</f>
        <v/>
      </c>
      <c r="C9" s="38">
        <f>C7-C8</f>
        <v/>
      </c>
      <c r="D9" s="38">
        <f>D7-D8</f>
        <v/>
      </c>
    </row>
    <row r="10">
      <c r="A10" s="31" t="inlineStr">
        <is>
          <t>Gross margin %</t>
        </is>
      </c>
      <c r="B10" s="33">
        <f>IFERROR(B9/B7,0)</f>
        <v/>
      </c>
      <c r="C10" s="33">
        <f>IFERROR(C9/C7,0)</f>
        <v/>
      </c>
      <c r="D10" s="33">
        <f>IFERROR(D9/D7,0)</f>
        <v/>
      </c>
    </row>
    <row r="11">
      <c r="A11" s="31" t="inlineStr">
        <is>
          <t>Operating expenses</t>
        </is>
      </c>
      <c r="B11" s="36">
        <f>SUMIFS(tGL[Amount],tGL[Period],"FY2024",tGL[Category],"Operating Expense")</f>
        <v/>
      </c>
      <c r="C11" s="36">
        <f>SUMIFS(tGL[Amount],tGL[Period],"FY2025",tGL[Category],"Operating Expense")</f>
        <v/>
      </c>
      <c r="D11" s="36">
        <f>SUMIFS(tGL[Amount],tGL[Period],"YTD2026",tGL[Category],"Operating Expense")</f>
        <v/>
      </c>
    </row>
    <row r="12">
      <c r="A12" s="31" t="inlineStr">
        <is>
          <t>Other income</t>
        </is>
      </c>
      <c r="B12" s="36">
        <f>SUMIFS(tGL[Amount],tGL[Period],"FY2024",tGL[Category],"Other Income")</f>
        <v/>
      </c>
      <c r="C12" s="36">
        <f>SUMIFS(tGL[Amount],tGL[Period],"FY2025",tGL[Category],"Other Income")</f>
        <v/>
      </c>
      <c r="D12" s="36">
        <f>SUMIFS(tGL[Amount],tGL[Period],"YTD2026",tGL[Category],"Other Income")</f>
        <v/>
      </c>
    </row>
    <row r="13">
      <c r="A13" s="31" t="inlineStr">
        <is>
          <t>Other expense</t>
        </is>
      </c>
      <c r="B13" s="36">
        <f>SUMIFS(tGL[Amount],tGL[Period],"FY2024",tGL[Category],"Other Expense")</f>
        <v/>
      </c>
      <c r="C13" s="36">
        <f>SUMIFS(tGL[Amount],tGL[Period],"FY2025",tGL[Category],"Other Expense")</f>
        <v/>
      </c>
      <c r="D13" s="36">
        <f>SUMIFS(tGL[Amount],tGL[Period],"YTD2026",tGL[Category],"Other Expense")</f>
        <v/>
      </c>
    </row>
    <row r="14">
      <c r="A14" s="37" t="inlineStr">
        <is>
          <t>Net income</t>
        </is>
      </c>
      <c r="B14" s="38">
        <f>B9-B11+B12-B13</f>
        <v/>
      </c>
      <c r="C14" s="38">
        <f>C9-C11+C12-C13</f>
        <v/>
      </c>
      <c r="D14" s="38">
        <f>D9-D11+D12-D13</f>
        <v/>
      </c>
    </row>
    <row r="15">
      <c r="A15" s="31" t="inlineStr">
        <is>
          <t>Net margin %</t>
        </is>
      </c>
      <c r="B15" s="33">
        <f>IFERROR(B14/B7,0)</f>
        <v/>
      </c>
      <c r="C15" s="33">
        <f>IFERROR(C14/C7,0)</f>
        <v/>
      </c>
      <c r="D15" s="33">
        <f>IFERROR(D14/D7,0)</f>
        <v/>
      </c>
    </row>
    <row r="17" ht="20" customHeight="1">
      <c r="A17" s="5" t="inlineStr">
        <is>
          <t>Key ratios &amp; metrics (CFO)</t>
        </is>
      </c>
      <c r="F17" s="15" t="inlineStr">
        <is>
          <t>Source: formulas over the Data sheet</t>
        </is>
      </c>
    </row>
    <row r="18" ht="22" customHeight="1">
      <c r="A18" s="29" t="inlineStr">
        <is>
          <t>Metric</t>
        </is>
      </c>
      <c r="B18" s="30" t="inlineStr">
        <is>
          <t>Value</t>
        </is>
      </c>
    </row>
    <row r="19">
      <c r="A19" s="39" t="inlineStr">
        <is>
          <t>Profitability</t>
        </is>
      </c>
      <c r="B19" s="40" t="inlineStr"/>
    </row>
    <row r="20">
      <c r="A20" s="41" t="inlineStr">
        <is>
          <t>Gross margin %</t>
        </is>
      </c>
      <c r="B20" s="33">
        <f>IFERROR((SUMIFS(tGL[Amount],tGL[Period],"YTD2026",tGL[Category],"Revenue")-SUMIFS(tGL[Amount],tGL[Period],"YTD2026",tGL[Category],"COGS"))/SUMIFS(tGL[Amount],tGL[Period],"YTD2026",tGL[Category],"Revenue"),0)</f>
        <v/>
      </c>
    </row>
    <row r="21">
      <c r="A21" s="41" t="inlineStr">
        <is>
          <t>Operating margin %</t>
        </is>
      </c>
      <c r="B21" s="33">
        <f>IFERROR((SUMIFS(tGL[Amount],tGL[Period],"YTD2026",tGL[Category],"Revenue")-SUMIFS(tGL[Amount],tGL[Period],"YTD2026",tGL[Category],"COGS")-SUMIFS(tGL[Amount],tGL[Period],"YTD2026",tGL[Category],"Operating Expense"))/SUMIFS(tGL[Amount],tGL[Period],"YTD2026",tGL[Category],"Revenue"),0)</f>
        <v/>
      </c>
    </row>
    <row r="22">
      <c r="A22" s="41" t="inlineStr">
        <is>
          <t>Net margin %</t>
        </is>
      </c>
      <c r="B22" s="33">
        <f>IFERROR((SUMIFS(tGL[Amount],tGL[Period],"YTD2026",tGL[Category],"Revenue")-SUMIFS(tGL[Amount],tGL[Period],"YTD2026",tGL[Category],"COGS")-SUMIFS(tGL[Amount],tGL[Period],"YTD2026",tGL[Category],"Operating Expense")+SUMIFS(tGL[Amount],tGL[Period],"YTD2026",tGL[Category],"Other Income")-SUMIFS(tGL[Amount],tGL[Period],"YTD2026",tGL[Category],"Other Expense"))/SUMIFS(tGL[Amount],tGL[Period],"YTD2026",tGL[Category],"Revenue"),0)</f>
        <v/>
      </c>
    </row>
    <row r="23">
      <c r="A23" s="41" t="inlineStr">
        <is>
          <t>EBITDA</t>
        </is>
      </c>
      <c r="B23" s="36">
        <f>((SUMIFS(tGL[Amount],tGL[Period],"YTD2026",tGL[Category],"Revenue")-SUMIFS(tGL[Amount],tGL[Period],"YTD2026",tGL[Category],"COGS")-SUMIFS(tGL[Amount],tGL[Period],"YTD2026",tGL[Category],"Operating Expense"))+SUMIFS(tGL[Amount],tGL[Account],"Depreciation",tGL[Period],"YTD2026")+SUMIFS(tGL[Amount],tGL[Account],"Interest Paid",tGL[Period],"YTD2026"))</f>
        <v/>
      </c>
    </row>
    <row r="24">
      <c r="A24" s="41" t="inlineStr">
        <is>
          <t>EBITDA margin %</t>
        </is>
      </c>
      <c r="B24" s="33">
        <f>IFERROR(((SUMIFS(tGL[Amount],tGL[Period],"YTD2026",tGL[Category],"Revenue")-SUMIFS(tGL[Amount],tGL[Period],"YTD2026",tGL[Category],"COGS")-SUMIFS(tGL[Amount],tGL[Period],"YTD2026",tGL[Category],"Operating Expense"))+SUMIFS(tGL[Amount],tGL[Account],"Depreciation",tGL[Period],"YTD2026")+SUMIFS(tGL[Amount],tGL[Account],"Interest Paid",tGL[Period],"YTD2026"))/SUMIFS(tGL[Amount],tGL[Period],"YTD2026",tGL[Category],"Revenue"),0)</f>
        <v/>
      </c>
    </row>
    <row r="25">
      <c r="A25" s="39" t="inlineStr">
        <is>
          <t>Returns</t>
        </is>
      </c>
      <c r="B25" s="40" t="inlineStr"/>
    </row>
    <row r="26">
      <c r="A26" s="41" t="inlineStr">
        <is>
          <t>Return on equity</t>
        </is>
      </c>
      <c r="B26" s="33">
        <f>IFERROR((SUMIFS(tGL[Amount],tGL[Period],"YTD2026",tGL[Category],"Revenue")-SUMIFS(tGL[Amount],tGL[Period],"YTD2026",tGL[Category],"COGS")-SUMIFS(tGL[Amount],tGL[Period],"YTD2026",tGL[Category],"Operating Expense")+SUMIFS(tGL[Amount],tGL[Period],"YTD2026",tGL[Category],"Other Income")-SUMIFS(tGL[Amount],tGL[Period],"YTD2026",tGL[Category],"Other Expense"))/SUMIFS(tBS[Amount],tBS[Section],"Equity"),0)</f>
        <v/>
      </c>
    </row>
    <row r="27">
      <c r="A27" s="41" t="inlineStr">
        <is>
          <t>Return on assets</t>
        </is>
      </c>
      <c r="B27" s="33">
        <f>IFERROR((SUMIFS(tGL[Amount],tGL[Period],"YTD2026",tGL[Category],"Revenue")-SUMIFS(tGL[Amount],tGL[Period],"YTD2026",tGL[Category],"COGS")-SUMIFS(tGL[Amount],tGL[Period],"YTD2026",tGL[Category],"Operating Expense")+SUMIFS(tGL[Amount],tGL[Period],"YTD2026",tGL[Category],"Other Income")-SUMIFS(tGL[Amount],tGL[Period],"YTD2026",tGL[Category],"Other Expense"))/SUMIFS(tBS[Amount],tBS[Section],"Assets"),0)</f>
        <v/>
      </c>
    </row>
    <row r="28">
      <c r="A28" s="39" t="inlineStr">
        <is>
          <t>Liquidity</t>
        </is>
      </c>
      <c r="B28" s="40" t="inlineStr"/>
    </row>
    <row r="29">
      <c r="A29" s="41" t="inlineStr">
        <is>
          <t>Current ratio</t>
        </is>
      </c>
      <c r="B29" s="42">
        <f>IFERROR(SUM(tCash[CurrentAssets])/SUM(tCash[CurrentLiabilities]),0)</f>
        <v/>
      </c>
    </row>
    <row r="30">
      <c r="A30" s="41" t="inlineStr">
        <is>
          <t>Quick ratio</t>
        </is>
      </c>
      <c r="B30" s="42">
        <f>IFERROR((SUM(tCash[CurrentAssets])-SUMIFS(tBS[Amount],tBS[Account],"Drywall Inventory"))/SUM(tCash[CurrentLiabilities]),0)</f>
        <v/>
      </c>
    </row>
    <row r="31">
      <c r="A31" s="41" t="inlineStr">
        <is>
          <t>Working capital</t>
        </is>
      </c>
      <c r="B31" s="36">
        <f>SUM(tCash[CurrentAssets])-SUM(tCash[CurrentLiabilities])</f>
        <v/>
      </c>
    </row>
    <row r="32">
      <c r="A32" s="41" t="inlineStr">
        <is>
          <t>Days cash on hand</t>
        </is>
      </c>
      <c r="B32" s="43">
        <f>IFERROR(SUM(tCash[CashBalance])/((SUMIFS(tGL[Amount],tGL[Period],"YTD2026",tGL[Category],"COGS")+SUMIFS(tGL[Amount],tGL[Period],"YTD2026",tGL[Category],"Operating Expense"))/168),0)</f>
        <v/>
      </c>
    </row>
    <row r="33">
      <c r="A33" s="39" t="inlineStr">
        <is>
          <t>Leverage</t>
        </is>
      </c>
      <c r="B33" s="40" t="inlineStr"/>
    </row>
    <row r="34">
      <c r="A34" s="41" t="inlineStr">
        <is>
          <t>Debt-to-equity</t>
        </is>
      </c>
      <c r="B34" s="42">
        <f>IFERROR(SUMIFS(tBS[Amount],tBS[Section],"Liabilities")/SUMIFS(tBS[Amount],tBS[Section],"Equity"),0)</f>
        <v/>
      </c>
    </row>
    <row r="35">
      <c r="A35" s="41" t="inlineStr">
        <is>
          <t>LOC utilization</t>
        </is>
      </c>
      <c r="B35" s="33">
        <f>IFERROR(SUM(tCash[LOCDrawn])/SUM(tCash[LOCLimit]),0)</f>
        <v/>
      </c>
    </row>
    <row r="36">
      <c r="A36" s="41" t="inlineStr">
        <is>
          <t>Net debt (LOC - cash)</t>
        </is>
      </c>
      <c r="B36" s="36">
        <f>SUM(tCash[LOCDrawn])-SUM(tCash[CashBalance])</f>
        <v/>
      </c>
    </row>
    <row r="37">
      <c r="A37" s="39" t="inlineStr">
        <is>
          <t>Efficiency — cash cycle</t>
        </is>
      </c>
      <c r="B37" s="40" t="inlineStr"/>
    </row>
    <row r="38">
      <c r="A38" s="41" t="inlineStr">
        <is>
          <t>DSO — days sales outstanding</t>
        </is>
      </c>
      <c r="B38" s="43">
        <f>IFERROR(SUMIFS(tAR[Amount],tAR[IsRetainage],"FALSE")/SUMIFS(tGL[Amount],tGL[Period],"YTD2026",tGL[Category],"Revenue")*168,0)</f>
        <v/>
      </c>
    </row>
    <row r="39">
      <c r="A39" s="41" t="inlineStr">
        <is>
          <t>DPO — days payable outstanding</t>
        </is>
      </c>
      <c r="B39" s="43">
        <f>IFERROR(SUM(tAP[Amount])/SUMIFS(tGL[Amount],tGL[Period],"YTD2026",tGL[Category],"COGS")*168,0)</f>
        <v/>
      </c>
    </row>
    <row r="40">
      <c r="A40" s="41" t="inlineStr">
        <is>
          <t>DIO — days inventory outstanding</t>
        </is>
      </c>
      <c r="B40" s="43">
        <f>IFERROR(SUMIFS(tBS[Amount],tBS[Account],"Drywall Inventory")/SUMIFS(tGL[Amount],tGL[Period],"YTD2026",tGL[Category],"COGS")*168,0)</f>
        <v/>
      </c>
    </row>
    <row r="41">
      <c r="A41" s="41" t="inlineStr">
        <is>
          <t>Cash conversion cycle (days)</t>
        </is>
      </c>
      <c r="B41" s="43">
        <f>IFERROR(SUMIFS(tAR[Amount],tAR[IsRetainage],"FALSE")/SUMIFS(tGL[Amount],tGL[Period],"YTD2026",tGL[Category],"Revenue")*168+SUMIFS(tBS[Amount],tBS[Account],"Drywall Inventory")/SUMIFS(tGL[Amount],tGL[Period],"YTD2026",tGL[Category],"COGS")*168-SUM(tAP[Amount])/SUMIFS(tGL[Amount],tGL[Period],"YTD2026",tGL[Category],"COGS")*168,0)</f>
        <v/>
      </c>
    </row>
    <row r="42">
      <c r="A42" s="39" t="inlineStr">
        <is>
          <t>Growth</t>
        </is>
      </c>
      <c r="B42" s="40" t="inlineStr"/>
    </row>
    <row r="43">
      <c r="A43" s="41" t="inlineStr">
        <is>
          <t>Revenue YoY (FY25 vs FY24)</t>
        </is>
      </c>
      <c r="B43" s="33">
        <f>IFERROR((SUMIFS(tGL[Amount],tGL[Period],"FY2025",tGL[Category],"Revenue")-SUMIFS(tGL[Amount],tGL[Period],"FY2024",tGL[Category],"Revenue"))/SUMIFS(tGL[Amount],tGL[Period],"FY2024",tGL[Category],"Revenue"),0)</f>
        <v/>
      </c>
    </row>
    <row r="44">
      <c r="A44" s="41" t="inlineStr">
        <is>
          <t>2026 forecast vs FY2025</t>
        </is>
      </c>
      <c r="B44" s="33">
        <f>IFERROR((SUM('Data'!B238:B242)/5*12-SUMIFS(tGL[Amount],tGL[Period],"FY2025",tGL[Category],"Revenue"))/SUMIFS(tGL[Amount],tGL[Period],"FY2025",tGL[Category],"Revenue"),0)</f>
        <v/>
      </c>
    </row>
    <row r="45">
      <c r="A45" s="39" t="inlineStr">
        <is>
          <t>Backlog &amp; receivables</t>
        </is>
      </c>
      <c r="B45" s="40" t="inlineStr"/>
    </row>
    <row r="46">
      <c r="A46" s="41" t="inlineStr">
        <is>
          <t>Backlog (unbilled contract)</t>
        </is>
      </c>
      <c r="B46" s="36">
        <f>(SUM(tWIP[ContractTotal])-SUM(tWIP[Invoiced]))</f>
        <v/>
      </c>
    </row>
    <row r="47">
      <c r="A47" s="41" t="inlineStr">
        <is>
          <t>Months of backlog</t>
        </is>
      </c>
      <c r="B47" s="43">
        <f>IFERROR((SUM(tWIP[ContractTotal])-SUM(tWIP[Invoiced]))/(SUM('Data'!B238:B242)/5*12/12),0)</f>
        <v/>
      </c>
    </row>
    <row r="48">
      <c r="A48" s="41" t="inlineStr">
        <is>
          <t>A/R overdue %</t>
        </is>
      </c>
      <c r="B48" s="33">
        <f>IFERROR((SUMIFS(tAR[Amount],tAR[IsRetainage],"FALSE")-SUMIFS(tAR[Amount],tAR[Bucket],"Current",tAR[IsRetainage],"FALSE"))/SUMIFS(tAR[Amount],tAR[IsRetainage],"FALSE"),0)</f>
        <v/>
      </c>
    </row>
    <row r="49">
      <c r="A49" s="41" t="inlineStr">
        <is>
          <t>Retainage % of A/R</t>
        </is>
      </c>
      <c r="B49" s="33">
        <f>IFERROR(SUMIFS(tAR[Amount],tAR[IsRetainage],"TRUE")/(SUMIFS(tAR[Amount],tAR[IsRetainage],"FALSE")+SUMIFS(tAR[Amount],tAR[IsRetainage],"TRUE")),0)</f>
        <v/>
      </c>
    </row>
    <row r="50">
      <c r="A50" s="41" t="inlineStr">
        <is>
          <t>Collected % (billed -&gt; paid)</t>
        </is>
      </c>
      <c r="B50" s="33">
        <f>IFERROR(SUM(tWIP[PaymentsInvoices])/SUM(tWIP[Invoiced]),0)</f>
        <v/>
      </c>
    </row>
    <row r="52" ht="20" customHeight="1">
      <c r="A52" s="5" t="inlineStr">
        <is>
          <t>Cash &amp; liquidity</t>
        </is>
      </c>
      <c r="F52" s="15" t="inlineStr">
        <is>
          <t>Source: QuickBooks + inputs</t>
        </is>
      </c>
    </row>
    <row r="53" ht="22" customHeight="1">
      <c r="A53" s="29" t="inlineStr">
        <is>
          <t>Metric</t>
        </is>
      </c>
      <c r="B53" s="30" t="inlineStr">
        <is>
          <t>Value</t>
        </is>
      </c>
    </row>
    <row r="54">
      <c r="A54" s="31" t="inlineStr">
        <is>
          <t>Cash balance</t>
        </is>
      </c>
      <c r="B54" s="36">
        <f>SUM(tCash[CashBalance])</f>
        <v/>
      </c>
    </row>
    <row r="55">
      <c r="A55" s="31" t="inlineStr">
        <is>
          <t>Operating cash flow (YTD)</t>
        </is>
      </c>
      <c r="B55" s="36">
        <f>SUM(tCash[OperatingCF])</f>
        <v/>
      </c>
    </row>
    <row r="56">
      <c r="A56" s="31" t="inlineStr">
        <is>
          <t>Financing cash flow (YTD)</t>
        </is>
      </c>
      <c r="B56" s="36">
        <f>SUM(tCash[FinancingCF])</f>
        <v/>
      </c>
    </row>
    <row r="57">
      <c r="A57" s="31" t="inlineStr">
        <is>
          <t>LOC drawn</t>
        </is>
      </c>
      <c r="B57" s="36">
        <f>SUM(tCash[LOCDrawn])</f>
        <v/>
      </c>
    </row>
    <row r="58">
      <c r="A58" s="31" t="inlineStr">
        <is>
          <t>LOC limit  (input)</t>
        </is>
      </c>
      <c r="B58" s="44">
        <f>SUM(tCash[LOCLimit])</f>
        <v/>
      </c>
    </row>
    <row r="59">
      <c r="A59" s="31" t="inlineStr">
        <is>
          <t>LOC utilization</t>
        </is>
      </c>
      <c r="B59" s="33">
        <f>IFERROR(SUM(tCash[LOCDrawn])/SUM(tCash[LOCLimit]),0)</f>
        <v/>
      </c>
    </row>
    <row r="60">
      <c r="A60" s="31" t="inlineStr">
        <is>
          <t>Advance rate  (input)</t>
        </is>
      </c>
      <c r="B60" s="45">
        <f>AVERAGE(tCash[AdvanceRate])</f>
        <v/>
      </c>
    </row>
    <row r="61">
      <c r="A61" s="31" t="inlineStr">
        <is>
          <t>Eligible A/R  (input)</t>
        </is>
      </c>
      <c r="B61" s="44">
        <f>SUM(tCash[EligibleAR])</f>
        <v/>
      </c>
    </row>
    <row r="62">
      <c r="A62" s="31" t="inlineStr">
        <is>
          <t>BBC availability (headroom)</t>
        </is>
      </c>
      <c r="B62" s="36">
        <f>MIN(SUM(tCash[EligibleAR])*AVERAGE(tCash[AdvanceRate]),SUM(tCash[LOCLimit]))-SUM(tCash[LOCDrawn])</f>
        <v/>
      </c>
    </row>
    <row r="63">
      <c r="A63" s="31" t="inlineStr">
        <is>
          <t>Liquidity status</t>
        </is>
      </c>
      <c r="B63" s="46">
        <f>IF(IFERROR(SUM(tCash[LOCDrawn])/SUM(tCash[LOCLimit]),0)&gt;=0.9,"Critical",IF(IFERROR(SUM(tCash[LOCDrawn])/SUM(tCash[LOCLimit]),0)&gt;=0.75,"Watch","Healthy"))</f>
        <v/>
      </c>
    </row>
    <row r="65" ht="20" customHeight="1">
      <c r="A65" s="5" t="inlineStr">
        <is>
          <t>Balance sheet</t>
        </is>
      </c>
      <c r="F65" s="15" t="inlineStr">
        <is>
          <t>Source: QuickBooks</t>
        </is>
      </c>
    </row>
    <row r="66" ht="22" customHeight="1">
      <c r="A66" s="29" t="inlineStr">
        <is>
          <t>Account</t>
        </is>
      </c>
      <c r="B66" s="30" t="inlineStr">
        <is>
          <t>Amount</t>
        </is>
      </c>
    </row>
    <row r="67">
      <c r="A67" s="41" t="inlineStr">
        <is>
          <t>Cash</t>
        </is>
      </c>
      <c r="B67" s="36">
        <f>SUMIFS(tBS[Amount],tBS[Account],"Cash",tBS[Section],"Assets")</f>
        <v/>
      </c>
    </row>
    <row r="68">
      <c r="A68" s="41" t="inlineStr">
        <is>
          <t>Accounts Receivable</t>
        </is>
      </c>
      <c r="B68" s="36">
        <f>SUMIFS(tBS[Amount],tBS[Account],"Accounts Receivable",tBS[Section],"Assets")</f>
        <v/>
      </c>
    </row>
    <row r="69">
      <c r="A69" s="41" t="inlineStr">
        <is>
          <t>Retainage Receivable</t>
        </is>
      </c>
      <c r="B69" s="36">
        <f>SUMIFS(tBS[Amount],tBS[Account],"Retainage Receivable",tBS[Section],"Assets")</f>
        <v/>
      </c>
    </row>
    <row r="70">
      <c r="A70" s="41" t="inlineStr">
        <is>
          <t>Drywall Inventory</t>
        </is>
      </c>
      <c r="B70" s="36">
        <f>SUMIFS(tBS[Amount],tBS[Account],"Drywall Inventory",tBS[Section],"Assets")</f>
        <v/>
      </c>
    </row>
    <row r="71">
      <c r="A71" s="41" t="inlineStr">
        <is>
          <t>WIP Underbillings</t>
        </is>
      </c>
      <c r="B71" s="36">
        <f>SUMIFS(tBS[Amount],tBS[Account],"WIP Underbillings",tBS[Section],"Assets")</f>
        <v/>
      </c>
    </row>
    <row r="72">
      <c r="A72" s="41" t="inlineStr">
        <is>
          <t>Other Current Assets (net)</t>
        </is>
      </c>
      <c r="B72" s="36">
        <f>SUMIFS(tBS[Amount],tBS[Account],"Other Current Assets (net)",tBS[Section],"Assets")</f>
        <v/>
      </c>
    </row>
    <row r="73">
      <c r="A73" s="41" t="inlineStr">
        <is>
          <t>Fixed Assets</t>
        </is>
      </c>
      <c r="B73" s="36">
        <f>SUMIFS(tBS[Amount],tBS[Account],"Fixed Assets",tBS[Section],"Assets")</f>
        <v/>
      </c>
    </row>
    <row r="74">
      <c r="A74" s="41" t="inlineStr">
        <is>
          <t>Other Assets</t>
        </is>
      </c>
      <c r="B74" s="36">
        <f>SUMIFS(tBS[Amount],tBS[Account],"Other Assets",tBS[Section],"Assets")</f>
        <v/>
      </c>
    </row>
    <row r="75">
      <c r="A75" s="37" t="inlineStr">
        <is>
          <t>Total assets</t>
        </is>
      </c>
      <c r="B75" s="38">
        <f>SUMIFS(tBS[Amount],tBS[Section],"Assets")</f>
        <v/>
      </c>
    </row>
    <row r="77">
      <c r="A77" s="41" t="inlineStr">
        <is>
          <t>Accounts Payable</t>
        </is>
      </c>
      <c r="B77" s="36">
        <f>SUMIFS(tBS[Amount],tBS[Account],"Accounts Payable",tBS[Section],"Liabilities")</f>
        <v/>
      </c>
    </row>
    <row r="78">
      <c r="A78" s="41" t="inlineStr">
        <is>
          <t>Credit Cards</t>
        </is>
      </c>
      <c r="B78" s="36">
        <f>SUMIFS(tBS[Amount],tBS[Account],"Credit Cards",tBS[Section],"Liabilities")</f>
        <v/>
      </c>
    </row>
    <row r="79">
      <c r="A79" s="41" t="inlineStr">
        <is>
          <t>Line of Credit (Forum 0874)</t>
        </is>
      </c>
      <c r="B79" s="36">
        <f>SUMIFS(tBS[Amount],tBS[Account],"Line of Credit (Forum 0874)",tBS[Section],"Liabilities")</f>
        <v/>
      </c>
    </row>
    <row r="80">
      <c r="A80" s="41" t="inlineStr">
        <is>
          <t>CapX Line of Credit (Forum 1708)</t>
        </is>
      </c>
      <c r="B80" s="36">
        <f>SUMIFS(tBS[Amount],tBS[Account],"CapX Line of Credit (Forum 1708)",tBS[Section],"Liabilities")</f>
        <v/>
      </c>
    </row>
    <row r="81">
      <c r="A81" s="41" t="inlineStr">
        <is>
          <t>WIP Overbillings</t>
        </is>
      </c>
      <c r="B81" s="36">
        <f>SUMIFS(tBS[Amount],tBS[Account],"WIP Overbillings",tBS[Section],"Liabilities")</f>
        <v/>
      </c>
    </row>
    <row r="82">
      <c r="A82" s="41" t="inlineStr">
        <is>
          <t>Other Current Liabilities (net)</t>
        </is>
      </c>
      <c r="B82" s="36">
        <f>SUMIFS(tBS[Amount],tBS[Account],"Other Current Liabilities (net)",tBS[Section],"Liabilities")</f>
        <v/>
      </c>
    </row>
    <row r="83">
      <c r="A83" s="41" t="inlineStr">
        <is>
          <t>Long-term Liabilities</t>
        </is>
      </c>
      <c r="B83" s="36">
        <f>SUMIFS(tBS[Amount],tBS[Account],"Long-term Liabilities",tBS[Section],"Liabilities")</f>
        <v/>
      </c>
    </row>
    <row r="84">
      <c r="A84" s="37" t="inlineStr">
        <is>
          <t>Total liabilities</t>
        </is>
      </c>
      <c r="B84" s="38">
        <f>SUMIFS(tBS[Amount],tBS[Section],"Liabilities")</f>
        <v/>
      </c>
    </row>
    <row r="86">
      <c r="A86" s="41" t="inlineStr">
        <is>
          <t>Total Equity</t>
        </is>
      </c>
      <c r="B86" s="36">
        <f>SUMIFS(tBS[Amount],tBS[Account],"Total Equity",tBS[Section],"Equity")</f>
        <v/>
      </c>
    </row>
    <row r="87">
      <c r="A87" s="37" t="inlineStr">
        <is>
          <t>Total equity</t>
        </is>
      </c>
      <c r="B87" s="38">
        <f>SUMIFS(tBS[Amount],tBS[Section],"Equity")</f>
        <v/>
      </c>
    </row>
  </sheetData>
  <mergeCells count="3">
    <mergeCell ref="A3:N3"/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N10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1" customWidth="1" min="3" max="3"/>
    <col width="15" customWidth="1" min="4" max="4"/>
    <col width="15" customWidth="1" min="5" max="5"/>
    <col width="11" customWidth="1" min="6" max="6"/>
  </cols>
  <sheetData>
    <row r="1" ht="30" customHeight="1">
      <c r="A1" s="1" t="inlineStr">
        <is>
          <t>Operations — Projects, A/R &amp; A/P</t>
        </is>
      </c>
    </row>
    <row r="2" ht="16" customHeight="1">
      <c r="A2" s="2" t="inlineStr">
        <is>
          <t>Per-PM job rollups and aging — formulas over the Data sheet (job-level detail in tWIP)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" customHeight="1">
      <c r="A3" s="4" t="inlineStr">
        <is>
          <t>Source: Knowify — Jobs/AJR  ·  QuickBooks — A/R &amp; A/P Aging</t>
        </is>
      </c>
    </row>
    <row r="5" ht="20" customHeight="1">
      <c r="A5" s="5" t="inlineStr">
        <is>
          <t>Projects — by project manager</t>
        </is>
      </c>
      <c r="F5" s="15" t="inlineStr">
        <is>
          <t>Source: Knowify</t>
        </is>
      </c>
    </row>
    <row r="6" ht="22" customHeight="1">
      <c r="A6" s="29" t="inlineStr">
        <is>
          <t>Project manager</t>
        </is>
      </c>
      <c r="B6" s="30" t="inlineStr">
        <is>
          <t>Jobs</t>
        </is>
      </c>
      <c r="C6" s="30" t="inlineStr">
        <is>
          <t>Contract</t>
        </is>
      </c>
      <c r="D6" s="30" t="inlineStr">
        <is>
          <t>Invoiced</t>
        </is>
      </c>
      <c r="E6" s="30" t="inlineStr">
        <is>
          <t>Profit $</t>
        </is>
      </c>
      <c r="F6" s="30" t="inlineStr">
        <is>
          <t>Avg fade %</t>
        </is>
      </c>
    </row>
    <row r="7">
      <c r="A7" s="31" t="inlineStr">
        <is>
          <t>Kelden Tyson</t>
        </is>
      </c>
      <c r="B7" s="32">
        <f>COUNTIF(tWIP[PMName],"Kelden Tyson")</f>
        <v/>
      </c>
      <c r="C7" s="32">
        <f>SUMIF(tWIP[PMName],"Kelden Tyson",tWIP[ContractTotal])</f>
        <v/>
      </c>
      <c r="D7" s="32">
        <f>SUMIF(tWIP[PMName],"Kelden Tyson",tWIP[Invoiced])</f>
        <v/>
      </c>
      <c r="E7" s="32">
        <f>SUMIF(tWIP[PMName],"Kelden Tyson",tWIP[ProfitAmount])</f>
        <v/>
      </c>
      <c r="F7" s="33">
        <f>IFERROR(AVERAGEIFS(tWIP[ProfitFadePct],tWIP[PMName],"Kelden Tyson",tWIP[Managed],"TRUE"),0)</f>
        <v/>
      </c>
    </row>
    <row r="8">
      <c r="A8" s="31" t="inlineStr">
        <is>
          <t>Ben Garza</t>
        </is>
      </c>
      <c r="B8" s="32">
        <f>COUNTIF(tWIP[PMName],"Ben Garza")</f>
        <v/>
      </c>
      <c r="C8" s="32">
        <f>SUMIF(tWIP[PMName],"Ben Garza",tWIP[ContractTotal])</f>
        <v/>
      </c>
      <c r="D8" s="32">
        <f>SUMIF(tWIP[PMName],"Ben Garza",tWIP[Invoiced])</f>
        <v/>
      </c>
      <c r="E8" s="32">
        <f>SUMIF(tWIP[PMName],"Ben Garza",tWIP[ProfitAmount])</f>
        <v/>
      </c>
      <c r="F8" s="33">
        <f>IFERROR(AVERAGEIFS(tWIP[ProfitFadePct],tWIP[PMName],"Ben Garza",tWIP[Managed],"TRUE"),0)</f>
        <v/>
      </c>
    </row>
    <row r="9">
      <c r="A9" s="31" t="inlineStr">
        <is>
          <t>Cole Garriott</t>
        </is>
      </c>
      <c r="B9" s="32">
        <f>COUNTIF(tWIP[PMName],"Cole Garriott")</f>
        <v/>
      </c>
      <c r="C9" s="32">
        <f>SUMIF(tWIP[PMName],"Cole Garriott",tWIP[ContractTotal])</f>
        <v/>
      </c>
      <c r="D9" s="32">
        <f>SUMIF(tWIP[PMName],"Cole Garriott",tWIP[Invoiced])</f>
        <v/>
      </c>
      <c r="E9" s="32">
        <f>SUMIF(tWIP[PMName],"Cole Garriott",tWIP[ProfitAmount])</f>
        <v/>
      </c>
      <c r="F9" s="33">
        <f>IFERROR(AVERAGEIFS(tWIP[ProfitFadePct],tWIP[PMName],"Cole Garriott",tWIP[Managed],"TRUE"),0)</f>
        <v/>
      </c>
    </row>
    <row r="10">
      <c r="A10" s="31" t="inlineStr">
        <is>
          <t>Tommy Cohoat</t>
        </is>
      </c>
      <c r="B10" s="32">
        <f>COUNTIF(tWIP[PMName],"Tommy Cohoat")</f>
        <v/>
      </c>
      <c r="C10" s="32">
        <f>SUMIF(tWIP[PMName],"Tommy Cohoat",tWIP[ContractTotal])</f>
        <v/>
      </c>
      <c r="D10" s="32">
        <f>SUMIF(tWIP[PMName],"Tommy Cohoat",tWIP[Invoiced])</f>
        <v/>
      </c>
      <c r="E10" s="32">
        <f>SUMIF(tWIP[PMName],"Tommy Cohoat",tWIP[ProfitAmount])</f>
        <v/>
      </c>
      <c r="F10" s="33">
        <f>IFERROR(AVERAGEIFS(tWIP[ProfitFadePct],tWIP[PMName],"Tommy Cohoat",tWIP[Managed],"TRUE"),0)</f>
        <v/>
      </c>
    </row>
    <row r="11">
      <c r="A11" s="31" t="inlineStr">
        <is>
          <t>(Unassigned)</t>
        </is>
      </c>
      <c r="B11" s="32">
        <f>COUNTIF(tWIP[PMName],"(Unassigned)")</f>
        <v/>
      </c>
      <c r="C11" s="32">
        <f>SUMIF(tWIP[PMName],"(Unassigned)",tWIP[ContractTotal])</f>
        <v/>
      </c>
      <c r="D11" s="32">
        <f>SUMIF(tWIP[PMName],"(Unassigned)",tWIP[Invoiced])</f>
        <v/>
      </c>
      <c r="E11" s="32">
        <f>SUMIF(tWIP[PMName],"(Unassigned)",tWIP[ProfitAmount])</f>
        <v/>
      </c>
      <c r="F11" s="33">
        <f>IFERROR(AVERAGEIFS(tWIP[ProfitFadePct],tWIP[PMName],"(Unassigned)",tWIP[Managed],"TRUE"),0)</f>
        <v/>
      </c>
    </row>
    <row r="12">
      <c r="A12" s="31" t="inlineStr">
        <is>
          <t>Spencer Anderson</t>
        </is>
      </c>
      <c r="B12" s="32">
        <f>COUNTIF(tWIP[PMName],"Spencer Anderson")</f>
        <v/>
      </c>
      <c r="C12" s="32">
        <f>SUMIF(tWIP[PMName],"Spencer Anderson",tWIP[ContractTotal])</f>
        <v/>
      </c>
      <c r="D12" s="32">
        <f>SUMIF(tWIP[PMName],"Spencer Anderson",tWIP[Invoiced])</f>
        <v/>
      </c>
      <c r="E12" s="32">
        <f>SUMIF(tWIP[PMName],"Spencer Anderson",tWIP[ProfitAmount])</f>
        <v/>
      </c>
      <c r="F12" s="33">
        <f>IFERROR(AVERAGEIFS(tWIP[ProfitFadePct],tWIP[PMName],"Spencer Anderson",tWIP[Managed],"TRUE"),0)</f>
        <v/>
      </c>
    </row>
    <row r="13">
      <c r="A13" s="31" t="inlineStr">
        <is>
          <t>Trevor Anderson</t>
        </is>
      </c>
      <c r="B13" s="32">
        <f>COUNTIF(tWIP[PMName],"Trevor Anderson")</f>
        <v/>
      </c>
      <c r="C13" s="32">
        <f>SUMIF(tWIP[PMName],"Trevor Anderson",tWIP[ContractTotal])</f>
        <v/>
      </c>
      <c r="D13" s="32">
        <f>SUMIF(tWIP[PMName],"Trevor Anderson",tWIP[Invoiced])</f>
        <v/>
      </c>
      <c r="E13" s="32">
        <f>SUMIF(tWIP[PMName],"Trevor Anderson",tWIP[ProfitAmount])</f>
        <v/>
      </c>
      <c r="F13" s="33">
        <f>IFERROR(AVERAGEIFS(tWIP[ProfitFadePct],tWIP[PMName],"Trevor Anderson",tWIP[Managed],"TRUE"),0)</f>
        <v/>
      </c>
    </row>
    <row r="14">
      <c r="A14" s="31" t="inlineStr">
        <is>
          <t>Shawn Welcher</t>
        </is>
      </c>
      <c r="B14" s="32">
        <f>COUNTIF(tWIP[PMName],"Shawn Welcher")</f>
        <v/>
      </c>
      <c r="C14" s="32">
        <f>SUMIF(tWIP[PMName],"Shawn Welcher",tWIP[ContractTotal])</f>
        <v/>
      </c>
      <c r="D14" s="32">
        <f>SUMIF(tWIP[PMName],"Shawn Welcher",tWIP[Invoiced])</f>
        <v/>
      </c>
      <c r="E14" s="32">
        <f>SUMIF(tWIP[PMName],"Shawn Welcher",tWIP[ProfitAmount])</f>
        <v/>
      </c>
      <c r="F14" s="33">
        <f>IFERROR(AVERAGEIFS(tWIP[ProfitFadePct],tWIP[PMName],"Shawn Welcher",tWIP[Managed],"TRUE"),0)</f>
        <v/>
      </c>
    </row>
    <row r="15">
      <c r="A15" s="31" t="inlineStr">
        <is>
          <t>Ted Wells</t>
        </is>
      </c>
      <c r="B15" s="32">
        <f>COUNTIF(tWIP[PMName],"Ted Wells")</f>
        <v/>
      </c>
      <c r="C15" s="32">
        <f>SUMIF(tWIP[PMName],"Ted Wells",tWIP[ContractTotal])</f>
        <v/>
      </c>
      <c r="D15" s="32">
        <f>SUMIF(tWIP[PMName],"Ted Wells",tWIP[Invoiced])</f>
        <v/>
      </c>
      <c r="E15" s="32">
        <f>SUMIF(tWIP[PMName],"Ted Wells",tWIP[ProfitAmount])</f>
        <v/>
      </c>
      <c r="F15" s="33">
        <f>IFERROR(AVERAGEIFS(tWIP[ProfitFadePct],tWIP[PMName],"Ted Wells",tWIP[Managed],"TRUE"),0)</f>
        <v/>
      </c>
    </row>
    <row r="16">
      <c r="A16" s="31" t="inlineStr">
        <is>
          <t>Dustin Hurt</t>
        </is>
      </c>
      <c r="B16" s="32">
        <f>COUNTIF(tWIP[PMName],"Dustin Hurt")</f>
        <v/>
      </c>
      <c r="C16" s="32">
        <f>SUMIF(tWIP[PMName],"Dustin Hurt",tWIP[ContractTotal])</f>
        <v/>
      </c>
      <c r="D16" s="32">
        <f>SUMIF(tWIP[PMName],"Dustin Hurt",tWIP[Invoiced])</f>
        <v/>
      </c>
      <c r="E16" s="32">
        <f>SUMIF(tWIP[PMName],"Dustin Hurt",tWIP[ProfitAmount])</f>
        <v/>
      </c>
      <c r="F16" s="33">
        <f>IFERROR(AVERAGEIFS(tWIP[ProfitFadePct],tWIP[PMName],"Dustin Hurt",tWIP[Managed],"TRUE"),0)</f>
        <v/>
      </c>
    </row>
    <row r="17">
      <c r="A17" s="37" t="inlineStr">
        <is>
          <t>Total</t>
        </is>
      </c>
      <c r="B17" s="47">
        <f>SUBTOTAL(9,B7:B16)</f>
        <v/>
      </c>
      <c r="C17" s="47">
        <f>SUBTOTAL(9,C7:C16)</f>
        <v/>
      </c>
      <c r="D17" s="47">
        <f>SUBTOTAL(9,D7:D16)</f>
        <v/>
      </c>
      <c r="E17" s="47">
        <f>SUBTOTAL(9,E7:E16)</f>
        <v/>
      </c>
      <c r="F17" s="48" t="inlineStr"/>
    </row>
    <row r="18">
      <c r="A18" s="15" t="inlineStr">
        <is>
          <t>Job-level detail (profit fade, WIP net, % complete, open A/R) is on the Data sheet — table tWIP.</t>
        </is>
      </c>
    </row>
    <row r="20" ht="20" customHeight="1">
      <c r="A20" s="5" t="inlineStr">
        <is>
          <t>Accounts receivable — aging</t>
        </is>
      </c>
      <c r="F20" s="15" t="inlineStr">
        <is>
          <t>Source: QuickBooks</t>
        </is>
      </c>
    </row>
    <row r="21" ht="22" customHeight="1">
      <c r="A21" s="29" t="inlineStr">
        <is>
          <t>A/R bucket</t>
        </is>
      </c>
      <c r="B21" s="30" t="inlineStr">
        <is>
          <t>Amount</t>
        </is>
      </c>
    </row>
    <row r="22">
      <c r="A22" s="31" t="inlineStr">
        <is>
          <t>Current</t>
        </is>
      </c>
      <c r="B22" s="36">
        <f>SUMIFS(tAR[Amount],tAR[Bucket],"Current",tAR[IsRetainage],"FALSE")</f>
        <v/>
      </c>
    </row>
    <row r="23">
      <c r="A23" s="31" t="inlineStr">
        <is>
          <t>1-30</t>
        </is>
      </c>
      <c r="B23" s="36">
        <f>SUMIFS(tAR[Amount],tAR[Bucket],"1-30",tAR[IsRetainage],"FALSE")</f>
        <v/>
      </c>
    </row>
    <row r="24">
      <c r="A24" s="31" t="inlineStr">
        <is>
          <t>31-60</t>
        </is>
      </c>
      <c r="B24" s="36">
        <f>SUMIFS(tAR[Amount],tAR[Bucket],"31-60",tAR[IsRetainage],"FALSE")</f>
        <v/>
      </c>
    </row>
    <row r="25">
      <c r="A25" s="31" t="inlineStr">
        <is>
          <t>61-90</t>
        </is>
      </c>
      <c r="B25" s="36">
        <f>SUMIFS(tAR[Amount],tAR[Bucket],"61-90",tAR[IsRetainage],"FALSE")</f>
        <v/>
      </c>
    </row>
    <row r="26">
      <c r="A26" s="31" t="inlineStr">
        <is>
          <t>91+</t>
        </is>
      </c>
      <c r="B26" s="36">
        <f>SUMIFS(tAR[Amount],tAR[Bucket],"91+",tAR[IsRetainage],"FALSE")</f>
        <v/>
      </c>
    </row>
    <row r="27">
      <c r="A27" s="37" t="inlineStr">
        <is>
          <t>Total trade A/R</t>
        </is>
      </c>
      <c r="B27" s="38">
        <f>SUMIFS(tAR[Amount],tAR[IsRetainage],"FALSE")</f>
        <v/>
      </c>
    </row>
    <row r="28">
      <c r="A28" s="49" t="inlineStr">
        <is>
          <t>Retainage receivable (held)</t>
        </is>
      </c>
      <c r="B28" s="50">
        <f>SUMIFS(tAR[Amount],tAR[IsRetainage],"TRUE")</f>
        <v/>
      </c>
    </row>
    <row r="30" ht="20" customHeight="1">
      <c r="A30" s="5" t="inlineStr">
        <is>
          <t>Accounts payable — aging</t>
        </is>
      </c>
      <c r="F30" s="15" t="inlineStr">
        <is>
          <t>Source: QuickBooks</t>
        </is>
      </c>
    </row>
    <row r="31" ht="22" customHeight="1">
      <c r="A31" s="29" t="inlineStr">
        <is>
          <t>A/P bucket</t>
        </is>
      </c>
      <c r="B31" s="30" t="inlineStr">
        <is>
          <t>Amount</t>
        </is>
      </c>
    </row>
    <row r="32">
      <c r="A32" s="31" t="inlineStr">
        <is>
          <t>Current</t>
        </is>
      </c>
      <c r="B32" s="36">
        <f>SUMIFS(tAP[Amount],tAP[Bucket],"Current")</f>
        <v/>
      </c>
    </row>
    <row r="33">
      <c r="A33" s="31" t="inlineStr">
        <is>
          <t>1-30</t>
        </is>
      </c>
      <c r="B33" s="36">
        <f>SUMIFS(tAP[Amount],tAP[Bucket],"1-30")</f>
        <v/>
      </c>
    </row>
    <row r="34">
      <c r="A34" s="31" t="inlineStr">
        <is>
          <t>31-60</t>
        </is>
      </c>
      <c r="B34" s="36">
        <f>SUMIFS(tAP[Amount],tAP[Bucket],"31-60")</f>
        <v/>
      </c>
    </row>
    <row r="35">
      <c r="A35" s="31" t="inlineStr">
        <is>
          <t>61-90</t>
        </is>
      </c>
      <c r="B35" s="36">
        <f>SUMIFS(tAP[Amount],tAP[Bucket],"61-90")</f>
        <v/>
      </c>
    </row>
    <row r="36">
      <c r="A36" s="31" t="inlineStr">
        <is>
          <t>91+</t>
        </is>
      </c>
      <c r="B36" s="36">
        <f>SUMIFS(tAP[Amount],tAP[Bucket],"91+")</f>
        <v/>
      </c>
    </row>
    <row r="37">
      <c r="A37" s="37" t="inlineStr">
        <is>
          <t>Total A/P</t>
        </is>
      </c>
      <c r="B37" s="38">
        <f>SUM(tAP[Amount])</f>
        <v/>
      </c>
    </row>
    <row r="40" ht="20" customHeight="1">
      <c r="A40" s="5" t="inlineStr">
        <is>
          <t>Customer concentration — top open A/R</t>
        </is>
      </c>
      <c r="F40" s="15" t="inlineStr">
        <is>
          <t>Source: QuickBooks</t>
        </is>
      </c>
    </row>
    <row r="41" ht="22" customHeight="1">
      <c r="A41" s="29" t="inlineStr">
        <is>
          <t>Customer</t>
        </is>
      </c>
      <c r="B41" s="30" t="inlineStr">
        <is>
          <t>Open A/R</t>
        </is>
      </c>
      <c r="C41" s="30" t="inlineStr">
        <is>
          <t>% of A/R</t>
        </is>
      </c>
    </row>
    <row r="42">
      <c r="A42" s="31" t="inlineStr">
        <is>
          <t>The Peterson Company, LLC</t>
        </is>
      </c>
      <c r="B42" s="36">
        <f>SUMIFS(tAR[Amount],tAR[Customer],"The Peterson Company, LLC",tAR[IsRetainage],"FALSE")</f>
        <v/>
      </c>
      <c r="C42" s="33">
        <f>IFERROR(SUMIFS(tAR[Amount],tAR[Customer],"The Peterson Company, LLC",tAR[IsRetainage],"FALSE")/SUMIFS(tAR[Amount],tAR[IsRetainage],"FALSE"),0)</f>
        <v/>
      </c>
    </row>
    <row r="43">
      <c r="A43" s="31" t="inlineStr">
        <is>
          <t>Skender Construction of Indiana LLC</t>
        </is>
      </c>
      <c r="B43" s="36">
        <f>SUMIFS(tAR[Amount],tAR[Customer],"Skender Construction of Indiana LLC",tAR[IsRetainage],"FALSE")</f>
        <v/>
      </c>
      <c r="C43" s="33">
        <f>IFERROR(SUMIFS(tAR[Amount],tAR[Customer],"Skender Construction of Indiana LLC",tAR[IsRetainage],"FALSE")/SUMIFS(tAR[Amount],tAR[IsRetainage],"FALSE"),0)</f>
        <v/>
      </c>
    </row>
    <row r="44">
      <c r="A44" s="31" t="inlineStr">
        <is>
          <t>MILHAUS Construction</t>
        </is>
      </c>
      <c r="B44" s="36">
        <f>SUMIFS(tAR[Amount],tAR[Customer],"MILHAUS Construction",tAR[IsRetainage],"FALSE")</f>
        <v/>
      </c>
      <c r="C44" s="33">
        <f>IFERROR(SUMIFS(tAR[Amount],tAR[Customer],"MILHAUS Construction",tAR[IsRetainage],"FALSE")/SUMIFS(tAR[Amount],tAR[IsRetainage],"FALSE"),0)</f>
        <v/>
      </c>
    </row>
    <row r="45">
      <c r="A45" s="31" t="inlineStr">
        <is>
          <t>Thompson Thrift Construction</t>
        </is>
      </c>
      <c r="B45" s="36">
        <f>SUMIFS(tAR[Amount],tAR[Customer],"Thompson Thrift Construction",tAR[IsRetainage],"FALSE")</f>
        <v/>
      </c>
      <c r="C45" s="33">
        <f>IFERROR(SUMIFS(tAR[Amount],tAR[Customer],"Thompson Thrift Construction",tAR[IsRetainage],"FALSE")/SUMIFS(tAR[Amount],tAR[IsRetainage],"FALSE"),0)</f>
        <v/>
      </c>
    </row>
    <row r="46">
      <c r="A46" s="31" t="inlineStr">
        <is>
          <t>Clark Construction</t>
        </is>
      </c>
      <c r="B46" s="36">
        <f>SUMIFS(tAR[Amount],tAR[Customer],"Clark Construction",tAR[IsRetainage],"FALSE")</f>
        <v/>
      </c>
      <c r="C46" s="33">
        <f>IFERROR(SUMIFS(tAR[Amount],tAR[Customer],"Clark Construction",tAR[IsRetainage],"FALSE")/SUMIFS(tAR[Amount],tAR[IsRetainage],"FALSE"),0)</f>
        <v/>
      </c>
    </row>
    <row r="47">
      <c r="A47" s="31" t="inlineStr">
        <is>
          <t>Old Town Construction</t>
        </is>
      </c>
      <c r="B47" s="36">
        <f>SUMIFS(tAR[Amount],tAR[Customer],"Old Town Construction",tAR[IsRetainage],"FALSE")</f>
        <v/>
      </c>
      <c r="C47" s="33">
        <f>IFERROR(SUMIFS(tAR[Amount],tAR[Customer],"Old Town Construction",tAR[IsRetainage],"FALSE")/SUMIFS(tAR[Amount],tAR[IsRetainage],"FALSE"),0)</f>
        <v/>
      </c>
    </row>
    <row r="48">
      <c r="A48" s="31" t="inlineStr">
        <is>
          <t>Marous Brothers Construction</t>
        </is>
      </c>
      <c r="B48" s="36">
        <f>SUMIFS(tAR[Amount],tAR[Customer],"Marous Brothers Construction",tAR[IsRetainage],"FALSE")</f>
        <v/>
      </c>
      <c r="C48" s="33">
        <f>IFERROR(SUMIFS(tAR[Amount],tAR[Customer],"Marous Brothers Construction",tAR[IsRetainage],"FALSE")/SUMIFS(tAR[Amount],tAR[IsRetainage],"FALSE"),0)</f>
        <v/>
      </c>
    </row>
    <row r="49">
      <c r="A49" s="31" t="inlineStr">
        <is>
          <t>ARCO Design/Build</t>
        </is>
      </c>
      <c r="B49" s="36">
        <f>SUMIFS(tAR[Amount],tAR[Customer],"ARCO Design/Build",tAR[IsRetainage],"FALSE")</f>
        <v/>
      </c>
      <c r="C49" s="33">
        <f>IFERROR(SUMIFS(tAR[Amount],tAR[Customer],"ARCO Design/Build",tAR[IsRetainage],"FALSE")/SUMIFS(tAR[Amount],tAR[IsRetainage],"FALSE"),0)</f>
        <v/>
      </c>
    </row>
    <row r="50">
      <c r="A50" s="31" t="inlineStr">
        <is>
          <t>Avenue Construction, Inc.</t>
        </is>
      </c>
      <c r="B50" s="36">
        <f>SUMIFS(tAR[Amount],tAR[Customer],"Avenue Construction, Inc.",tAR[IsRetainage],"FALSE")</f>
        <v/>
      </c>
      <c r="C50" s="33">
        <f>IFERROR(SUMIFS(tAR[Amount],tAR[Customer],"Avenue Construction, Inc.",tAR[IsRetainage],"FALSE")/SUMIFS(tAR[Amount],tAR[IsRetainage],"FALSE"),0)</f>
        <v/>
      </c>
    </row>
    <row r="51">
      <c r="A51" s="31" t="inlineStr">
        <is>
          <t>Compass Commercial Construction Group</t>
        </is>
      </c>
      <c r="B51" s="36">
        <f>SUMIFS(tAR[Amount],tAR[Customer],"Compass Commercial Construction Group",tAR[IsRetainage],"FALSE")</f>
        <v/>
      </c>
      <c r="C51" s="33">
        <f>IFERROR(SUMIFS(tAR[Amount],tAR[Customer],"Compass Commercial Construction Group",tAR[IsRetainage],"FALSE")/SUMIFS(tAR[Amount],tAR[IsRetainage],"FALSE"),0)</f>
        <v/>
      </c>
    </row>
    <row r="54" ht="20" customHeight="1">
      <c r="A54" s="5" t="inlineStr">
        <is>
          <t>Largest jobs by remaining backlog</t>
        </is>
      </c>
      <c r="F54" s="15" t="inlineStr">
        <is>
          <t>Source: Knowify</t>
        </is>
      </c>
    </row>
    <row r="55" ht="22" customHeight="1">
      <c r="A55" s="29" t="inlineStr">
        <is>
          <t>Job</t>
        </is>
      </c>
      <c r="B55" s="30" t="inlineStr">
        <is>
          <t>Backlog</t>
        </is>
      </c>
      <c r="C55" s="30" t="inlineStr">
        <is>
          <t>% of backlog</t>
        </is>
      </c>
    </row>
    <row r="56">
      <c r="A56" s="31" t="inlineStr">
        <is>
          <t>MF.2025.1007 The Approach</t>
        </is>
      </c>
      <c r="B56" s="36">
        <f>(SUMIF(tWIP[Job],"MF.2025.1007 The Approach",tWIP[ContractTotal])-SUMIF(tWIP[Job],"MF.2025.1007 The Approach",tWIP[Invoiced]))</f>
        <v/>
      </c>
      <c r="C56" s="33">
        <f>IFERROR((SUMIF(tWIP[Job],"MF.2025.1007 The Approach",tWIP[ContractTotal])-SUMIF(tWIP[Job],"MF.2025.1007 The Approach",tWIP[Invoiced]))/(SUM(tWIP[ContractTotal])-SUM(tWIP[Invoiced])),0)</f>
        <v/>
      </c>
    </row>
    <row r="57">
      <c r="A57" s="31" t="inlineStr">
        <is>
          <t>MF.2025.1019 Town &amp; Country Apartments (NY MF Project - 22 bldgs)</t>
        </is>
      </c>
      <c r="B57" s="36">
        <f>(SUMIF(tWIP[Job],"MF.2025.1019 Town &amp; Country Apartments (NY MF Project - 22 bldgs)",tWIP[ContractTotal])-SUMIF(tWIP[Job],"MF.2025.1019 Town &amp; Country Apartments (NY MF Project - 22 bldgs)",tWIP[Invoiced]))</f>
        <v/>
      </c>
      <c r="C57" s="33">
        <f>IFERROR((SUMIF(tWIP[Job],"MF.2025.1019 Town &amp; Country Apartments (NY MF Project - 22 bldgs)",tWIP[ContractTotal])-SUMIF(tWIP[Job],"MF.2025.1019 Town &amp; Country Apartments (NY MF Project - 22 bldgs)",tWIP[Invoiced]))/(SUM(tWIP[ContractTotal])-SUM(tWIP[Invoiced])),0)</f>
        <v/>
      </c>
    </row>
    <row r="58">
      <c r="A58" s="31" t="inlineStr">
        <is>
          <t>MF.2026.1044 Everstead Apartments</t>
        </is>
      </c>
      <c r="B58" s="36">
        <f>(SUMIF(tWIP[Job],"MF.2026.1044 Everstead Apartments",tWIP[ContractTotal])-SUMIF(tWIP[Job],"MF.2026.1044 Everstead Apartments",tWIP[Invoiced]))</f>
        <v/>
      </c>
      <c r="C58" s="33">
        <f>IFERROR((SUMIF(tWIP[Job],"MF.2026.1044 Everstead Apartments",tWIP[ContractTotal])-SUMIF(tWIP[Job],"MF.2026.1044 Everstead Apartments",tWIP[Invoiced]))/(SUM(tWIP[ContractTotal])-SUM(tWIP[Invoiced])),0)</f>
        <v/>
      </c>
    </row>
    <row r="59">
      <c r="A59" s="31" t="inlineStr">
        <is>
          <t>MF.2025.972 Union Flats - Fishers</t>
        </is>
      </c>
      <c r="B59" s="36">
        <f>(SUMIF(tWIP[Job],"MF.2025.972 Union Flats - Fishers",tWIP[ContractTotal])-SUMIF(tWIP[Job],"MF.2025.972 Union Flats - Fishers",tWIP[Invoiced]))</f>
        <v/>
      </c>
      <c r="C59" s="33">
        <f>IFERROR((SUMIF(tWIP[Job],"MF.2025.972 Union Flats - Fishers",tWIP[ContractTotal])-SUMIF(tWIP[Job],"MF.2025.972 Union Flats - Fishers",tWIP[Invoiced]))/(SUM(tWIP[ContractTotal])-SUM(tWIP[Invoiced])),0)</f>
        <v/>
      </c>
    </row>
    <row r="60">
      <c r="A60" s="31" t="inlineStr">
        <is>
          <t>MF.2026.1050 AC Hotel</t>
        </is>
      </c>
      <c r="B60" s="36">
        <f>(SUMIF(tWIP[Job],"MF.2026.1050 AC Hotel",tWIP[ContractTotal])-SUMIF(tWIP[Job],"MF.2026.1050 AC Hotel",tWIP[Invoiced]))</f>
        <v/>
      </c>
      <c r="C60" s="33">
        <f>IFERROR((SUMIF(tWIP[Job],"MF.2026.1050 AC Hotel",tWIP[ContractTotal])-SUMIF(tWIP[Job],"MF.2026.1050 AC Hotel",tWIP[Invoiced]))/(SUM(tWIP[ContractTotal])-SUM(tWIP[Invoiced])),0)</f>
        <v/>
      </c>
    </row>
    <row r="61">
      <c r="A61" s="31" t="inlineStr">
        <is>
          <t>2026.1052 Project Panther</t>
        </is>
      </c>
      <c r="B61" s="36">
        <f>(SUMIF(tWIP[Job],"2026.1052 Project Panther",tWIP[ContractTotal])-SUMIF(tWIP[Job],"2026.1052 Project Panther",tWIP[Invoiced]))</f>
        <v/>
      </c>
      <c r="C61" s="33">
        <f>IFERROR((SUMIF(tWIP[Job],"2026.1052 Project Panther",tWIP[ContractTotal])-SUMIF(tWIP[Job],"2026.1052 Project Panther",tWIP[Invoiced]))/(SUM(tWIP[ContractTotal])-SUM(tWIP[Invoiced])),0)</f>
        <v/>
      </c>
    </row>
    <row r="62">
      <c r="A62" s="31" t="inlineStr">
        <is>
          <t>MF.2024.892 The Lofts at Headwaters Park</t>
        </is>
      </c>
      <c r="B62" s="36">
        <f>(SUMIF(tWIP[Job],"MF.2024.892 The Lofts at Headwaters Park",tWIP[ContractTotal])-SUMIF(tWIP[Job],"MF.2024.892 The Lofts at Headwaters Park",tWIP[Invoiced]))</f>
        <v/>
      </c>
      <c r="C62" s="33">
        <f>IFERROR((SUMIF(tWIP[Job],"MF.2024.892 The Lofts at Headwaters Park",tWIP[ContractTotal])-SUMIF(tWIP[Job],"MF.2024.892 The Lofts at Headwaters Park",tWIP[Invoiced]))/(SUM(tWIP[ContractTotal])-SUM(tWIP[Invoiced])),0)</f>
        <v/>
      </c>
    </row>
    <row r="63">
      <c r="A63" s="31" t="inlineStr">
        <is>
          <t>2024.913 Walmart Phoenix</t>
        </is>
      </c>
      <c r="B63" s="36">
        <f>(SUMIF(tWIP[Job],"2024.913 Walmart Phoenix",tWIP[ContractTotal])-SUMIF(tWIP[Job],"2024.913 Walmart Phoenix",tWIP[Invoiced]))</f>
        <v/>
      </c>
      <c r="C63" s="33">
        <f>IFERROR((SUMIF(tWIP[Job],"2024.913 Walmart Phoenix",tWIP[ContractTotal])-SUMIF(tWIP[Job],"2024.913 Walmart Phoenix",tWIP[Invoiced]))/(SUM(tWIP[ContractTotal])-SUM(tWIP[Invoiced])),0)</f>
        <v/>
      </c>
    </row>
    <row r="64">
      <c r="A64" s="31" t="inlineStr">
        <is>
          <t>2026.1051 Park 130 Building 8</t>
        </is>
      </c>
      <c r="B64" s="36">
        <f>(SUMIF(tWIP[Job],"2026.1051 Park 130 Building 8",tWIP[ContractTotal])-SUMIF(tWIP[Job],"2026.1051 Park 130 Building 8",tWIP[Invoiced]))</f>
        <v/>
      </c>
      <c r="C64" s="33">
        <f>IFERROR((SUMIF(tWIP[Job],"2026.1051 Park 130 Building 8",tWIP[ContractTotal])-SUMIF(tWIP[Job],"2026.1051 Park 130 Building 8",tWIP[Invoiced]))/(SUM(tWIP[ContractTotal])-SUM(tWIP[Invoiced])),0)</f>
        <v/>
      </c>
    </row>
    <row r="65">
      <c r="A65" s="31" t="inlineStr">
        <is>
          <t>MF.2025.989-1 Springdale Cinema - Paint</t>
        </is>
      </c>
      <c r="B65" s="36">
        <f>(SUMIF(tWIP[Job],"MF.2025.989-1 Springdale Cinema - Paint",tWIP[ContractTotal])-SUMIF(tWIP[Job],"MF.2025.989-1 Springdale Cinema - Paint",tWIP[Invoiced]))</f>
        <v/>
      </c>
      <c r="C65" s="33">
        <f>IFERROR((SUMIF(tWIP[Job],"MF.2025.989-1 Springdale Cinema - Paint",tWIP[ContractTotal])-SUMIF(tWIP[Job],"MF.2025.989-1 Springdale Cinema - Paint",tWIP[Invoiced]))/(SUM(tWIP[ContractTotal])-SUM(tWIP[Invoiced])),0)</f>
        <v/>
      </c>
    </row>
    <row r="69" ht="20" customHeight="1">
      <c r="A69" s="5" t="inlineStr">
        <is>
          <t>Construction &amp; job KPIs</t>
        </is>
      </c>
      <c r="F69" s="15" t="inlineStr">
        <is>
          <t>Source: Knowify</t>
        </is>
      </c>
    </row>
    <row r="70" ht="22" customHeight="1">
      <c r="A70" s="29" t="inlineStr">
        <is>
          <t>Metric</t>
        </is>
      </c>
      <c r="B70" s="30" t="inlineStr">
        <is>
          <t>Value</t>
        </is>
      </c>
    </row>
    <row r="71">
      <c r="A71" s="31" t="inlineStr">
        <is>
          <t>Change-order rate (CO / contract)</t>
        </is>
      </c>
      <c r="B71" s="33">
        <f>IFERROR(SUM(tWIP[ChangeOrders])/SUM(tWIP[ContractTotal]),0)</f>
        <v/>
      </c>
    </row>
    <row r="72">
      <c r="A72" s="31" t="inlineStr">
        <is>
          <t>Average contract size</t>
        </is>
      </c>
      <c r="B72" s="36">
        <f>IFERROR(AVERAGE(tWIP[ContractTotal]),0)</f>
        <v/>
      </c>
    </row>
    <row r="73">
      <c r="A73" s="31" t="inlineStr">
        <is>
          <t>Jobs over budget %</t>
        </is>
      </c>
      <c r="B73" s="33">
        <f>IFERROR(SUMPRODUCT((tWIP[ActualCost]&gt;tWIP[BudgetTotal])*(tWIP[BudgetTotal]&gt;0))/SUMPRODUCT((tWIP[BudgetTotal]&gt;0)*1),0)</f>
        <v/>
      </c>
    </row>
    <row r="74">
      <c r="A74" s="31" t="inlineStr">
        <is>
          <t>Overbilled (billed ahead of work)</t>
        </is>
      </c>
      <c r="B74" s="36">
        <f>SUM(tWIP[Overbilled])</f>
        <v/>
      </c>
    </row>
    <row r="75">
      <c r="A75" s="31" t="inlineStr">
        <is>
          <t>Underbilled (work ahead of billing)</t>
        </is>
      </c>
      <c r="B75" s="36">
        <f>SUM(tWIP[Underbilled])</f>
        <v/>
      </c>
    </row>
    <row r="76">
      <c r="A76" s="31" t="inlineStr">
        <is>
          <t>Retainage held</t>
        </is>
      </c>
      <c r="B76" s="36">
        <f>SUM(tWIP[Retainage])</f>
        <v/>
      </c>
    </row>
    <row r="79" ht="20" customHeight="1">
      <c r="A79" s="5" t="inlineStr">
        <is>
          <t>Job cost mix (actual cost)</t>
        </is>
      </c>
      <c r="F79" s="15" t="inlineStr">
        <is>
          <t>Source: Knowify</t>
        </is>
      </c>
    </row>
    <row r="80" ht="22" customHeight="1">
      <c r="A80" s="29" t="inlineStr">
        <is>
          <t>Cost category</t>
        </is>
      </c>
      <c r="B80" s="30" t="inlineStr">
        <is>
          <t>Amount</t>
        </is>
      </c>
      <c r="C80" s="30" t="inlineStr">
        <is>
          <t>% of cost</t>
        </is>
      </c>
    </row>
    <row r="81">
      <c r="A81" s="31" t="inlineStr">
        <is>
          <t>Labor</t>
        </is>
      </c>
      <c r="B81" s="36">
        <f>SUM(tWIP[LaborCommitted])</f>
        <v/>
      </c>
      <c r="C81" s="33">
        <f>IFERROR(SUM(tWIP[LaborCommitted])/(SUM(tWIP[LaborCommitted])+SUM(tWIP[SubsActual])+SUM(tWIP[MaterialsActual])+SUM(tWIP[EquipmentActual])+SUM(tWIP[MiscActual])),0)</f>
        <v/>
      </c>
    </row>
    <row r="82">
      <c r="A82" s="31" t="inlineStr">
        <is>
          <t>Subcontractors</t>
        </is>
      </c>
      <c r="B82" s="36">
        <f>SUM(tWIP[SubsActual])</f>
        <v/>
      </c>
      <c r="C82" s="33">
        <f>IFERROR(SUM(tWIP[SubsActual])/(SUM(tWIP[LaborCommitted])+SUM(tWIP[SubsActual])+SUM(tWIP[MaterialsActual])+SUM(tWIP[EquipmentActual])+SUM(tWIP[MiscActual])),0)</f>
        <v/>
      </c>
    </row>
    <row r="83">
      <c r="A83" s="31" t="inlineStr">
        <is>
          <t>Materials</t>
        </is>
      </c>
      <c r="B83" s="36">
        <f>SUM(tWIP[MaterialsActual])</f>
        <v/>
      </c>
      <c r="C83" s="33">
        <f>IFERROR(SUM(tWIP[MaterialsActual])/(SUM(tWIP[LaborCommitted])+SUM(tWIP[SubsActual])+SUM(tWIP[MaterialsActual])+SUM(tWIP[EquipmentActual])+SUM(tWIP[MiscActual])),0)</f>
        <v/>
      </c>
    </row>
    <row r="84">
      <c r="A84" s="31" t="inlineStr">
        <is>
          <t>Equipment</t>
        </is>
      </c>
      <c r="B84" s="36">
        <f>SUM(tWIP[EquipmentActual])</f>
        <v/>
      </c>
      <c r="C84" s="33">
        <f>IFERROR(SUM(tWIP[EquipmentActual])/(SUM(tWIP[LaborCommitted])+SUM(tWIP[SubsActual])+SUM(tWIP[MaterialsActual])+SUM(tWIP[EquipmentActual])+SUM(tWIP[MiscActual])),0)</f>
        <v/>
      </c>
    </row>
    <row r="85">
      <c r="A85" s="31" t="inlineStr">
        <is>
          <t>Misc</t>
        </is>
      </c>
      <c r="B85" s="36">
        <f>SUM(tWIP[MiscActual])</f>
        <v/>
      </c>
      <c r="C85" s="33">
        <f>IFERROR(SUM(tWIP[MiscActual])/(SUM(tWIP[LaborCommitted])+SUM(tWIP[SubsActual])+SUM(tWIP[MaterialsActual])+SUM(tWIP[EquipmentActual])+SUM(tWIP[MiscActual])),0)</f>
        <v/>
      </c>
    </row>
    <row r="86">
      <c r="A86" s="37" t="inlineStr">
        <is>
          <t>Total job cost</t>
        </is>
      </c>
      <c r="B86" s="38">
        <f>(SUM(tWIP[LaborCommitted])+SUM(tWIP[SubsActual])+SUM(tWIP[MaterialsActual])+SUM(tWIP[EquipmentActual])+SUM(tWIP[MiscActual]))</f>
        <v/>
      </c>
      <c r="C86" s="48" t="inlineStr"/>
    </row>
    <row r="89" ht="20" customHeight="1">
      <c r="A89" s="5" t="inlineStr">
        <is>
          <t>Customer revenue concentration — 2026</t>
        </is>
      </c>
      <c r="F89" s="15" t="inlineStr">
        <is>
          <t>Source: QuickBooks · Sales by Customer</t>
        </is>
      </c>
    </row>
    <row r="90" ht="22" customHeight="1">
      <c r="A90" s="29" t="inlineStr">
        <is>
          <t>Customer</t>
        </is>
      </c>
      <c r="B90" s="30" t="inlineStr">
        <is>
          <t>2026 revenue</t>
        </is>
      </c>
      <c r="C90" s="30" t="inlineStr">
        <is>
          <t>% of revenue</t>
        </is>
      </c>
    </row>
    <row r="91">
      <c r="A91" s="31" t="inlineStr">
        <is>
          <t>Thompson Thrift Construction</t>
        </is>
      </c>
      <c r="B91" s="36">
        <f>SUMIF(tCustRev[Customer],"Thompson Thrift Construction",tCustRev[Revenue2026])</f>
        <v/>
      </c>
      <c r="C91" s="33">
        <f>IFERROR(SUMIF(tCustRev[Customer],"Thompson Thrift Construction",tCustRev[Revenue2026])/SUM(tCustRev[Revenue2026]),0)</f>
        <v/>
      </c>
    </row>
    <row r="92">
      <c r="A92" s="31" t="inlineStr">
        <is>
          <t>The Peterson Company, LLC</t>
        </is>
      </c>
      <c r="B92" s="36">
        <f>SUMIF(tCustRev[Customer],"The Peterson Company, LLC",tCustRev[Revenue2026])</f>
        <v/>
      </c>
      <c r="C92" s="33">
        <f>IFERROR(SUMIF(tCustRev[Customer],"The Peterson Company, LLC",tCustRev[Revenue2026])/SUM(tCustRev[Revenue2026]),0)</f>
        <v/>
      </c>
    </row>
    <row r="93">
      <c r="A93" s="31" t="inlineStr">
        <is>
          <t>DEEM, LLC</t>
        </is>
      </c>
      <c r="B93" s="36">
        <f>SUMIF(tCustRev[Customer],"DEEM, LLC",tCustRev[Revenue2026])</f>
        <v/>
      </c>
      <c r="C93" s="33">
        <f>IFERROR(SUMIF(tCustRev[Customer],"DEEM, LLC",tCustRev[Revenue2026])/SUM(tCustRev[Revenue2026]),0)</f>
        <v/>
      </c>
    </row>
    <row r="94">
      <c r="A94" s="31" t="inlineStr">
        <is>
          <t>Marous Brothers Construction</t>
        </is>
      </c>
      <c r="B94" s="36">
        <f>SUMIF(tCustRev[Customer],"Marous Brothers Construction",tCustRev[Revenue2026])</f>
        <v/>
      </c>
      <c r="C94" s="33">
        <f>IFERROR(SUMIF(tCustRev[Customer],"Marous Brothers Construction",tCustRev[Revenue2026])/SUM(tCustRev[Revenue2026]),0)</f>
        <v/>
      </c>
    </row>
    <row r="95">
      <c r="A95" s="31" t="inlineStr">
        <is>
          <t>Skender Construction of Indiana LLC</t>
        </is>
      </c>
      <c r="B95" s="36">
        <f>SUMIF(tCustRev[Customer],"Skender Construction of Indiana LLC",tCustRev[Revenue2026])</f>
        <v/>
      </c>
      <c r="C95" s="33">
        <f>IFERROR(SUMIF(tCustRev[Customer],"Skender Construction of Indiana LLC",tCustRev[Revenue2026])/SUM(tCustRev[Revenue2026]),0)</f>
        <v/>
      </c>
    </row>
    <row r="96">
      <c r="A96" s="31" t="inlineStr">
        <is>
          <t>MILHAUS Construction</t>
        </is>
      </c>
      <c r="B96" s="36">
        <f>SUMIF(tCustRev[Customer],"MILHAUS Construction",tCustRev[Revenue2026])</f>
        <v/>
      </c>
      <c r="C96" s="33">
        <f>IFERROR(SUMIF(tCustRev[Customer],"MILHAUS Construction",tCustRev[Revenue2026])/SUM(tCustRev[Revenue2026]),0)</f>
        <v/>
      </c>
    </row>
    <row r="97">
      <c r="A97" s="31" t="inlineStr">
        <is>
          <t>Compass Commercial Construction Group</t>
        </is>
      </c>
      <c r="B97" s="36">
        <f>SUMIF(tCustRev[Customer],"Compass Commercial Construction Group",tCustRev[Revenue2026])</f>
        <v/>
      </c>
      <c r="C97" s="33">
        <f>IFERROR(SUMIF(tCustRev[Customer],"Compass Commercial Construction Group",tCustRev[Revenue2026])/SUM(tCustRev[Revenue2026]),0)</f>
        <v/>
      </c>
    </row>
    <row r="98">
      <c r="A98" s="31" t="inlineStr">
        <is>
          <t>Garmong Construction Services</t>
        </is>
      </c>
      <c r="B98" s="36">
        <f>SUMIF(tCustRev[Customer],"Garmong Construction Services",tCustRev[Revenue2026])</f>
        <v/>
      </c>
      <c r="C98" s="33">
        <f>IFERROR(SUMIF(tCustRev[Customer],"Garmong Construction Services",tCustRev[Revenue2026])/SUM(tCustRev[Revenue2026]),0)</f>
        <v/>
      </c>
    </row>
    <row r="99">
      <c r="A99" s="31" t="inlineStr">
        <is>
          <t>Old Town Construction</t>
        </is>
      </c>
      <c r="B99" s="36">
        <f>SUMIF(tCustRev[Customer],"Old Town Construction",tCustRev[Revenue2026])</f>
        <v/>
      </c>
      <c r="C99" s="33">
        <f>IFERROR(SUMIF(tCustRev[Customer],"Old Town Construction",tCustRev[Revenue2026])/SUM(tCustRev[Revenue2026]),0)</f>
        <v/>
      </c>
    </row>
    <row r="100">
      <c r="A100" s="31" t="inlineStr">
        <is>
          <t>Clark Construction</t>
        </is>
      </c>
      <c r="B100" s="36">
        <f>SUMIF(tCustRev[Customer],"Clark Construction",tCustRev[Revenue2026])</f>
        <v/>
      </c>
      <c r="C100" s="33">
        <f>IFERROR(SUMIF(tCustRev[Customer],"Clark Construction",tCustRev[Revenue2026])/SUM(tCustRev[Revenue2026]),0)</f>
        <v/>
      </c>
    </row>
    <row r="101">
      <c r="A101" s="37" t="inlineStr">
        <is>
          <t>Top-5 customer concentration</t>
        </is>
      </c>
      <c r="B101" s="51">
        <f>IFERROR((SUMIF(tCustRev[Customer],"Thompson Thrift Construction",tCustRev[Revenue2026]) + SUMIF(tCustRev[Customer],"The Peterson Company, LLC",tCustRev[Revenue2026]) + SUMIF(tCustRev[Customer],"DEEM, LLC",tCustRev[Revenue2026]) + SUMIF(tCustRev[Customer],"Marous Brothers Construction",tCustRev[Revenue2026]) + SUMIF(tCustRev[Customer],"Skender Construction of Indiana LLC",tCustRev[Revenue2026]))/SUM(tCustRev[Revenue2026]),0)</f>
        <v/>
      </c>
      <c r="C101" s="48" t="inlineStr"/>
    </row>
  </sheetData>
  <mergeCells count="3">
    <mergeCell ref="A3:N3"/>
    <mergeCell ref="A2:N2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N1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5" customWidth="1" min="7" max="7"/>
  </cols>
  <sheetData>
    <row r="1" ht="30" customHeight="1">
      <c r="A1" s="1" t="inlineStr">
        <is>
          <t>Revenue Billed by Job — 2026 (Jan–May)</t>
        </is>
      </c>
    </row>
    <row r="2" ht="16" customHeight="1">
      <c r="A2" s="2" t="inlineStr">
        <is>
          <t>Each cell is a SUMIFS over the tInv table on the Data sheet (by invoice date)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" customHeight="1">
      <c r="A3" s="4" t="inlineStr">
        <is>
          <t>Source: Knowify — Invoices</t>
        </is>
      </c>
    </row>
    <row r="5" ht="22" customHeight="1">
      <c r="A5" s="29" t="inlineStr">
        <is>
          <t>Job</t>
        </is>
      </c>
      <c r="B5" s="30" t="inlineStr">
        <is>
          <t>Jan</t>
        </is>
      </c>
      <c r="C5" s="30" t="inlineStr">
        <is>
          <t>Feb</t>
        </is>
      </c>
      <c r="D5" s="30" t="inlineStr">
        <is>
          <t>Mar</t>
        </is>
      </c>
      <c r="E5" s="30" t="inlineStr">
        <is>
          <t>Apr</t>
        </is>
      </c>
      <c r="F5" s="30" t="inlineStr">
        <is>
          <t>May</t>
        </is>
      </c>
      <c r="G5" s="30" t="inlineStr">
        <is>
          <t>Total Jan–May</t>
        </is>
      </c>
    </row>
    <row r="6">
      <c r="A6" s="31" t="inlineStr">
        <is>
          <t>MF.2025.972 Union Flats - Fishers</t>
        </is>
      </c>
      <c r="B6" s="32">
        <f>SUMIFS(tInv[Amount],tInv[Job],"MF.2025.972 Union Flats - Fishers",tInv[Month],"2026-01")</f>
        <v/>
      </c>
      <c r="C6" s="32">
        <f>SUMIFS(tInv[Amount],tInv[Job],"MF.2025.972 Union Flats - Fishers",tInv[Month],"2026-02")</f>
        <v/>
      </c>
      <c r="D6" s="32">
        <f>SUMIFS(tInv[Amount],tInv[Job],"MF.2025.972 Union Flats - Fishers",tInv[Month],"2026-03")</f>
        <v/>
      </c>
      <c r="E6" s="32">
        <f>SUMIFS(tInv[Amount],tInv[Job],"MF.2025.972 Union Flats - Fishers",tInv[Month],"2026-04")</f>
        <v/>
      </c>
      <c r="F6" s="32">
        <f>SUMIFS(tInv[Amount],tInv[Job],"MF.2025.972 Union Flats - Fishers",tInv[Month],"2026-05")</f>
        <v/>
      </c>
      <c r="G6" s="52">
        <f>SUM(B6:F6)</f>
        <v/>
      </c>
    </row>
    <row r="7">
      <c r="A7" s="31" t="inlineStr">
        <is>
          <t>MF.2025.1019 Town &amp; Country Apartments (NY MF Project - 22 bldgs)</t>
        </is>
      </c>
      <c r="B7" s="32">
        <f>SUMIFS(tInv[Amount],tInv[Job],"MF.2025.1019 Town &amp; Country Apartments (NY MF Project - 22 bldgs)",tInv[Month],"2026-01")</f>
        <v/>
      </c>
      <c r="C7" s="32">
        <f>SUMIFS(tInv[Amount],tInv[Job],"MF.2025.1019 Town &amp; Country Apartments (NY MF Project - 22 bldgs)",tInv[Month],"2026-02")</f>
        <v/>
      </c>
      <c r="D7" s="32">
        <f>SUMIFS(tInv[Amount],tInv[Job],"MF.2025.1019 Town &amp; Country Apartments (NY MF Project - 22 bldgs)",tInv[Month],"2026-03")</f>
        <v/>
      </c>
      <c r="E7" s="32">
        <f>SUMIFS(tInv[Amount],tInv[Job],"MF.2025.1019 Town &amp; Country Apartments (NY MF Project - 22 bldgs)",tInv[Month],"2026-04")</f>
        <v/>
      </c>
      <c r="F7" s="32">
        <f>SUMIFS(tInv[Amount],tInv[Job],"MF.2025.1019 Town &amp; Country Apartments (NY MF Project - 22 bldgs)",tInv[Month],"2026-05")</f>
        <v/>
      </c>
      <c r="G7" s="52">
        <f>SUM(B7:F7)</f>
        <v/>
      </c>
    </row>
    <row r="8">
      <c r="A8" s="31" t="inlineStr">
        <is>
          <t>2025.964 Avon Municipal Building</t>
        </is>
      </c>
      <c r="B8" s="32">
        <f>SUMIFS(tInv[Amount],tInv[Job],"2025.964 Avon Municipal Building",tInv[Month],"2026-01")</f>
        <v/>
      </c>
      <c r="C8" s="32">
        <f>SUMIFS(tInv[Amount],tInv[Job],"2025.964 Avon Municipal Building",tInv[Month],"2026-02")</f>
        <v/>
      </c>
      <c r="D8" s="32">
        <f>SUMIFS(tInv[Amount],tInv[Job],"2025.964 Avon Municipal Building",tInv[Month],"2026-03")</f>
        <v/>
      </c>
      <c r="E8" s="32">
        <f>SUMIFS(tInv[Amount],tInv[Job],"2025.964 Avon Municipal Building",tInv[Month],"2026-04")</f>
        <v/>
      </c>
      <c r="F8" s="32">
        <f>SUMIFS(tInv[Amount],tInv[Job],"2025.964 Avon Municipal Building",tInv[Month],"2026-05")</f>
        <v/>
      </c>
      <c r="G8" s="52">
        <f>SUM(B8:F8)</f>
        <v/>
      </c>
    </row>
    <row r="9">
      <c r="A9" s="31" t="inlineStr">
        <is>
          <t>MF.2024.931 Wild Air</t>
        </is>
      </c>
      <c r="B9" s="32">
        <f>SUMIFS(tInv[Amount],tInv[Job],"MF.2024.931 Wild Air",tInv[Month],"2026-01")</f>
        <v/>
      </c>
      <c r="C9" s="32">
        <f>SUMIFS(tInv[Amount],tInv[Job],"MF.2024.931 Wild Air",tInv[Month],"2026-02")</f>
        <v/>
      </c>
      <c r="D9" s="32">
        <f>SUMIFS(tInv[Amount],tInv[Job],"MF.2024.931 Wild Air",tInv[Month],"2026-03")</f>
        <v/>
      </c>
      <c r="E9" s="32">
        <f>SUMIFS(tInv[Amount],tInv[Job],"MF.2024.931 Wild Air",tInv[Month],"2026-04")</f>
        <v/>
      </c>
      <c r="F9" s="32">
        <f>SUMIFS(tInv[Amount],tInv[Job],"MF.2024.931 Wild Air",tInv[Month],"2026-05")</f>
        <v/>
      </c>
      <c r="G9" s="52">
        <f>SUM(B9:F9)</f>
        <v/>
      </c>
    </row>
    <row r="10">
      <c r="A10" s="31" t="inlineStr">
        <is>
          <t>2025.1029 Resmed - Indy 500</t>
        </is>
      </c>
      <c r="B10" s="32">
        <f>SUMIFS(tInv[Amount],tInv[Job],"2025.1029 Resmed - Indy 500",tInv[Month],"2026-01")</f>
        <v/>
      </c>
      <c r="C10" s="32">
        <f>SUMIFS(tInv[Amount],tInv[Job],"2025.1029 Resmed - Indy 500",tInv[Month],"2026-02")</f>
        <v/>
      </c>
      <c r="D10" s="32">
        <f>SUMIFS(tInv[Amount],tInv[Job],"2025.1029 Resmed - Indy 500",tInv[Month],"2026-03")</f>
        <v/>
      </c>
      <c r="E10" s="32">
        <f>SUMIFS(tInv[Amount],tInv[Job],"2025.1029 Resmed - Indy 500",tInv[Month],"2026-04")</f>
        <v/>
      </c>
      <c r="F10" s="32">
        <f>SUMIFS(tInv[Amount],tInv[Job],"2025.1029 Resmed - Indy 500",tInv[Month],"2026-05")</f>
        <v/>
      </c>
      <c r="G10" s="52">
        <f>SUM(B10:F10)</f>
        <v/>
      </c>
    </row>
    <row r="11">
      <c r="A11" s="31" t="inlineStr">
        <is>
          <t>MF.2025.989-2 Springdale Cinema - Drywall</t>
        </is>
      </c>
      <c r="B11" s="32">
        <f>SUMIFS(tInv[Amount],tInv[Job],"MF.2025.989-2 Springdale Cinema - Drywall",tInv[Month],"2026-01")</f>
        <v/>
      </c>
      <c r="C11" s="32">
        <f>SUMIFS(tInv[Amount],tInv[Job],"MF.2025.989-2 Springdale Cinema - Drywall",tInv[Month],"2026-02")</f>
        <v/>
      </c>
      <c r="D11" s="32">
        <f>SUMIFS(tInv[Amount],tInv[Job],"MF.2025.989-2 Springdale Cinema - Drywall",tInv[Month],"2026-03")</f>
        <v/>
      </c>
      <c r="E11" s="32">
        <f>SUMIFS(tInv[Amount],tInv[Job],"MF.2025.989-2 Springdale Cinema - Drywall",tInv[Month],"2026-04")</f>
        <v/>
      </c>
      <c r="F11" s="32">
        <f>SUMIFS(tInv[Amount],tInv[Job],"MF.2025.989-2 Springdale Cinema - Drywall",tInv[Month],"2026-05")</f>
        <v/>
      </c>
      <c r="G11" s="52">
        <f>SUM(B11:F11)</f>
        <v/>
      </c>
    </row>
    <row r="12">
      <c r="A12" s="31" t="inlineStr">
        <is>
          <t>2025.1024 Metro Lion</t>
        </is>
      </c>
      <c r="B12" s="32">
        <f>SUMIFS(tInv[Amount],tInv[Job],"2025.1024 Metro Lion",tInv[Month],"2026-01")</f>
        <v/>
      </c>
      <c r="C12" s="32">
        <f>SUMIFS(tInv[Amount],tInv[Job],"2025.1024 Metro Lion",tInv[Month],"2026-02")</f>
        <v/>
      </c>
      <c r="D12" s="32">
        <f>SUMIFS(tInv[Amount],tInv[Job],"2025.1024 Metro Lion",tInv[Month],"2026-03")</f>
        <v/>
      </c>
      <c r="E12" s="32">
        <f>SUMIFS(tInv[Amount],tInv[Job],"2025.1024 Metro Lion",tInv[Month],"2026-04")</f>
        <v/>
      </c>
      <c r="F12" s="32">
        <f>SUMIFS(tInv[Amount],tInv[Job],"2025.1024 Metro Lion",tInv[Month],"2026-05")</f>
        <v/>
      </c>
      <c r="G12" s="52">
        <f>SUM(B12:F12)</f>
        <v/>
      </c>
    </row>
    <row r="13">
      <c r="A13" s="31" t="inlineStr">
        <is>
          <t>2025.991 Walmart Republic</t>
        </is>
      </c>
      <c r="B13" s="32">
        <f>SUMIFS(tInv[Amount],tInv[Job],"2025.991 Walmart Republic",tInv[Month],"2026-01")</f>
        <v/>
      </c>
      <c r="C13" s="32">
        <f>SUMIFS(tInv[Amount],tInv[Job],"2025.991 Walmart Republic",tInv[Month],"2026-02")</f>
        <v/>
      </c>
      <c r="D13" s="32">
        <f>SUMIFS(tInv[Amount],tInv[Job],"2025.991 Walmart Republic",tInv[Month],"2026-03")</f>
        <v/>
      </c>
      <c r="E13" s="32">
        <f>SUMIFS(tInv[Amount],tInv[Job],"2025.991 Walmart Republic",tInv[Month],"2026-04")</f>
        <v/>
      </c>
      <c r="F13" s="32">
        <f>SUMIFS(tInv[Amount],tInv[Job],"2025.991 Walmart Republic",tInv[Month],"2026-05")</f>
        <v/>
      </c>
      <c r="G13" s="52">
        <f>SUM(B13:F13)</f>
        <v/>
      </c>
    </row>
    <row r="14">
      <c r="A14" s="31" t="inlineStr">
        <is>
          <t>2025.978 Ardalan Plaza</t>
        </is>
      </c>
      <c r="B14" s="32">
        <f>SUMIFS(tInv[Amount],tInv[Job],"2025.978 Ardalan Plaza",tInv[Month],"2026-01")</f>
        <v/>
      </c>
      <c r="C14" s="32">
        <f>SUMIFS(tInv[Amount],tInv[Job],"2025.978 Ardalan Plaza",tInv[Month],"2026-02")</f>
        <v/>
      </c>
      <c r="D14" s="32">
        <f>SUMIFS(tInv[Amount],tInv[Job],"2025.978 Ardalan Plaza",tInv[Month],"2026-03")</f>
        <v/>
      </c>
      <c r="E14" s="32">
        <f>SUMIFS(tInv[Amount],tInv[Job],"2025.978 Ardalan Plaza",tInv[Month],"2026-04")</f>
        <v/>
      </c>
      <c r="F14" s="32">
        <f>SUMIFS(tInv[Amount],tInv[Job],"2025.978 Ardalan Plaza",tInv[Month],"2026-05")</f>
        <v/>
      </c>
      <c r="G14" s="52">
        <f>SUM(B14:F14)</f>
        <v/>
      </c>
    </row>
    <row r="15">
      <c r="A15" s="31" t="inlineStr">
        <is>
          <t>MF.2024.928 Holliday Farms Assisted Living - Zionsville</t>
        </is>
      </c>
      <c r="B15" s="32">
        <f>SUMIFS(tInv[Amount],tInv[Job],"MF.2024.928 Holliday Farms Assisted Living - Zionsville",tInv[Month],"2026-01")</f>
        <v/>
      </c>
      <c r="C15" s="32">
        <f>SUMIFS(tInv[Amount],tInv[Job],"MF.2024.928 Holliday Farms Assisted Living - Zionsville",tInv[Month],"2026-02")</f>
        <v/>
      </c>
      <c r="D15" s="32">
        <f>SUMIFS(tInv[Amount],tInv[Job],"MF.2024.928 Holliday Farms Assisted Living - Zionsville",tInv[Month],"2026-03")</f>
        <v/>
      </c>
      <c r="E15" s="32">
        <f>SUMIFS(tInv[Amount],tInv[Job],"MF.2024.928 Holliday Farms Assisted Living - Zionsville",tInv[Month],"2026-04")</f>
        <v/>
      </c>
      <c r="F15" s="32">
        <f>SUMIFS(tInv[Amount],tInv[Job],"MF.2024.928 Holliday Farms Assisted Living - Zionsville",tInv[Month],"2026-05")</f>
        <v/>
      </c>
      <c r="G15" s="52">
        <f>SUM(B15:F15)</f>
        <v/>
      </c>
    </row>
    <row r="16">
      <c r="A16" s="31" t="inlineStr">
        <is>
          <t>2025.1001 Evolve Transporters</t>
        </is>
      </c>
      <c r="B16" s="32">
        <f>SUMIFS(tInv[Amount],tInv[Job],"2025.1001 Evolve Transporters",tInv[Month],"2026-01")</f>
        <v/>
      </c>
      <c r="C16" s="32">
        <f>SUMIFS(tInv[Amount],tInv[Job],"2025.1001 Evolve Transporters",tInv[Month],"2026-02")</f>
        <v/>
      </c>
      <c r="D16" s="32">
        <f>SUMIFS(tInv[Amount],tInv[Job],"2025.1001 Evolve Transporters",tInv[Month],"2026-03")</f>
        <v/>
      </c>
      <c r="E16" s="32">
        <f>SUMIFS(tInv[Amount],tInv[Job],"2025.1001 Evolve Transporters",tInv[Month],"2026-04")</f>
        <v/>
      </c>
      <c r="F16" s="32">
        <f>SUMIFS(tInv[Amount],tInv[Job],"2025.1001 Evolve Transporters",tInv[Month],"2026-05")</f>
        <v/>
      </c>
      <c r="G16" s="52">
        <f>SUM(B16:F16)</f>
        <v/>
      </c>
    </row>
    <row r="17">
      <c r="A17" s="31" t="inlineStr">
        <is>
          <t>2025.1023 Vikan Products BTS</t>
        </is>
      </c>
      <c r="B17" s="32">
        <f>SUMIFS(tInv[Amount],tInv[Job],"2025.1023 Vikan Products BTS",tInv[Month],"2026-01")</f>
        <v/>
      </c>
      <c r="C17" s="32">
        <f>SUMIFS(tInv[Amount],tInv[Job],"2025.1023 Vikan Products BTS",tInv[Month],"2026-02")</f>
        <v/>
      </c>
      <c r="D17" s="32">
        <f>SUMIFS(tInv[Amount],tInv[Job],"2025.1023 Vikan Products BTS",tInv[Month],"2026-03")</f>
        <v/>
      </c>
      <c r="E17" s="32">
        <f>SUMIFS(tInv[Amount],tInv[Job],"2025.1023 Vikan Products BTS",tInv[Month],"2026-04")</f>
        <v/>
      </c>
      <c r="F17" s="32">
        <f>SUMIFS(tInv[Amount],tInv[Job],"2025.1023 Vikan Products BTS",tInv[Month],"2026-05")</f>
        <v/>
      </c>
      <c r="G17" s="52">
        <f>SUM(B17:F17)</f>
        <v/>
      </c>
    </row>
    <row r="18">
      <c r="A18" s="31" t="inlineStr">
        <is>
          <t>2025.1030 Westfield Police HQ</t>
        </is>
      </c>
      <c r="B18" s="32">
        <f>SUMIFS(tInv[Amount],tInv[Job],"2025.1030 Westfield Police HQ",tInv[Month],"2026-01")</f>
        <v/>
      </c>
      <c r="C18" s="32">
        <f>SUMIFS(tInv[Amount],tInv[Job],"2025.1030 Westfield Police HQ",tInv[Month],"2026-02")</f>
        <v/>
      </c>
      <c r="D18" s="32">
        <f>SUMIFS(tInv[Amount],tInv[Job],"2025.1030 Westfield Police HQ",tInv[Month],"2026-03")</f>
        <v/>
      </c>
      <c r="E18" s="32">
        <f>SUMIFS(tInv[Amount],tInv[Job],"2025.1030 Westfield Police HQ",tInv[Month],"2026-04")</f>
        <v/>
      </c>
      <c r="F18" s="32">
        <f>SUMIFS(tInv[Amount],tInv[Job],"2025.1030 Westfield Police HQ",tInv[Month],"2026-05")</f>
        <v/>
      </c>
      <c r="G18" s="52">
        <f>SUM(B18:F18)</f>
        <v/>
      </c>
    </row>
    <row r="19">
      <c r="A19" s="31" t="inlineStr">
        <is>
          <t>MF.2024.892 The Lofts at Headwaters Park</t>
        </is>
      </c>
      <c r="B19" s="32">
        <f>SUMIFS(tInv[Amount],tInv[Job],"MF.2024.892 The Lofts at Headwaters Park",tInv[Month],"2026-01")</f>
        <v/>
      </c>
      <c r="C19" s="32">
        <f>SUMIFS(tInv[Amount],tInv[Job],"MF.2024.892 The Lofts at Headwaters Park",tInv[Month],"2026-02")</f>
        <v/>
      </c>
      <c r="D19" s="32">
        <f>SUMIFS(tInv[Amount],tInv[Job],"MF.2024.892 The Lofts at Headwaters Park",tInv[Month],"2026-03")</f>
        <v/>
      </c>
      <c r="E19" s="32">
        <f>SUMIFS(tInv[Amount],tInv[Job],"MF.2024.892 The Lofts at Headwaters Park",tInv[Month],"2026-04")</f>
        <v/>
      </c>
      <c r="F19" s="32">
        <f>SUMIFS(tInv[Amount],tInv[Job],"MF.2024.892 The Lofts at Headwaters Park",tInv[Month],"2026-05")</f>
        <v/>
      </c>
      <c r="G19" s="52">
        <f>SUM(B19:F19)</f>
        <v/>
      </c>
    </row>
    <row r="20">
      <c r="A20" s="31" t="inlineStr">
        <is>
          <t>2025.990 Walmart Orlando</t>
        </is>
      </c>
      <c r="B20" s="32">
        <f>SUMIFS(tInv[Amount],tInv[Job],"2025.990 Walmart Orlando",tInv[Month],"2026-01")</f>
        <v/>
      </c>
      <c r="C20" s="32">
        <f>SUMIFS(tInv[Amount],tInv[Job],"2025.990 Walmart Orlando",tInv[Month],"2026-02")</f>
        <v/>
      </c>
      <c r="D20" s="32">
        <f>SUMIFS(tInv[Amount],tInv[Job],"2025.990 Walmart Orlando",tInv[Month],"2026-03")</f>
        <v/>
      </c>
      <c r="E20" s="32">
        <f>SUMIFS(tInv[Amount],tInv[Job],"2025.990 Walmart Orlando",tInv[Month],"2026-04")</f>
        <v/>
      </c>
      <c r="F20" s="32">
        <f>SUMIFS(tInv[Amount],tInv[Job],"2025.990 Walmart Orlando",tInv[Month],"2026-05")</f>
        <v/>
      </c>
      <c r="G20" s="52">
        <f>SUM(B20:F20)</f>
        <v/>
      </c>
    </row>
    <row r="21">
      <c r="A21" s="31" t="inlineStr">
        <is>
          <t>MF.2025.992 Young's Creek Apartments</t>
        </is>
      </c>
      <c r="B21" s="32">
        <f>SUMIFS(tInv[Amount],tInv[Job],"MF.2025.992 Young's Creek Apartments",tInv[Month],"2026-01")</f>
        <v/>
      </c>
      <c r="C21" s="32">
        <f>SUMIFS(tInv[Amount],tInv[Job],"MF.2025.992 Young's Creek Apartments",tInv[Month],"2026-02")</f>
        <v/>
      </c>
      <c r="D21" s="32">
        <f>SUMIFS(tInv[Amount],tInv[Job],"MF.2025.992 Young's Creek Apartments",tInv[Month],"2026-03")</f>
        <v/>
      </c>
      <c r="E21" s="32">
        <f>SUMIFS(tInv[Amount],tInv[Job],"MF.2025.992 Young's Creek Apartments",tInv[Month],"2026-04")</f>
        <v/>
      </c>
      <c r="F21" s="32">
        <f>SUMIFS(tInv[Amount],tInv[Job],"MF.2025.992 Young's Creek Apartments",tInv[Month],"2026-05")</f>
        <v/>
      </c>
      <c r="G21" s="52">
        <f>SUM(B21:F21)</f>
        <v/>
      </c>
    </row>
    <row r="22">
      <c r="A22" s="31" t="inlineStr">
        <is>
          <t>2026.1035 The Ark</t>
        </is>
      </c>
      <c r="B22" s="32">
        <f>SUMIFS(tInv[Amount],tInv[Job],"2026.1035 The Ark",tInv[Month],"2026-01")</f>
        <v/>
      </c>
      <c r="C22" s="32">
        <f>SUMIFS(tInv[Amount],tInv[Job],"2026.1035 The Ark",tInv[Month],"2026-02")</f>
        <v/>
      </c>
      <c r="D22" s="32">
        <f>SUMIFS(tInv[Amount],tInv[Job],"2026.1035 The Ark",tInv[Month],"2026-03")</f>
        <v/>
      </c>
      <c r="E22" s="32">
        <f>SUMIFS(tInv[Amount],tInv[Job],"2026.1035 The Ark",tInv[Month],"2026-04")</f>
        <v/>
      </c>
      <c r="F22" s="32">
        <f>SUMIFS(tInv[Amount],tInv[Job],"2026.1035 The Ark",tInv[Month],"2026-05")</f>
        <v/>
      </c>
      <c r="G22" s="52">
        <f>SUM(B22:F22)</f>
        <v/>
      </c>
    </row>
    <row r="23">
      <c r="A23" s="31" t="inlineStr">
        <is>
          <t>MF.2025.989-1 Springdale Cinema - Paint</t>
        </is>
      </c>
      <c r="B23" s="32">
        <f>SUMIFS(tInv[Amount],tInv[Job],"MF.2025.989-1 Springdale Cinema - Paint",tInv[Month],"2026-01")</f>
        <v/>
      </c>
      <c r="C23" s="32">
        <f>SUMIFS(tInv[Amount],tInv[Job],"MF.2025.989-1 Springdale Cinema - Paint",tInv[Month],"2026-02")</f>
        <v/>
      </c>
      <c r="D23" s="32">
        <f>SUMIFS(tInv[Amount],tInv[Job],"MF.2025.989-1 Springdale Cinema - Paint",tInv[Month],"2026-03")</f>
        <v/>
      </c>
      <c r="E23" s="32">
        <f>SUMIFS(tInv[Amount],tInv[Job],"MF.2025.989-1 Springdale Cinema - Paint",tInv[Month],"2026-04")</f>
        <v/>
      </c>
      <c r="F23" s="32">
        <f>SUMIFS(tInv[Amount],tInv[Job],"MF.2025.989-1 Springdale Cinema - Paint",tInv[Month],"2026-05")</f>
        <v/>
      </c>
      <c r="G23" s="52">
        <f>SUM(B23:F23)</f>
        <v/>
      </c>
    </row>
    <row r="24">
      <c r="A24" s="31" t="inlineStr">
        <is>
          <t>Priority Way Office</t>
        </is>
      </c>
      <c r="B24" s="32">
        <f>SUMIFS(tInv[Amount],tInv[Job],"Priority Way Office",tInv[Month],"2026-01")</f>
        <v/>
      </c>
      <c r="C24" s="32">
        <f>SUMIFS(tInv[Amount],tInv[Job],"Priority Way Office",tInv[Month],"2026-02")</f>
        <v/>
      </c>
      <c r="D24" s="32">
        <f>SUMIFS(tInv[Amount],tInv[Job],"Priority Way Office",tInv[Month],"2026-03")</f>
        <v/>
      </c>
      <c r="E24" s="32">
        <f>SUMIFS(tInv[Amount],tInv[Job],"Priority Way Office",tInv[Month],"2026-04")</f>
        <v/>
      </c>
      <c r="F24" s="32">
        <f>SUMIFS(tInv[Amount],tInv[Job],"Priority Way Office",tInv[Month],"2026-05")</f>
        <v/>
      </c>
      <c r="G24" s="52">
        <f>SUM(B24:F24)</f>
        <v/>
      </c>
    </row>
    <row r="25">
      <c r="A25" s="31" t="inlineStr">
        <is>
          <t>2025.1026 HNTB Buildout (Salesforce Tower)</t>
        </is>
      </c>
      <c r="B25" s="32">
        <f>SUMIFS(tInv[Amount],tInv[Job],"2025.1026 HNTB Buildout (Salesforce Tower)",tInv[Month],"2026-01")</f>
        <v/>
      </c>
      <c r="C25" s="32">
        <f>SUMIFS(tInv[Amount],tInv[Job],"2025.1026 HNTB Buildout (Salesforce Tower)",tInv[Month],"2026-02")</f>
        <v/>
      </c>
      <c r="D25" s="32">
        <f>SUMIFS(tInv[Amount],tInv[Job],"2025.1026 HNTB Buildout (Salesforce Tower)",tInv[Month],"2026-03")</f>
        <v/>
      </c>
      <c r="E25" s="32">
        <f>SUMIFS(tInv[Amount],tInv[Job],"2025.1026 HNTB Buildout (Salesforce Tower)",tInv[Month],"2026-04")</f>
        <v/>
      </c>
      <c r="F25" s="32">
        <f>SUMIFS(tInv[Amount],tInv[Job],"2025.1026 HNTB Buildout (Salesforce Tower)",tInv[Month],"2026-05")</f>
        <v/>
      </c>
      <c r="G25" s="52">
        <f>SUM(B25:F25)</f>
        <v/>
      </c>
    </row>
    <row r="26">
      <c r="A26" s="31" t="inlineStr">
        <is>
          <t>2026.1042 SND2 at ILP Bldg IV Whitestown</t>
        </is>
      </c>
      <c r="B26" s="32">
        <f>SUMIFS(tInv[Amount],tInv[Job],"2026.1042 SND2 at ILP Bldg IV Whitestown",tInv[Month],"2026-01")</f>
        <v/>
      </c>
      <c r="C26" s="32">
        <f>SUMIFS(tInv[Amount],tInv[Job],"2026.1042 SND2 at ILP Bldg IV Whitestown",tInv[Month],"2026-02")</f>
        <v/>
      </c>
      <c r="D26" s="32">
        <f>SUMIFS(tInv[Amount],tInv[Job],"2026.1042 SND2 at ILP Bldg IV Whitestown",tInv[Month],"2026-03")</f>
        <v/>
      </c>
      <c r="E26" s="32">
        <f>SUMIFS(tInv[Amount],tInv[Job],"2026.1042 SND2 at ILP Bldg IV Whitestown",tInv[Month],"2026-04")</f>
        <v/>
      </c>
      <c r="F26" s="32">
        <f>SUMIFS(tInv[Amount],tInv[Job],"2026.1042 SND2 at ILP Bldg IV Whitestown",tInv[Month],"2026-05")</f>
        <v/>
      </c>
      <c r="G26" s="52">
        <f>SUM(B26:F26)</f>
        <v/>
      </c>
    </row>
    <row r="27">
      <c r="A27" s="31" t="inlineStr">
        <is>
          <t>MF.2024.945 Encore Senior Living</t>
        </is>
      </c>
      <c r="B27" s="32">
        <f>SUMIFS(tInv[Amount],tInv[Job],"MF.2024.945 Encore Senior Living",tInv[Month],"2026-01")</f>
        <v/>
      </c>
      <c r="C27" s="32">
        <f>SUMIFS(tInv[Amount],tInv[Job],"MF.2024.945 Encore Senior Living",tInv[Month],"2026-02")</f>
        <v/>
      </c>
      <c r="D27" s="32">
        <f>SUMIFS(tInv[Amount],tInv[Job],"MF.2024.945 Encore Senior Living",tInv[Month],"2026-03")</f>
        <v/>
      </c>
      <c r="E27" s="32">
        <f>SUMIFS(tInv[Amount],tInv[Job],"MF.2024.945 Encore Senior Living",tInv[Month],"2026-04")</f>
        <v/>
      </c>
      <c r="F27" s="32">
        <f>SUMIFS(tInv[Amount],tInv[Job],"MF.2024.945 Encore Senior Living",tInv[Month],"2026-05")</f>
        <v/>
      </c>
      <c r="G27" s="52">
        <f>SUM(B27:F27)</f>
        <v/>
      </c>
    </row>
    <row r="28">
      <c r="A28" s="31" t="inlineStr">
        <is>
          <t>2024.950 Caterpillar Triple Crown</t>
        </is>
      </c>
      <c r="B28" s="32">
        <f>SUMIFS(tInv[Amount],tInv[Job],"2024.950 Caterpillar Triple Crown",tInv[Month],"2026-01")</f>
        <v/>
      </c>
      <c r="C28" s="32">
        <f>SUMIFS(tInv[Amount],tInv[Job],"2024.950 Caterpillar Triple Crown",tInv[Month],"2026-02")</f>
        <v/>
      </c>
      <c r="D28" s="32">
        <f>SUMIFS(tInv[Amount],tInv[Job],"2024.950 Caterpillar Triple Crown",tInv[Month],"2026-03")</f>
        <v/>
      </c>
      <c r="E28" s="32">
        <f>SUMIFS(tInv[Amount],tInv[Job],"2024.950 Caterpillar Triple Crown",tInv[Month],"2026-04")</f>
        <v/>
      </c>
      <c r="F28" s="32">
        <f>SUMIFS(tInv[Amount],tInv[Job],"2024.950 Caterpillar Triple Crown",tInv[Month],"2026-05")</f>
        <v/>
      </c>
      <c r="G28" s="52">
        <f>SUM(B28:F28)</f>
        <v/>
      </c>
    </row>
    <row r="29">
      <c r="A29" s="31" t="inlineStr">
        <is>
          <t>2025.994 Stotan Port Laredo Spec Offices</t>
        </is>
      </c>
      <c r="B29" s="32">
        <f>SUMIFS(tInv[Amount],tInv[Job],"2025.994 Stotan Port Laredo Spec Offices",tInv[Month],"2026-01")</f>
        <v/>
      </c>
      <c r="C29" s="32">
        <f>SUMIFS(tInv[Amount],tInv[Job],"2025.994 Stotan Port Laredo Spec Offices",tInv[Month],"2026-02")</f>
        <v/>
      </c>
      <c r="D29" s="32">
        <f>SUMIFS(tInv[Amount],tInv[Job],"2025.994 Stotan Port Laredo Spec Offices",tInv[Month],"2026-03")</f>
        <v/>
      </c>
      <c r="E29" s="32">
        <f>SUMIFS(tInv[Amount],tInv[Job],"2025.994 Stotan Port Laredo Spec Offices",tInv[Month],"2026-04")</f>
        <v/>
      </c>
      <c r="F29" s="32">
        <f>SUMIFS(tInv[Amount],tInv[Job],"2025.994 Stotan Port Laredo Spec Offices",tInv[Month],"2026-05")</f>
        <v/>
      </c>
      <c r="G29" s="52">
        <f>SUM(B29:F29)</f>
        <v/>
      </c>
    </row>
    <row r="30">
      <c r="A30" s="31" t="inlineStr">
        <is>
          <t>MF.2026.1050 AC Hotel</t>
        </is>
      </c>
      <c r="B30" s="32">
        <f>SUMIFS(tInv[Amount],tInv[Job],"MF.2026.1050 AC Hotel",tInv[Month],"2026-01")</f>
        <v/>
      </c>
      <c r="C30" s="32">
        <f>SUMIFS(tInv[Amount],tInv[Job],"MF.2026.1050 AC Hotel",tInv[Month],"2026-02")</f>
        <v/>
      </c>
      <c r="D30" s="32">
        <f>SUMIFS(tInv[Amount],tInv[Job],"MF.2026.1050 AC Hotel",tInv[Month],"2026-03")</f>
        <v/>
      </c>
      <c r="E30" s="32">
        <f>SUMIFS(tInv[Amount],tInv[Job],"MF.2026.1050 AC Hotel",tInv[Month],"2026-04")</f>
        <v/>
      </c>
      <c r="F30" s="32">
        <f>SUMIFS(tInv[Amount],tInv[Job],"MF.2026.1050 AC Hotel",tInv[Month],"2026-05")</f>
        <v/>
      </c>
      <c r="G30" s="52">
        <f>SUM(B30:F30)</f>
        <v/>
      </c>
    </row>
    <row r="31">
      <c r="A31" s="31" t="inlineStr">
        <is>
          <t>2026.1033 Avon Demising Wall</t>
        </is>
      </c>
      <c r="B31" s="32">
        <f>SUMIFS(tInv[Amount],tInv[Job],"2026.1033 Avon Demising Wall",tInv[Month],"2026-01")</f>
        <v/>
      </c>
      <c r="C31" s="32">
        <f>SUMIFS(tInv[Amount],tInv[Job],"2026.1033 Avon Demising Wall",tInv[Month],"2026-02")</f>
        <v/>
      </c>
      <c r="D31" s="32">
        <f>SUMIFS(tInv[Amount],tInv[Job],"2026.1033 Avon Demising Wall",tInv[Month],"2026-03")</f>
        <v/>
      </c>
      <c r="E31" s="32">
        <f>SUMIFS(tInv[Amount],tInv[Job],"2026.1033 Avon Demising Wall",tInv[Month],"2026-04")</f>
        <v/>
      </c>
      <c r="F31" s="32">
        <f>SUMIFS(tInv[Amount],tInv[Job],"2026.1033 Avon Demising Wall",tInv[Month],"2026-05")</f>
        <v/>
      </c>
      <c r="G31" s="52">
        <f>SUM(B31:F31)</f>
        <v/>
      </c>
    </row>
    <row r="32">
      <c r="A32" s="31" t="inlineStr">
        <is>
          <t>2024.909 Andretti Global HQ</t>
        </is>
      </c>
      <c r="B32" s="32">
        <f>SUMIFS(tInv[Amount],tInv[Job],"2024.909 Andretti Global HQ",tInv[Month],"2026-01")</f>
        <v/>
      </c>
      <c r="C32" s="32">
        <f>SUMIFS(tInv[Amount],tInv[Job],"2024.909 Andretti Global HQ",tInv[Month],"2026-02")</f>
        <v/>
      </c>
      <c r="D32" s="32">
        <f>SUMIFS(tInv[Amount],tInv[Job],"2024.909 Andretti Global HQ",tInv[Month],"2026-03")</f>
        <v/>
      </c>
      <c r="E32" s="32">
        <f>SUMIFS(tInv[Amount],tInv[Job],"2024.909 Andretti Global HQ",tInv[Month],"2026-04")</f>
        <v/>
      </c>
      <c r="F32" s="32">
        <f>SUMIFS(tInv[Amount],tInv[Job],"2024.909 Andretti Global HQ",tInv[Month],"2026-05")</f>
        <v/>
      </c>
      <c r="G32" s="52">
        <f>SUM(B32:F32)</f>
        <v/>
      </c>
    </row>
    <row r="33">
      <c r="A33" s="31" t="inlineStr">
        <is>
          <t>2026.1038 Artistic Composite Pallet Expansion</t>
        </is>
      </c>
      <c r="B33" s="32">
        <f>SUMIFS(tInv[Amount],tInv[Job],"2026.1038 Artistic Composite Pallet Expansion",tInv[Month],"2026-01")</f>
        <v/>
      </c>
      <c r="C33" s="32">
        <f>SUMIFS(tInv[Amount],tInv[Job],"2026.1038 Artistic Composite Pallet Expansion",tInv[Month],"2026-02")</f>
        <v/>
      </c>
      <c r="D33" s="32">
        <f>SUMIFS(tInv[Amount],tInv[Job],"2026.1038 Artistic Composite Pallet Expansion",tInv[Month],"2026-03")</f>
        <v/>
      </c>
      <c r="E33" s="32">
        <f>SUMIFS(tInv[Amount],tInv[Job],"2026.1038 Artistic Composite Pallet Expansion",tInv[Month],"2026-04")</f>
        <v/>
      </c>
      <c r="F33" s="32">
        <f>SUMIFS(tInv[Amount],tInv[Job],"2026.1038 Artistic Composite Pallet Expansion",tInv[Month],"2026-05")</f>
        <v/>
      </c>
      <c r="G33" s="52">
        <f>SUM(B33:F33)</f>
        <v/>
      </c>
    </row>
    <row r="34">
      <c r="A34" s="31" t="inlineStr">
        <is>
          <t>2025.1006 Keller Office</t>
        </is>
      </c>
      <c r="B34" s="32">
        <f>SUMIFS(tInv[Amount],tInv[Job],"2025.1006 Keller Office",tInv[Month],"2026-01")</f>
        <v/>
      </c>
      <c r="C34" s="32">
        <f>SUMIFS(tInv[Amount],tInv[Job],"2025.1006 Keller Office",tInv[Month],"2026-02")</f>
        <v/>
      </c>
      <c r="D34" s="32">
        <f>SUMIFS(tInv[Amount],tInv[Job],"2025.1006 Keller Office",tInv[Month],"2026-03")</f>
        <v/>
      </c>
      <c r="E34" s="32">
        <f>SUMIFS(tInv[Amount],tInv[Job],"2025.1006 Keller Office",tInv[Month],"2026-04")</f>
        <v/>
      </c>
      <c r="F34" s="32">
        <f>SUMIFS(tInv[Amount],tInv[Job],"2025.1006 Keller Office",tInv[Month],"2026-05")</f>
        <v/>
      </c>
      <c r="G34" s="52">
        <f>SUM(B34:F34)</f>
        <v/>
      </c>
    </row>
    <row r="35">
      <c r="A35" s="31" t="inlineStr">
        <is>
          <t>2026.1041 Whiteland Building 2 - Blackhawk</t>
        </is>
      </c>
      <c r="B35" s="32">
        <f>SUMIFS(tInv[Amount],tInv[Job],"2026.1041 Whiteland Building 2 - Blackhawk",tInv[Month],"2026-01")</f>
        <v/>
      </c>
      <c r="C35" s="32">
        <f>SUMIFS(tInv[Amount],tInv[Job],"2026.1041 Whiteland Building 2 - Blackhawk",tInv[Month],"2026-02")</f>
        <v/>
      </c>
      <c r="D35" s="32">
        <f>SUMIFS(tInv[Amount],tInv[Job],"2026.1041 Whiteland Building 2 - Blackhawk",tInv[Month],"2026-03")</f>
        <v/>
      </c>
      <c r="E35" s="32">
        <f>SUMIFS(tInv[Amount],tInv[Job],"2026.1041 Whiteland Building 2 - Blackhawk",tInv[Month],"2026-04")</f>
        <v/>
      </c>
      <c r="F35" s="32">
        <f>SUMIFS(tInv[Amount],tInv[Job],"2026.1041 Whiteland Building 2 - Blackhawk",tInv[Month],"2026-05")</f>
        <v/>
      </c>
      <c r="G35" s="52">
        <f>SUM(B35:F35)</f>
        <v/>
      </c>
    </row>
    <row r="36">
      <c r="A36" s="31" t="inlineStr">
        <is>
          <t>2026.1047 Springdale Building 4 Demising Walls</t>
        </is>
      </c>
      <c r="B36" s="32">
        <f>SUMIFS(tInv[Amount],tInv[Job],"2026.1047 Springdale Building 4 Demising Walls",tInv[Month],"2026-01")</f>
        <v/>
      </c>
      <c r="C36" s="32">
        <f>SUMIFS(tInv[Amount],tInv[Job],"2026.1047 Springdale Building 4 Demising Walls",tInv[Month],"2026-02")</f>
        <v/>
      </c>
      <c r="D36" s="32">
        <f>SUMIFS(tInv[Amount],tInv[Job],"2026.1047 Springdale Building 4 Demising Walls",tInv[Month],"2026-03")</f>
        <v/>
      </c>
      <c r="E36" s="32">
        <f>SUMIFS(tInv[Amount],tInv[Job],"2026.1047 Springdale Building 4 Demising Walls",tInv[Month],"2026-04")</f>
        <v/>
      </c>
      <c r="F36" s="32">
        <f>SUMIFS(tInv[Amount],tInv[Job],"2026.1047 Springdale Building 4 Demising Walls",tInv[Month],"2026-05")</f>
        <v/>
      </c>
      <c r="G36" s="52">
        <f>SUM(B36:F36)</f>
        <v/>
      </c>
    </row>
    <row r="37">
      <c r="A37" s="31" t="inlineStr">
        <is>
          <t>2025.1027 Indy Boat Co</t>
        </is>
      </c>
      <c r="B37" s="32">
        <f>SUMIFS(tInv[Amount],tInv[Job],"2025.1027 Indy Boat Co",tInv[Month],"2026-01")</f>
        <v/>
      </c>
      <c r="C37" s="32">
        <f>SUMIFS(tInv[Amount],tInv[Job],"2025.1027 Indy Boat Co",tInv[Month],"2026-02")</f>
        <v/>
      </c>
      <c r="D37" s="32">
        <f>SUMIFS(tInv[Amount],tInv[Job],"2025.1027 Indy Boat Co",tInv[Month],"2026-03")</f>
        <v/>
      </c>
      <c r="E37" s="32">
        <f>SUMIFS(tInv[Amount],tInv[Job],"2025.1027 Indy Boat Co",tInv[Month],"2026-04")</f>
        <v/>
      </c>
      <c r="F37" s="32">
        <f>SUMIFS(tInv[Amount],tInv[Job],"2025.1027 Indy Boat Co",tInv[Month],"2026-05")</f>
        <v/>
      </c>
      <c r="G37" s="52">
        <f>SUM(B37:F37)</f>
        <v/>
      </c>
    </row>
    <row r="38">
      <c r="A38" s="31" t="inlineStr">
        <is>
          <t>2026.1043 Deer Creek Building 1</t>
        </is>
      </c>
      <c r="B38" s="32">
        <f>SUMIFS(tInv[Amount],tInv[Job],"2026.1043 Deer Creek Building 1",tInv[Month],"2026-01")</f>
        <v/>
      </c>
      <c r="C38" s="32">
        <f>SUMIFS(tInv[Amount],tInv[Job],"2026.1043 Deer Creek Building 1",tInv[Month],"2026-02")</f>
        <v/>
      </c>
      <c r="D38" s="32">
        <f>SUMIFS(tInv[Amount],tInv[Job],"2026.1043 Deer Creek Building 1",tInv[Month],"2026-03")</f>
        <v/>
      </c>
      <c r="E38" s="32">
        <f>SUMIFS(tInv[Amount],tInv[Job],"2026.1043 Deer Creek Building 1",tInv[Month],"2026-04")</f>
        <v/>
      </c>
      <c r="F38" s="32">
        <f>SUMIFS(tInv[Amount],tInv[Job],"2026.1043 Deer Creek Building 1",tInv[Month],"2026-05")</f>
        <v/>
      </c>
      <c r="G38" s="52">
        <f>SUM(B38:F38)</f>
        <v/>
      </c>
    </row>
    <row r="39">
      <c r="A39" s="31" t="inlineStr">
        <is>
          <t>2026.1045 First OnSite (Ameriplex)</t>
        </is>
      </c>
      <c r="B39" s="32">
        <f>SUMIFS(tInv[Amount],tInv[Job],"2026.1045 First OnSite (Ameriplex)",tInv[Month],"2026-01")</f>
        <v/>
      </c>
      <c r="C39" s="32">
        <f>SUMIFS(tInv[Amount],tInv[Job],"2026.1045 First OnSite (Ameriplex)",tInv[Month],"2026-02")</f>
        <v/>
      </c>
      <c r="D39" s="32">
        <f>SUMIFS(tInv[Amount],tInv[Job],"2026.1045 First OnSite (Ameriplex)",tInv[Month],"2026-03")</f>
        <v/>
      </c>
      <c r="E39" s="32">
        <f>SUMIFS(tInv[Amount],tInv[Job],"2026.1045 First OnSite (Ameriplex)",tInv[Month],"2026-04")</f>
        <v/>
      </c>
      <c r="F39" s="32">
        <f>SUMIFS(tInv[Amount],tInv[Job],"2026.1045 First OnSite (Ameriplex)",tInv[Month],"2026-05")</f>
        <v/>
      </c>
      <c r="G39" s="52">
        <f>SUM(B39:F39)</f>
        <v/>
      </c>
    </row>
    <row r="40">
      <c r="A40" s="31" t="inlineStr">
        <is>
          <t>2026.1037 CV - Castle Rock</t>
        </is>
      </c>
      <c r="B40" s="32">
        <f>SUMIFS(tInv[Amount],tInv[Job],"2026.1037 CV - Castle Rock",tInv[Month],"2026-01")</f>
        <v/>
      </c>
      <c r="C40" s="32">
        <f>SUMIFS(tInv[Amount],tInv[Job],"2026.1037 CV - Castle Rock",tInv[Month],"2026-02")</f>
        <v/>
      </c>
      <c r="D40" s="32">
        <f>SUMIFS(tInv[Amount],tInv[Job],"2026.1037 CV - Castle Rock",tInv[Month],"2026-03")</f>
        <v/>
      </c>
      <c r="E40" s="32">
        <f>SUMIFS(tInv[Amount],tInv[Job],"2026.1037 CV - Castle Rock",tInv[Month],"2026-04")</f>
        <v/>
      </c>
      <c r="F40" s="32">
        <f>SUMIFS(tInv[Amount],tInv[Job],"2026.1037 CV - Castle Rock",tInv[Month],"2026-05")</f>
        <v/>
      </c>
      <c r="G40" s="52">
        <f>SUM(B40:F40)</f>
        <v/>
      </c>
    </row>
    <row r="41">
      <c r="A41" s="31" t="inlineStr">
        <is>
          <t>2026.1046 Automatic Distributors (Park 130 Bldg 6)</t>
        </is>
      </c>
      <c r="B41" s="32">
        <f>SUMIFS(tInv[Amount],tInv[Job],"2026.1046 Automatic Distributors (Park 130 Bldg 6)",tInv[Month],"2026-01")</f>
        <v/>
      </c>
      <c r="C41" s="32">
        <f>SUMIFS(tInv[Amount],tInv[Job],"2026.1046 Automatic Distributors (Park 130 Bldg 6)",tInv[Month],"2026-02")</f>
        <v/>
      </c>
      <c r="D41" s="32">
        <f>SUMIFS(tInv[Amount],tInv[Job],"2026.1046 Automatic Distributors (Park 130 Bldg 6)",tInv[Month],"2026-03")</f>
        <v/>
      </c>
      <c r="E41" s="32">
        <f>SUMIFS(tInv[Amount],tInv[Job],"2026.1046 Automatic Distributors (Park 130 Bldg 6)",tInv[Month],"2026-04")</f>
        <v/>
      </c>
      <c r="F41" s="32">
        <f>SUMIFS(tInv[Amount],tInv[Job],"2026.1046 Automatic Distributors (Park 130 Bldg 6)",tInv[Month],"2026-05")</f>
        <v/>
      </c>
      <c r="G41" s="52">
        <f>SUM(B41:F41)</f>
        <v/>
      </c>
    </row>
    <row r="42">
      <c r="A42" s="31" t="inlineStr">
        <is>
          <t>2025.967 Bunge Project Flex</t>
        </is>
      </c>
      <c r="B42" s="32">
        <f>SUMIFS(tInv[Amount],tInv[Job],"2025.967 Bunge Project Flex",tInv[Month],"2026-01")</f>
        <v/>
      </c>
      <c r="C42" s="32">
        <f>SUMIFS(tInv[Amount],tInv[Job],"2025.967 Bunge Project Flex",tInv[Month],"2026-02")</f>
        <v/>
      </c>
      <c r="D42" s="32">
        <f>SUMIFS(tInv[Amount],tInv[Job],"2025.967 Bunge Project Flex",tInv[Month],"2026-03")</f>
        <v/>
      </c>
      <c r="E42" s="32">
        <f>SUMIFS(tInv[Amount],tInv[Job],"2025.967 Bunge Project Flex",tInv[Month],"2026-04")</f>
        <v/>
      </c>
      <c r="F42" s="32">
        <f>SUMIFS(tInv[Amount],tInv[Job],"2025.967 Bunge Project Flex",tInv[Month],"2026-05")</f>
        <v/>
      </c>
      <c r="G42" s="52">
        <f>SUM(B42:F42)</f>
        <v/>
      </c>
    </row>
    <row r="43">
      <c r="A43" s="31" t="inlineStr">
        <is>
          <t>2026.1036 Port Laredo Trade Center</t>
        </is>
      </c>
      <c r="B43" s="32">
        <f>SUMIFS(tInv[Amount],tInv[Job],"2026.1036 Port Laredo Trade Center",tInv[Month],"2026-01")</f>
        <v/>
      </c>
      <c r="C43" s="32">
        <f>SUMIFS(tInv[Amount],tInv[Job],"2026.1036 Port Laredo Trade Center",tInv[Month],"2026-02")</f>
        <v/>
      </c>
      <c r="D43" s="32">
        <f>SUMIFS(tInv[Amount],tInv[Job],"2026.1036 Port Laredo Trade Center",tInv[Month],"2026-03")</f>
        <v/>
      </c>
      <c r="E43" s="32">
        <f>SUMIFS(tInv[Amount],tInv[Job],"2026.1036 Port Laredo Trade Center",tInv[Month],"2026-04")</f>
        <v/>
      </c>
      <c r="F43" s="32">
        <f>SUMIFS(tInv[Amount],tInv[Job],"2026.1036 Port Laredo Trade Center",tInv[Month],"2026-05")</f>
        <v/>
      </c>
      <c r="G43" s="52">
        <f>SUM(B43:F43)</f>
        <v/>
      </c>
    </row>
    <row r="44">
      <c r="A44" s="31" t="inlineStr">
        <is>
          <t>2025.1012 Airport South Logistics Bldg. B</t>
        </is>
      </c>
      <c r="B44" s="32">
        <f>SUMIFS(tInv[Amount],tInv[Job],"2025.1012 Airport South Logistics Bldg. B",tInv[Month],"2026-01")</f>
        <v/>
      </c>
      <c r="C44" s="32">
        <f>SUMIFS(tInv[Amount],tInv[Job],"2025.1012 Airport South Logistics Bldg. B",tInv[Month],"2026-02")</f>
        <v/>
      </c>
      <c r="D44" s="32">
        <f>SUMIFS(tInv[Amount],tInv[Job],"2025.1012 Airport South Logistics Bldg. B",tInv[Month],"2026-03")</f>
        <v/>
      </c>
      <c r="E44" s="32">
        <f>SUMIFS(tInv[Amount],tInv[Job],"2025.1012 Airport South Logistics Bldg. B",tInv[Month],"2026-04")</f>
        <v/>
      </c>
      <c r="F44" s="32">
        <f>SUMIFS(tInv[Amount],tInv[Job],"2025.1012 Airport South Logistics Bldg. B",tInv[Month],"2026-05")</f>
        <v/>
      </c>
      <c r="G44" s="52">
        <f>SUM(B44:F44)</f>
        <v/>
      </c>
    </row>
    <row r="45">
      <c r="A45" s="31" t="inlineStr">
        <is>
          <t>MF.2025.977 Civic Square Condos</t>
        </is>
      </c>
      <c r="B45" s="32">
        <f>SUMIFS(tInv[Amount],tInv[Job],"MF.2025.977 Civic Square Condos",tInv[Month],"2026-01")</f>
        <v/>
      </c>
      <c r="C45" s="32">
        <f>SUMIFS(tInv[Amount],tInv[Job],"MF.2025.977 Civic Square Condos",tInv[Month],"2026-02")</f>
        <v/>
      </c>
      <c r="D45" s="32">
        <f>SUMIFS(tInv[Amount],tInv[Job],"MF.2025.977 Civic Square Condos",tInv[Month],"2026-03")</f>
        <v/>
      </c>
      <c r="E45" s="32">
        <f>SUMIFS(tInv[Amount],tInv[Job],"MF.2025.977 Civic Square Condos",tInv[Month],"2026-04")</f>
        <v/>
      </c>
      <c r="F45" s="32">
        <f>SUMIFS(tInv[Amount],tInv[Job],"MF.2025.977 Civic Square Condos",tInv[Month],"2026-05")</f>
        <v/>
      </c>
      <c r="G45" s="52">
        <f>SUM(B45:F45)</f>
        <v/>
      </c>
    </row>
    <row r="46">
      <c r="A46" s="31" t="inlineStr">
        <is>
          <t>MF.2025.975 The Eleven - Monon Square</t>
        </is>
      </c>
      <c r="B46" s="32">
        <f>SUMIFS(tInv[Amount],tInv[Job],"MF.2025.975 The Eleven - Monon Square",tInv[Month],"2026-01")</f>
        <v/>
      </c>
      <c r="C46" s="32">
        <f>SUMIFS(tInv[Amount],tInv[Job],"MF.2025.975 The Eleven - Monon Square",tInv[Month],"2026-02")</f>
        <v/>
      </c>
      <c r="D46" s="32">
        <f>SUMIFS(tInv[Amount],tInv[Job],"MF.2025.975 The Eleven - Monon Square",tInv[Month],"2026-03")</f>
        <v/>
      </c>
      <c r="E46" s="32">
        <f>SUMIFS(tInv[Amount],tInv[Job],"MF.2025.975 The Eleven - Monon Square",tInv[Month],"2026-04")</f>
        <v/>
      </c>
      <c r="F46" s="32">
        <f>SUMIFS(tInv[Amount],tInv[Job],"MF.2025.975 The Eleven - Monon Square",tInv[Month],"2026-05")</f>
        <v/>
      </c>
      <c r="G46" s="52">
        <f>SUM(B46:F46)</f>
        <v/>
      </c>
    </row>
    <row r="47">
      <c r="A47" s="31" t="inlineStr">
        <is>
          <t>2025.1032 65 Commerce Park Building 7</t>
        </is>
      </c>
      <c r="B47" s="32">
        <f>SUMIFS(tInv[Amount],tInv[Job],"2025.1032 65 Commerce Park Building 7",tInv[Month],"2026-01")</f>
        <v/>
      </c>
      <c r="C47" s="32">
        <f>SUMIFS(tInv[Amount],tInv[Job],"2025.1032 65 Commerce Park Building 7",tInv[Month],"2026-02")</f>
        <v/>
      </c>
      <c r="D47" s="32">
        <f>SUMIFS(tInv[Amount],tInv[Job],"2025.1032 65 Commerce Park Building 7",tInv[Month],"2026-03")</f>
        <v/>
      </c>
      <c r="E47" s="32">
        <f>SUMIFS(tInv[Amount],tInv[Job],"2025.1032 65 Commerce Park Building 7",tInv[Month],"2026-04")</f>
        <v/>
      </c>
      <c r="F47" s="32">
        <f>SUMIFS(tInv[Amount],tInv[Job],"2025.1032 65 Commerce Park Building 7",tInv[Month],"2026-05")</f>
        <v/>
      </c>
      <c r="G47" s="52">
        <f>SUM(B47:F47)</f>
        <v/>
      </c>
    </row>
    <row r="48">
      <c r="A48" s="31" t="inlineStr">
        <is>
          <t>2025.981 Fort Ben - Foamcraft</t>
        </is>
      </c>
      <c r="B48" s="32">
        <f>SUMIFS(tInv[Amount],tInv[Job],"2025.981 Fort Ben - Foamcraft",tInv[Month],"2026-01")</f>
        <v/>
      </c>
      <c r="C48" s="32">
        <f>SUMIFS(tInv[Amount],tInv[Job],"2025.981 Fort Ben - Foamcraft",tInv[Month],"2026-02")</f>
        <v/>
      </c>
      <c r="D48" s="32">
        <f>SUMIFS(tInv[Amount],tInv[Job],"2025.981 Fort Ben - Foamcraft",tInv[Month],"2026-03")</f>
        <v/>
      </c>
      <c r="E48" s="32">
        <f>SUMIFS(tInv[Amount],tInv[Job],"2025.981 Fort Ben - Foamcraft",tInv[Month],"2026-04")</f>
        <v/>
      </c>
      <c r="F48" s="32">
        <f>SUMIFS(tInv[Amount],tInv[Job],"2025.981 Fort Ben - Foamcraft",tInv[Month],"2026-05")</f>
        <v/>
      </c>
      <c r="G48" s="52">
        <f>SUM(B48:F48)</f>
        <v/>
      </c>
    </row>
    <row r="49">
      <c r="A49" s="31" t="inlineStr">
        <is>
          <t>MF.2025.976 Firefly Youth Housing</t>
        </is>
      </c>
      <c r="B49" s="32">
        <f>SUMIFS(tInv[Amount],tInv[Job],"MF.2025.976 Firefly Youth Housing",tInv[Month],"2026-01")</f>
        <v/>
      </c>
      <c r="C49" s="32">
        <f>SUMIFS(tInv[Amount],tInv[Job],"MF.2025.976 Firefly Youth Housing",tInv[Month],"2026-02")</f>
        <v/>
      </c>
      <c r="D49" s="32">
        <f>SUMIFS(tInv[Amount],tInv[Job],"MF.2025.976 Firefly Youth Housing",tInv[Month],"2026-03")</f>
        <v/>
      </c>
      <c r="E49" s="32">
        <f>SUMIFS(tInv[Amount],tInv[Job],"MF.2025.976 Firefly Youth Housing",tInv[Month],"2026-04")</f>
        <v/>
      </c>
      <c r="F49" s="32">
        <f>SUMIFS(tInv[Amount],tInv[Job],"MF.2025.976 Firefly Youth Housing",tInv[Month],"2026-05")</f>
        <v/>
      </c>
      <c r="G49" s="52">
        <f>SUM(B49:F49)</f>
        <v/>
      </c>
    </row>
    <row r="50">
      <c r="A50" s="31" t="inlineStr">
        <is>
          <t>2023.839 Hamilton County National Guard Readiness Center</t>
        </is>
      </c>
      <c r="B50" s="32">
        <f>SUMIFS(tInv[Amount],tInv[Job],"2023.839 Hamilton County National Guard Readiness Center",tInv[Month],"2026-01")</f>
        <v/>
      </c>
      <c r="C50" s="32">
        <f>SUMIFS(tInv[Amount],tInv[Job],"2023.839 Hamilton County National Guard Readiness Center",tInv[Month],"2026-02")</f>
        <v/>
      </c>
      <c r="D50" s="32">
        <f>SUMIFS(tInv[Amount],tInv[Job],"2023.839 Hamilton County National Guard Readiness Center",tInv[Month],"2026-03")</f>
        <v/>
      </c>
      <c r="E50" s="32">
        <f>SUMIFS(tInv[Amount],tInv[Job],"2023.839 Hamilton County National Guard Readiness Center",tInv[Month],"2026-04")</f>
        <v/>
      </c>
      <c r="F50" s="32">
        <f>SUMIFS(tInv[Amount],tInv[Job],"2023.839 Hamilton County National Guard Readiness Center",tInv[Month],"2026-05")</f>
        <v/>
      </c>
      <c r="G50" s="52">
        <f>SUM(B50:F50)</f>
        <v/>
      </c>
    </row>
    <row r="51">
      <c r="A51" s="31" t="inlineStr">
        <is>
          <t>2025.1015 WBP Lot 4</t>
        </is>
      </c>
      <c r="B51" s="32">
        <f>SUMIFS(tInv[Amount],tInv[Job],"2025.1015 WBP Lot 4",tInv[Month],"2026-01")</f>
        <v/>
      </c>
      <c r="C51" s="32">
        <f>SUMIFS(tInv[Amount],tInv[Job],"2025.1015 WBP Lot 4",tInv[Month],"2026-02")</f>
        <v/>
      </c>
      <c r="D51" s="32">
        <f>SUMIFS(tInv[Amount],tInv[Job],"2025.1015 WBP Lot 4",tInv[Month],"2026-03")</f>
        <v/>
      </c>
      <c r="E51" s="32">
        <f>SUMIFS(tInv[Amount],tInv[Job],"2025.1015 WBP Lot 4",tInv[Month],"2026-04")</f>
        <v/>
      </c>
      <c r="F51" s="32">
        <f>SUMIFS(tInv[Amount],tInv[Job],"2025.1015 WBP Lot 4",tInv[Month],"2026-05")</f>
        <v/>
      </c>
      <c r="G51" s="52">
        <f>SUM(B51:F51)</f>
        <v/>
      </c>
    </row>
    <row r="52">
      <c r="A52" s="31" t="inlineStr">
        <is>
          <t>2025.966 C5 Bullitt III Logistics Center Warehouse</t>
        </is>
      </c>
      <c r="B52" s="32">
        <f>SUMIFS(tInv[Amount],tInv[Job],"2025.966 C5 Bullitt III Logistics Center Warehouse",tInv[Month],"2026-01")</f>
        <v/>
      </c>
      <c r="C52" s="32">
        <f>SUMIFS(tInv[Amount],tInv[Job],"2025.966 C5 Bullitt III Logistics Center Warehouse",tInv[Month],"2026-02")</f>
        <v/>
      </c>
      <c r="D52" s="32">
        <f>SUMIFS(tInv[Amount],tInv[Job],"2025.966 C5 Bullitt III Logistics Center Warehouse",tInv[Month],"2026-03")</f>
        <v/>
      </c>
      <c r="E52" s="32">
        <f>SUMIFS(tInv[Amount],tInv[Job],"2025.966 C5 Bullitt III Logistics Center Warehouse",tInv[Month],"2026-04")</f>
        <v/>
      </c>
      <c r="F52" s="32">
        <f>SUMIFS(tInv[Amount],tInv[Job],"2025.966 C5 Bullitt III Logistics Center Warehouse",tInv[Month],"2026-05")</f>
        <v/>
      </c>
      <c r="G52" s="52">
        <f>SUM(B52:F52)</f>
        <v/>
      </c>
    </row>
    <row r="53">
      <c r="A53" s="31" t="inlineStr">
        <is>
          <t>2026.1034 Stella's Ice Cream Shop</t>
        </is>
      </c>
      <c r="B53" s="32">
        <f>SUMIFS(tInv[Amount],tInv[Job],"2026.1034 Stella's Ice Cream Shop",tInv[Month],"2026-01")</f>
        <v/>
      </c>
      <c r="C53" s="32">
        <f>SUMIFS(tInv[Amount],tInv[Job],"2026.1034 Stella's Ice Cream Shop",tInv[Month],"2026-02")</f>
        <v/>
      </c>
      <c r="D53" s="32">
        <f>SUMIFS(tInv[Amount],tInv[Job],"2026.1034 Stella's Ice Cream Shop",tInv[Month],"2026-03")</f>
        <v/>
      </c>
      <c r="E53" s="32">
        <f>SUMIFS(tInv[Amount],tInv[Job],"2026.1034 Stella's Ice Cream Shop",tInv[Month],"2026-04")</f>
        <v/>
      </c>
      <c r="F53" s="32">
        <f>SUMIFS(tInv[Amount],tInv[Job],"2026.1034 Stella's Ice Cream Shop",tInv[Month],"2026-05")</f>
        <v/>
      </c>
      <c r="G53" s="52">
        <f>SUM(B53:F53)</f>
        <v/>
      </c>
    </row>
    <row r="54">
      <c r="A54" s="31" t="inlineStr">
        <is>
          <t>2025.1016 WBP Lot C</t>
        </is>
      </c>
      <c r="B54" s="32">
        <f>SUMIFS(tInv[Amount],tInv[Job],"2025.1016 WBP Lot C",tInv[Month],"2026-01")</f>
        <v/>
      </c>
      <c r="C54" s="32">
        <f>SUMIFS(tInv[Amount],tInv[Job],"2025.1016 WBP Lot C",tInv[Month],"2026-02")</f>
        <v/>
      </c>
      <c r="D54" s="32">
        <f>SUMIFS(tInv[Amount],tInv[Job],"2025.1016 WBP Lot C",tInv[Month],"2026-03")</f>
        <v/>
      </c>
      <c r="E54" s="32">
        <f>SUMIFS(tInv[Amount],tInv[Job],"2025.1016 WBP Lot C",tInv[Month],"2026-04")</f>
        <v/>
      </c>
      <c r="F54" s="32">
        <f>SUMIFS(tInv[Amount],tInv[Job],"2025.1016 WBP Lot C",tInv[Month],"2026-05")</f>
        <v/>
      </c>
      <c r="G54" s="52">
        <f>SUM(B54:F54)</f>
        <v/>
      </c>
    </row>
    <row r="55">
      <c r="A55" s="31" t="inlineStr">
        <is>
          <t>2025.979 Groundbreakers</t>
        </is>
      </c>
      <c r="B55" s="32">
        <f>SUMIFS(tInv[Amount],tInv[Job],"2025.979 Groundbreakers",tInv[Month],"2026-01")</f>
        <v/>
      </c>
      <c r="C55" s="32">
        <f>SUMIFS(tInv[Amount],tInv[Job],"2025.979 Groundbreakers",tInv[Month],"2026-02")</f>
        <v/>
      </c>
      <c r="D55" s="32">
        <f>SUMIFS(tInv[Amount],tInv[Job],"2025.979 Groundbreakers",tInv[Month],"2026-03")</f>
        <v/>
      </c>
      <c r="E55" s="32">
        <f>SUMIFS(tInv[Amount],tInv[Job],"2025.979 Groundbreakers",tInv[Month],"2026-04")</f>
        <v/>
      </c>
      <c r="F55" s="32">
        <f>SUMIFS(tInv[Amount],tInv[Job],"2025.979 Groundbreakers",tInv[Month],"2026-05")</f>
        <v/>
      </c>
      <c r="G55" s="52">
        <f>SUM(B55:F55)</f>
        <v/>
      </c>
    </row>
    <row r="56">
      <c r="A56" s="31" t="inlineStr">
        <is>
          <t>2025.1013 Lucas Oil Corydon</t>
        </is>
      </c>
      <c r="B56" s="32">
        <f>SUMIFS(tInv[Amount],tInv[Job],"2025.1013 Lucas Oil Corydon",tInv[Month],"2026-01")</f>
        <v/>
      </c>
      <c r="C56" s="32">
        <f>SUMIFS(tInv[Amount],tInv[Job],"2025.1013 Lucas Oil Corydon",tInv[Month],"2026-02")</f>
        <v/>
      </c>
      <c r="D56" s="32">
        <f>SUMIFS(tInv[Amount],tInv[Job],"2025.1013 Lucas Oil Corydon",tInv[Month],"2026-03")</f>
        <v/>
      </c>
      <c r="E56" s="32">
        <f>SUMIFS(tInv[Amount],tInv[Job],"2025.1013 Lucas Oil Corydon",tInv[Month],"2026-04")</f>
        <v/>
      </c>
      <c r="F56" s="32">
        <f>SUMIFS(tInv[Amount],tInv[Job],"2025.1013 Lucas Oil Corydon",tInv[Month],"2026-05")</f>
        <v/>
      </c>
      <c r="G56" s="52">
        <f>SUM(B56:F56)</f>
        <v/>
      </c>
    </row>
    <row r="57">
      <c r="A57" s="31" t="inlineStr">
        <is>
          <t>2024.913 Walmart Phoenix</t>
        </is>
      </c>
      <c r="B57" s="32">
        <f>SUMIFS(tInv[Amount],tInv[Job],"2024.913 Walmart Phoenix",tInv[Month],"2026-01")</f>
        <v/>
      </c>
      <c r="C57" s="32">
        <f>SUMIFS(tInv[Amount],tInv[Job],"2024.913 Walmart Phoenix",tInv[Month],"2026-02")</f>
        <v/>
      </c>
      <c r="D57" s="32">
        <f>SUMIFS(tInv[Amount],tInv[Job],"2024.913 Walmart Phoenix",tInv[Month],"2026-03")</f>
        <v/>
      </c>
      <c r="E57" s="32">
        <f>SUMIFS(tInv[Amount],tInv[Job],"2024.913 Walmart Phoenix",tInv[Month],"2026-04")</f>
        <v/>
      </c>
      <c r="F57" s="32">
        <f>SUMIFS(tInv[Amount],tInv[Job],"2024.913 Walmart Phoenix",tInv[Month],"2026-05")</f>
        <v/>
      </c>
      <c r="G57" s="52">
        <f>SUM(B57:F57)</f>
        <v/>
      </c>
    </row>
    <row r="58">
      <c r="A58" s="31" t="inlineStr">
        <is>
          <t>2023.843 Walmart Frederick</t>
        </is>
      </c>
      <c r="B58" s="32">
        <f>SUMIFS(tInv[Amount],tInv[Job],"2023.843 Walmart Frederick",tInv[Month],"2026-01")</f>
        <v/>
      </c>
      <c r="C58" s="32">
        <f>SUMIFS(tInv[Amount],tInv[Job],"2023.843 Walmart Frederick",tInv[Month],"2026-02")</f>
        <v/>
      </c>
      <c r="D58" s="32">
        <f>SUMIFS(tInv[Amount],tInv[Job],"2023.843 Walmart Frederick",tInv[Month],"2026-03")</f>
        <v/>
      </c>
      <c r="E58" s="32">
        <f>SUMIFS(tInv[Amount],tInv[Job],"2023.843 Walmart Frederick",tInv[Month],"2026-04")</f>
        <v/>
      </c>
      <c r="F58" s="32">
        <f>SUMIFS(tInv[Amount],tInv[Job],"2023.843 Walmart Frederick",tInv[Month],"2026-05")</f>
        <v/>
      </c>
      <c r="G58" s="52">
        <f>SUM(B58:F58)</f>
        <v/>
      </c>
    </row>
    <row r="59">
      <c r="A59" s="31" t="inlineStr">
        <is>
          <t>DS.2026.2404 Flores Sandhu Res</t>
        </is>
      </c>
      <c r="B59" s="32">
        <f>SUMIFS(tInv[Amount],tInv[Job],"DS.2026.2404 Flores Sandhu Res",tInv[Month],"2026-01")</f>
        <v/>
      </c>
      <c r="C59" s="32">
        <f>SUMIFS(tInv[Amount],tInv[Job],"DS.2026.2404 Flores Sandhu Res",tInv[Month],"2026-02")</f>
        <v/>
      </c>
      <c r="D59" s="32">
        <f>SUMIFS(tInv[Amount],tInv[Job],"DS.2026.2404 Flores Sandhu Res",tInv[Month],"2026-03")</f>
        <v/>
      </c>
      <c r="E59" s="32">
        <f>SUMIFS(tInv[Amount],tInv[Job],"DS.2026.2404 Flores Sandhu Res",tInv[Month],"2026-04")</f>
        <v/>
      </c>
      <c r="F59" s="32">
        <f>SUMIFS(tInv[Amount],tInv[Job],"DS.2026.2404 Flores Sandhu Res",tInv[Month],"2026-05")</f>
        <v/>
      </c>
      <c r="G59" s="52">
        <f>SUM(B59:F59)</f>
        <v/>
      </c>
    </row>
    <row r="60">
      <c r="A60" s="31" t="inlineStr">
        <is>
          <t>2026.1056 Senator Banks Office</t>
        </is>
      </c>
      <c r="B60" s="32">
        <f>SUMIFS(tInv[Amount],tInv[Job],"2026.1056 Senator Banks Office",tInv[Month],"2026-01")</f>
        <v/>
      </c>
      <c r="C60" s="32">
        <f>SUMIFS(tInv[Amount],tInv[Job],"2026.1056 Senator Banks Office",tInv[Month],"2026-02")</f>
        <v/>
      </c>
      <c r="D60" s="32">
        <f>SUMIFS(tInv[Amount],tInv[Job],"2026.1056 Senator Banks Office",tInv[Month],"2026-03")</f>
        <v/>
      </c>
      <c r="E60" s="32">
        <f>SUMIFS(tInv[Amount],tInv[Job],"2026.1056 Senator Banks Office",tInv[Month],"2026-04")</f>
        <v/>
      </c>
      <c r="F60" s="32">
        <f>SUMIFS(tInv[Amount],tInv[Job],"2026.1056 Senator Banks Office",tInv[Month],"2026-05")</f>
        <v/>
      </c>
      <c r="G60" s="52">
        <f>SUM(B60:F60)</f>
        <v/>
      </c>
    </row>
    <row r="61">
      <c r="A61" s="31" t="inlineStr">
        <is>
          <t>DS.2026.2387 0204 Jose Irachetta</t>
        </is>
      </c>
      <c r="B61" s="32">
        <f>SUMIFS(tInv[Amount],tInv[Job],"DS.2026.2387 0204 Jose Irachetta",tInv[Month],"2026-01")</f>
        <v/>
      </c>
      <c r="C61" s="32">
        <f>SUMIFS(tInv[Amount],tInv[Job],"DS.2026.2387 0204 Jose Irachetta",tInv[Month],"2026-02")</f>
        <v/>
      </c>
      <c r="D61" s="32">
        <f>SUMIFS(tInv[Amount],tInv[Job],"DS.2026.2387 0204 Jose Irachetta",tInv[Month],"2026-03")</f>
        <v/>
      </c>
      <c r="E61" s="32">
        <f>SUMIFS(tInv[Amount],tInv[Job],"DS.2026.2387 0204 Jose Irachetta",tInv[Month],"2026-04")</f>
        <v/>
      </c>
      <c r="F61" s="32">
        <f>SUMIFS(tInv[Amount],tInv[Job],"DS.2026.2387 0204 Jose Irachetta",tInv[Month],"2026-05")</f>
        <v/>
      </c>
      <c r="G61" s="52">
        <f>SUM(B61:F61)</f>
        <v/>
      </c>
    </row>
    <row r="62">
      <c r="A62" s="31" t="inlineStr">
        <is>
          <t>2025.1025 Park 100 - Building 22</t>
        </is>
      </c>
      <c r="B62" s="32">
        <f>SUMIFS(tInv[Amount],tInv[Job],"2025.1025 Park 100 - Building 22",tInv[Month],"2026-01")</f>
        <v/>
      </c>
      <c r="C62" s="32">
        <f>SUMIFS(tInv[Amount],tInv[Job],"2025.1025 Park 100 - Building 22",tInv[Month],"2026-02")</f>
        <v/>
      </c>
      <c r="D62" s="32">
        <f>SUMIFS(tInv[Amount],tInv[Job],"2025.1025 Park 100 - Building 22",tInv[Month],"2026-03")</f>
        <v/>
      </c>
      <c r="E62" s="32">
        <f>SUMIFS(tInv[Amount],tInv[Job],"2025.1025 Park 100 - Building 22",tInv[Month],"2026-04")</f>
        <v/>
      </c>
      <c r="F62" s="32">
        <f>SUMIFS(tInv[Amount],tInv[Job],"2025.1025 Park 100 - Building 22",tInv[Month],"2026-05")</f>
        <v/>
      </c>
      <c r="G62" s="52">
        <f>SUM(B62:F62)</f>
        <v/>
      </c>
    </row>
    <row r="63">
      <c r="A63" s="31" t="inlineStr">
        <is>
          <t>DS.2026.2376 5724 E Southport Rd</t>
        </is>
      </c>
      <c r="B63" s="32">
        <f>SUMIFS(tInv[Amount],tInv[Job],"DS.2026.2376 5724 E Southport Rd",tInv[Month],"2026-01")</f>
        <v/>
      </c>
      <c r="C63" s="32">
        <f>SUMIFS(tInv[Amount],tInv[Job],"DS.2026.2376 5724 E Southport Rd",tInv[Month],"2026-02")</f>
        <v/>
      </c>
      <c r="D63" s="32">
        <f>SUMIFS(tInv[Amount],tInv[Job],"DS.2026.2376 5724 E Southport Rd",tInv[Month],"2026-03")</f>
        <v/>
      </c>
      <c r="E63" s="32">
        <f>SUMIFS(tInv[Amount],tInv[Job],"DS.2026.2376 5724 E Southport Rd",tInv[Month],"2026-04")</f>
        <v/>
      </c>
      <c r="F63" s="32">
        <f>SUMIFS(tInv[Amount],tInv[Job],"DS.2026.2376 5724 E Southport Rd",tInv[Month],"2026-05")</f>
        <v/>
      </c>
      <c r="G63" s="52">
        <f>SUM(B63:F63)</f>
        <v/>
      </c>
    </row>
    <row r="64">
      <c r="A64" s="31" t="inlineStr">
        <is>
          <t>2025.1028 Northpoint</t>
        </is>
      </c>
      <c r="B64" s="32">
        <f>SUMIFS(tInv[Amount],tInv[Job],"2025.1028 Northpoint",tInv[Month],"2026-01")</f>
        <v/>
      </c>
      <c r="C64" s="32">
        <f>SUMIFS(tInv[Amount],tInv[Job],"2025.1028 Northpoint",tInv[Month],"2026-02")</f>
        <v/>
      </c>
      <c r="D64" s="32">
        <f>SUMIFS(tInv[Amount],tInv[Job],"2025.1028 Northpoint",tInv[Month],"2026-03")</f>
        <v/>
      </c>
      <c r="E64" s="32">
        <f>SUMIFS(tInv[Amount],tInv[Job],"2025.1028 Northpoint",tInv[Month],"2026-04")</f>
        <v/>
      </c>
      <c r="F64" s="32">
        <f>SUMIFS(tInv[Amount],tInv[Job],"2025.1028 Northpoint",tInv[Month],"2026-05")</f>
        <v/>
      </c>
      <c r="G64" s="52">
        <f>SUM(B64:F64)</f>
        <v/>
      </c>
    </row>
    <row r="65">
      <c r="A65" s="31" t="inlineStr">
        <is>
          <t>2025.993 Batesville Public Library</t>
        </is>
      </c>
      <c r="B65" s="32">
        <f>SUMIFS(tInv[Amount],tInv[Job],"2025.993 Batesville Public Library",tInv[Month],"2026-01")</f>
        <v/>
      </c>
      <c r="C65" s="32">
        <f>SUMIFS(tInv[Amount],tInv[Job],"2025.993 Batesville Public Library",tInv[Month],"2026-02")</f>
        <v/>
      </c>
      <c r="D65" s="32">
        <f>SUMIFS(tInv[Amount],tInv[Job],"2025.993 Batesville Public Library",tInv[Month],"2026-03")</f>
        <v/>
      </c>
      <c r="E65" s="32">
        <f>SUMIFS(tInv[Amount],tInv[Job],"2025.993 Batesville Public Library",tInv[Month],"2026-04")</f>
        <v/>
      </c>
      <c r="F65" s="32">
        <f>SUMIFS(tInv[Amount],tInv[Job],"2025.993 Batesville Public Library",tInv[Month],"2026-05")</f>
        <v/>
      </c>
      <c r="G65" s="52">
        <f>SUM(B65:F65)</f>
        <v/>
      </c>
    </row>
    <row r="66">
      <c r="A66" s="31" t="inlineStr">
        <is>
          <t>DS.2026.2406 Premier Custom Homes Quote</t>
        </is>
      </c>
      <c r="B66" s="32">
        <f>SUMIFS(tInv[Amount],tInv[Job],"DS.2026.2406 Premier Custom Homes Quote",tInv[Month],"2026-01")</f>
        <v/>
      </c>
      <c r="C66" s="32">
        <f>SUMIFS(tInv[Amount],tInv[Job],"DS.2026.2406 Premier Custom Homes Quote",tInv[Month],"2026-02")</f>
        <v/>
      </c>
      <c r="D66" s="32">
        <f>SUMIFS(tInv[Amount],tInv[Job],"DS.2026.2406 Premier Custom Homes Quote",tInv[Month],"2026-03")</f>
        <v/>
      </c>
      <c r="E66" s="32">
        <f>SUMIFS(tInv[Amount],tInv[Job],"DS.2026.2406 Premier Custom Homes Quote",tInv[Month],"2026-04")</f>
        <v/>
      </c>
      <c r="F66" s="32">
        <f>SUMIFS(tInv[Amount],tInv[Job],"DS.2026.2406 Premier Custom Homes Quote",tInv[Month],"2026-05")</f>
        <v/>
      </c>
      <c r="G66" s="52">
        <f>SUM(B66:F66)</f>
        <v/>
      </c>
    </row>
    <row r="67">
      <c r="A67" s="31" t="inlineStr">
        <is>
          <t>2024.929 DEEM Warehouse</t>
        </is>
      </c>
      <c r="B67" s="32">
        <f>SUMIFS(tInv[Amount],tInv[Job],"2024.929 DEEM Warehouse",tInv[Month],"2026-01")</f>
        <v/>
      </c>
      <c r="C67" s="32">
        <f>SUMIFS(tInv[Amount],tInv[Job],"2024.929 DEEM Warehouse",tInv[Month],"2026-02")</f>
        <v/>
      </c>
      <c r="D67" s="32">
        <f>SUMIFS(tInv[Amount],tInv[Job],"2024.929 DEEM Warehouse",tInv[Month],"2026-03")</f>
        <v/>
      </c>
      <c r="E67" s="32">
        <f>SUMIFS(tInv[Amount],tInv[Job],"2024.929 DEEM Warehouse",tInv[Month],"2026-04")</f>
        <v/>
      </c>
      <c r="F67" s="32">
        <f>SUMIFS(tInv[Amount],tInv[Job],"2024.929 DEEM Warehouse",tInv[Month],"2026-05")</f>
        <v/>
      </c>
      <c r="G67" s="52">
        <f>SUM(B67:F67)</f>
        <v/>
      </c>
    </row>
    <row r="68">
      <c r="A68" s="31" t="inlineStr">
        <is>
          <t>2025.1021 Convivio</t>
        </is>
      </c>
      <c r="B68" s="32">
        <f>SUMIFS(tInv[Amount],tInv[Job],"2025.1021 Convivio",tInv[Month],"2026-01")</f>
        <v/>
      </c>
      <c r="C68" s="32">
        <f>SUMIFS(tInv[Amount],tInv[Job],"2025.1021 Convivio",tInv[Month],"2026-02")</f>
        <v/>
      </c>
      <c r="D68" s="32">
        <f>SUMIFS(tInv[Amount],tInv[Job],"2025.1021 Convivio",tInv[Month],"2026-03")</f>
        <v/>
      </c>
      <c r="E68" s="32">
        <f>SUMIFS(tInv[Amount],tInv[Job],"2025.1021 Convivio",tInv[Month],"2026-04")</f>
        <v/>
      </c>
      <c r="F68" s="32">
        <f>SUMIFS(tInv[Amount],tInv[Job],"2025.1021 Convivio",tInv[Month],"2026-05")</f>
        <v/>
      </c>
      <c r="G68" s="52">
        <f>SUM(B68:F68)</f>
        <v/>
      </c>
    </row>
    <row r="69">
      <c r="A69" s="31" t="inlineStr">
        <is>
          <t>DS.2026.2432 Liberty Assisted LIving 0528</t>
        </is>
      </c>
      <c r="B69" s="32">
        <f>SUMIFS(tInv[Amount],tInv[Job],"DS.2026.2432 Liberty Assisted LIving 0528",tInv[Month],"2026-01")</f>
        <v/>
      </c>
      <c r="C69" s="32">
        <f>SUMIFS(tInv[Amount],tInv[Job],"DS.2026.2432 Liberty Assisted LIving 0528",tInv[Month],"2026-02")</f>
        <v/>
      </c>
      <c r="D69" s="32">
        <f>SUMIFS(tInv[Amount],tInv[Job],"DS.2026.2432 Liberty Assisted LIving 0528",tInv[Month],"2026-03")</f>
        <v/>
      </c>
      <c r="E69" s="32">
        <f>SUMIFS(tInv[Amount],tInv[Job],"DS.2026.2432 Liberty Assisted LIving 0528",tInv[Month],"2026-04")</f>
        <v/>
      </c>
      <c r="F69" s="32">
        <f>SUMIFS(tInv[Amount],tInv[Job],"DS.2026.2432 Liberty Assisted LIving 0528",tInv[Month],"2026-05")</f>
        <v/>
      </c>
      <c r="G69" s="52">
        <f>SUM(B69:F69)</f>
        <v/>
      </c>
    </row>
    <row r="70">
      <c r="A70" s="31" t="inlineStr">
        <is>
          <t>DS.2026.2380 Mike Valentine 0129</t>
        </is>
      </c>
      <c r="B70" s="32">
        <f>SUMIFS(tInv[Amount],tInv[Job],"DS.2026.2380 Mike Valentine 0129",tInv[Month],"2026-01")</f>
        <v/>
      </c>
      <c r="C70" s="32">
        <f>SUMIFS(tInv[Amount],tInv[Job],"DS.2026.2380 Mike Valentine 0129",tInv[Month],"2026-02")</f>
        <v/>
      </c>
      <c r="D70" s="32">
        <f>SUMIFS(tInv[Amount],tInv[Job],"DS.2026.2380 Mike Valentine 0129",tInv[Month],"2026-03")</f>
        <v/>
      </c>
      <c r="E70" s="32">
        <f>SUMIFS(tInv[Amount],tInv[Job],"DS.2026.2380 Mike Valentine 0129",tInv[Month],"2026-04")</f>
        <v/>
      </c>
      <c r="F70" s="32">
        <f>SUMIFS(tInv[Amount],tInv[Job],"DS.2026.2380 Mike Valentine 0129",tInv[Month],"2026-05")</f>
        <v/>
      </c>
      <c r="G70" s="52">
        <f>SUM(B70:F70)</f>
        <v/>
      </c>
    </row>
    <row r="71">
      <c r="A71" s="31" t="inlineStr">
        <is>
          <t>DS.2026.2365 GSI Sackstedor Bloomington</t>
        </is>
      </c>
      <c r="B71" s="32">
        <f>SUMIFS(tInv[Amount],tInv[Job],"DS.2026.2365 GSI Sackstedor Bloomington",tInv[Month],"2026-01")</f>
        <v/>
      </c>
      <c r="C71" s="32">
        <f>SUMIFS(tInv[Amount],tInv[Job],"DS.2026.2365 GSI Sackstedor Bloomington",tInv[Month],"2026-02")</f>
        <v/>
      </c>
      <c r="D71" s="32">
        <f>SUMIFS(tInv[Amount],tInv[Job],"DS.2026.2365 GSI Sackstedor Bloomington",tInv[Month],"2026-03")</f>
        <v/>
      </c>
      <c r="E71" s="32">
        <f>SUMIFS(tInv[Amount],tInv[Job],"DS.2026.2365 GSI Sackstedor Bloomington",tInv[Month],"2026-04")</f>
        <v/>
      </c>
      <c r="F71" s="32">
        <f>SUMIFS(tInv[Amount],tInv[Job],"DS.2026.2365 GSI Sackstedor Bloomington",tInv[Month],"2026-05")</f>
        <v/>
      </c>
      <c r="G71" s="52">
        <f>SUM(B71:F71)</f>
        <v/>
      </c>
    </row>
    <row r="72">
      <c r="A72" s="31" t="inlineStr">
        <is>
          <t>DS.2026.2401 Flores Kenneland</t>
        </is>
      </c>
      <c r="B72" s="32">
        <f>SUMIFS(tInv[Amount],tInv[Job],"DS.2026.2401 Flores Kenneland",tInv[Month],"2026-01")</f>
        <v/>
      </c>
      <c r="C72" s="32">
        <f>SUMIFS(tInv[Amount],tInv[Job],"DS.2026.2401 Flores Kenneland",tInv[Month],"2026-02")</f>
        <v/>
      </c>
      <c r="D72" s="32">
        <f>SUMIFS(tInv[Amount],tInv[Job],"DS.2026.2401 Flores Kenneland",tInv[Month],"2026-03")</f>
        <v/>
      </c>
      <c r="E72" s="32">
        <f>SUMIFS(tInv[Amount],tInv[Job],"DS.2026.2401 Flores Kenneland",tInv[Month],"2026-04")</f>
        <v/>
      </c>
      <c r="F72" s="32">
        <f>SUMIFS(tInv[Amount],tInv[Job],"DS.2026.2401 Flores Kenneland",tInv[Month],"2026-05")</f>
        <v/>
      </c>
      <c r="G72" s="52">
        <f>SUM(B72:F72)</f>
        <v/>
      </c>
    </row>
    <row r="73">
      <c r="A73" s="31" t="inlineStr">
        <is>
          <t>2026.1040 Lakeside Books</t>
        </is>
      </c>
      <c r="B73" s="32">
        <f>SUMIFS(tInv[Amount],tInv[Job],"2026.1040 Lakeside Books",tInv[Month],"2026-01")</f>
        <v/>
      </c>
      <c r="C73" s="32">
        <f>SUMIFS(tInv[Amount],tInv[Job],"2026.1040 Lakeside Books",tInv[Month],"2026-02")</f>
        <v/>
      </c>
      <c r="D73" s="32">
        <f>SUMIFS(tInv[Amount],tInv[Job],"2026.1040 Lakeside Books",tInv[Month],"2026-03")</f>
        <v/>
      </c>
      <c r="E73" s="32">
        <f>SUMIFS(tInv[Amount],tInv[Job],"2026.1040 Lakeside Books",tInv[Month],"2026-04")</f>
        <v/>
      </c>
      <c r="F73" s="32">
        <f>SUMIFS(tInv[Amount],tInv[Job],"2026.1040 Lakeside Books",tInv[Month],"2026-05")</f>
        <v/>
      </c>
      <c r="G73" s="52">
        <f>SUM(B73:F73)</f>
        <v/>
      </c>
    </row>
    <row r="74">
      <c r="A74" s="31" t="inlineStr">
        <is>
          <t>DS.2026.2412 10732 Heaven Cove Way</t>
        </is>
      </c>
      <c r="B74" s="32">
        <f>SUMIFS(tInv[Amount],tInv[Job],"DS.2026.2412 10732 Heaven Cove Way",tInv[Month],"2026-01")</f>
        <v/>
      </c>
      <c r="C74" s="32">
        <f>SUMIFS(tInv[Amount],tInv[Job],"DS.2026.2412 10732 Heaven Cove Way",tInv[Month],"2026-02")</f>
        <v/>
      </c>
      <c r="D74" s="32">
        <f>SUMIFS(tInv[Amount],tInv[Job],"DS.2026.2412 10732 Heaven Cove Way",tInv[Month],"2026-03")</f>
        <v/>
      </c>
      <c r="E74" s="32">
        <f>SUMIFS(tInv[Amount],tInv[Job],"DS.2026.2412 10732 Heaven Cove Way",tInv[Month],"2026-04")</f>
        <v/>
      </c>
      <c r="F74" s="32">
        <f>SUMIFS(tInv[Amount],tInv[Job],"DS.2026.2412 10732 Heaven Cove Way",tInv[Month],"2026-05")</f>
        <v/>
      </c>
      <c r="G74" s="52">
        <f>SUM(B74:F74)</f>
        <v/>
      </c>
    </row>
    <row r="75">
      <c r="A75" s="31" t="inlineStr">
        <is>
          <t>2025.1031 Pita Way</t>
        </is>
      </c>
      <c r="B75" s="32">
        <f>SUMIFS(tInv[Amount],tInv[Job],"2025.1031 Pita Way",tInv[Month],"2026-01")</f>
        <v/>
      </c>
      <c r="C75" s="32">
        <f>SUMIFS(tInv[Amount],tInv[Job],"2025.1031 Pita Way",tInv[Month],"2026-02")</f>
        <v/>
      </c>
      <c r="D75" s="32">
        <f>SUMIFS(tInv[Amount],tInv[Job],"2025.1031 Pita Way",tInv[Month],"2026-03")</f>
        <v/>
      </c>
      <c r="E75" s="32">
        <f>SUMIFS(tInv[Amount],tInv[Job],"2025.1031 Pita Way",tInv[Month],"2026-04")</f>
        <v/>
      </c>
      <c r="F75" s="32">
        <f>SUMIFS(tInv[Amount],tInv[Job],"2025.1031 Pita Way",tInv[Month],"2026-05")</f>
        <v/>
      </c>
      <c r="G75" s="52">
        <f>SUM(B75:F75)</f>
        <v/>
      </c>
    </row>
    <row r="76">
      <c r="A76" s="31" t="inlineStr">
        <is>
          <t>DS.2026.2433 Liberty Assisted Living 0529</t>
        </is>
      </c>
      <c r="B76" s="32">
        <f>SUMIFS(tInv[Amount],tInv[Job],"DS.2026.2433 Liberty Assisted Living 0529",tInv[Month],"2026-01")</f>
        <v/>
      </c>
      <c r="C76" s="32">
        <f>SUMIFS(tInv[Amount],tInv[Job],"DS.2026.2433 Liberty Assisted Living 0529",tInv[Month],"2026-02")</f>
        <v/>
      </c>
      <c r="D76" s="32">
        <f>SUMIFS(tInv[Amount],tInv[Job],"DS.2026.2433 Liberty Assisted Living 0529",tInv[Month],"2026-03")</f>
        <v/>
      </c>
      <c r="E76" s="32">
        <f>SUMIFS(tInv[Amount],tInv[Job],"DS.2026.2433 Liberty Assisted Living 0529",tInv[Month],"2026-04")</f>
        <v/>
      </c>
      <c r="F76" s="32">
        <f>SUMIFS(tInv[Amount],tInv[Job],"DS.2026.2433 Liberty Assisted Living 0529",tInv[Month],"2026-05")</f>
        <v/>
      </c>
      <c r="G76" s="52">
        <f>SUM(B76:F76)</f>
        <v/>
      </c>
    </row>
    <row r="77">
      <c r="A77" s="31" t="inlineStr">
        <is>
          <t>2025.984 Whiteland Indiana Guard Shack</t>
        </is>
      </c>
      <c r="B77" s="32">
        <f>SUMIFS(tInv[Amount],tInv[Job],"2025.984 Whiteland Indiana Guard Shack",tInv[Month],"2026-01")</f>
        <v/>
      </c>
      <c r="C77" s="32">
        <f>SUMIFS(tInv[Amount],tInv[Job],"2025.984 Whiteland Indiana Guard Shack",tInv[Month],"2026-02")</f>
        <v/>
      </c>
      <c r="D77" s="32">
        <f>SUMIFS(tInv[Amount],tInv[Job],"2025.984 Whiteland Indiana Guard Shack",tInv[Month],"2026-03")</f>
        <v/>
      </c>
      <c r="E77" s="32">
        <f>SUMIFS(tInv[Amount],tInv[Job],"2025.984 Whiteland Indiana Guard Shack",tInv[Month],"2026-04")</f>
        <v/>
      </c>
      <c r="F77" s="32">
        <f>SUMIFS(tInv[Amount],tInv[Job],"2025.984 Whiteland Indiana Guard Shack",tInv[Month],"2026-05")</f>
        <v/>
      </c>
      <c r="G77" s="52">
        <f>SUM(B77:F77)</f>
        <v/>
      </c>
    </row>
    <row r="78">
      <c r="A78" s="31" t="inlineStr">
        <is>
          <t>DS.2026.2375 1802 Alabama St</t>
        </is>
      </c>
      <c r="B78" s="32">
        <f>SUMIFS(tInv[Amount],tInv[Job],"DS.2026.2375 1802 Alabama St",tInv[Month],"2026-01")</f>
        <v/>
      </c>
      <c r="C78" s="32">
        <f>SUMIFS(tInv[Amount],tInv[Job],"DS.2026.2375 1802 Alabama St",tInv[Month],"2026-02")</f>
        <v/>
      </c>
      <c r="D78" s="32">
        <f>SUMIFS(tInv[Amount],tInv[Job],"DS.2026.2375 1802 Alabama St",tInv[Month],"2026-03")</f>
        <v/>
      </c>
      <c r="E78" s="32">
        <f>SUMIFS(tInv[Amount],tInv[Job],"DS.2026.2375 1802 Alabama St",tInv[Month],"2026-04")</f>
        <v/>
      </c>
      <c r="F78" s="32">
        <f>SUMIFS(tInv[Amount],tInv[Job],"DS.2026.2375 1802 Alabama St",tInv[Month],"2026-05")</f>
        <v/>
      </c>
      <c r="G78" s="52">
        <f>SUM(B78:F78)</f>
        <v/>
      </c>
    </row>
    <row r="79">
      <c r="A79" s="31" t="inlineStr">
        <is>
          <t>DS.2026.2389 Courtyards of Russell Oaks 145</t>
        </is>
      </c>
      <c r="B79" s="32">
        <f>SUMIFS(tInv[Amount],tInv[Job],"DS.2026.2389 Courtyards of Russell Oaks 145",tInv[Month],"2026-01")</f>
        <v/>
      </c>
      <c r="C79" s="32">
        <f>SUMIFS(tInv[Amount],tInv[Job],"DS.2026.2389 Courtyards of Russell Oaks 145",tInv[Month],"2026-02")</f>
        <v/>
      </c>
      <c r="D79" s="32">
        <f>SUMIFS(tInv[Amount],tInv[Job],"DS.2026.2389 Courtyards of Russell Oaks 145",tInv[Month],"2026-03")</f>
        <v/>
      </c>
      <c r="E79" s="32">
        <f>SUMIFS(tInv[Amount],tInv[Job],"DS.2026.2389 Courtyards of Russell Oaks 145",tInv[Month],"2026-04")</f>
        <v/>
      </c>
      <c r="F79" s="32">
        <f>SUMIFS(tInv[Amount],tInv[Job],"DS.2026.2389 Courtyards of Russell Oaks 145",tInv[Month],"2026-05")</f>
        <v/>
      </c>
      <c r="G79" s="52">
        <f>SUM(B79:F79)</f>
        <v/>
      </c>
    </row>
    <row r="80">
      <c r="A80" s="31" t="inlineStr">
        <is>
          <t>DS.2026.2421 Flores Ohio Job</t>
        </is>
      </c>
      <c r="B80" s="32">
        <f>SUMIFS(tInv[Amount],tInv[Job],"DS.2026.2421 Flores Ohio Job",tInv[Month],"2026-01")</f>
        <v/>
      </c>
      <c r="C80" s="32">
        <f>SUMIFS(tInv[Amount],tInv[Job],"DS.2026.2421 Flores Ohio Job",tInv[Month],"2026-02")</f>
        <v/>
      </c>
      <c r="D80" s="32">
        <f>SUMIFS(tInv[Amount],tInv[Job],"DS.2026.2421 Flores Ohio Job",tInv[Month],"2026-03")</f>
        <v/>
      </c>
      <c r="E80" s="32">
        <f>SUMIFS(tInv[Amount],tInv[Job],"DS.2026.2421 Flores Ohio Job",tInv[Month],"2026-04")</f>
        <v/>
      </c>
      <c r="F80" s="32">
        <f>SUMIFS(tInv[Amount],tInv[Job],"DS.2026.2421 Flores Ohio Job",tInv[Month],"2026-05")</f>
        <v/>
      </c>
      <c r="G80" s="52">
        <f>SUM(B80:F80)</f>
        <v/>
      </c>
    </row>
    <row r="81">
      <c r="A81" s="31" t="inlineStr">
        <is>
          <t>DS.2026.2394 5778 Marvie Drive</t>
        </is>
      </c>
      <c r="B81" s="32">
        <f>SUMIFS(tInv[Amount],tInv[Job],"DS.2026.2394 5778 Marvie Drive",tInv[Month],"2026-01")</f>
        <v/>
      </c>
      <c r="C81" s="32">
        <f>SUMIFS(tInv[Amount],tInv[Job],"DS.2026.2394 5778 Marvie Drive",tInv[Month],"2026-02")</f>
        <v/>
      </c>
      <c r="D81" s="32">
        <f>SUMIFS(tInv[Amount],tInv[Job],"DS.2026.2394 5778 Marvie Drive",tInv[Month],"2026-03")</f>
        <v/>
      </c>
      <c r="E81" s="32">
        <f>SUMIFS(tInv[Amount],tInv[Job],"DS.2026.2394 5778 Marvie Drive",tInv[Month],"2026-04")</f>
        <v/>
      </c>
      <c r="F81" s="32">
        <f>SUMIFS(tInv[Amount],tInv[Job],"DS.2026.2394 5778 Marvie Drive",tInv[Month],"2026-05")</f>
        <v/>
      </c>
      <c r="G81" s="52">
        <f>SUM(B81:F81)</f>
        <v/>
      </c>
    </row>
    <row r="82">
      <c r="A82" s="31" t="inlineStr">
        <is>
          <t>DS.2026.2392 3705 Holiday Farms Blvd - Precision</t>
        </is>
      </c>
      <c r="B82" s="32">
        <f>SUMIFS(tInv[Amount],tInv[Job],"DS.2026.2392 3705 Holiday Farms Blvd - Precision",tInv[Month],"2026-01")</f>
        <v/>
      </c>
      <c r="C82" s="32">
        <f>SUMIFS(tInv[Amount],tInv[Job],"DS.2026.2392 3705 Holiday Farms Blvd - Precision",tInv[Month],"2026-02")</f>
        <v/>
      </c>
      <c r="D82" s="32">
        <f>SUMIFS(tInv[Amount],tInv[Job],"DS.2026.2392 3705 Holiday Farms Blvd - Precision",tInv[Month],"2026-03")</f>
        <v/>
      </c>
      <c r="E82" s="32">
        <f>SUMIFS(tInv[Amount],tInv[Job],"DS.2026.2392 3705 Holiday Farms Blvd - Precision",tInv[Month],"2026-04")</f>
        <v/>
      </c>
      <c r="F82" s="32">
        <f>SUMIFS(tInv[Amount],tInv[Job],"DS.2026.2392 3705 Holiday Farms Blvd - Precision",tInv[Month],"2026-05")</f>
        <v/>
      </c>
      <c r="G82" s="52">
        <f>SUM(B82:F82)</f>
        <v/>
      </c>
    </row>
    <row r="83">
      <c r="A83" s="31" t="inlineStr">
        <is>
          <t>DS.2026.2383 Courtyards of Cielo Ranch 37</t>
        </is>
      </c>
      <c r="B83" s="32">
        <f>SUMIFS(tInv[Amount],tInv[Job],"DS.2026.2383 Courtyards of Cielo Ranch 37",tInv[Month],"2026-01")</f>
        <v/>
      </c>
      <c r="C83" s="32">
        <f>SUMIFS(tInv[Amount],tInv[Job],"DS.2026.2383 Courtyards of Cielo Ranch 37",tInv[Month],"2026-02")</f>
        <v/>
      </c>
      <c r="D83" s="32">
        <f>SUMIFS(tInv[Amount],tInv[Job],"DS.2026.2383 Courtyards of Cielo Ranch 37",tInv[Month],"2026-03")</f>
        <v/>
      </c>
      <c r="E83" s="32">
        <f>SUMIFS(tInv[Amount],tInv[Job],"DS.2026.2383 Courtyards of Cielo Ranch 37",tInv[Month],"2026-04")</f>
        <v/>
      </c>
      <c r="F83" s="32">
        <f>SUMIFS(tInv[Amount],tInv[Job],"DS.2026.2383 Courtyards of Cielo Ranch 37",tInv[Month],"2026-05")</f>
        <v/>
      </c>
      <c r="G83" s="52">
        <f>SUM(B83:F83)</f>
        <v/>
      </c>
    </row>
    <row r="84">
      <c r="A84" s="31" t="inlineStr">
        <is>
          <t>DS.2026.2363 Courtyards of Westfield 96</t>
        </is>
      </c>
      <c r="B84" s="32">
        <f>SUMIFS(tInv[Amount],tInv[Job],"DS.2026.2363 Courtyards of Westfield 96",tInv[Month],"2026-01")</f>
        <v/>
      </c>
      <c r="C84" s="32">
        <f>SUMIFS(tInv[Amount],tInv[Job],"DS.2026.2363 Courtyards of Westfield 96",tInv[Month],"2026-02")</f>
        <v/>
      </c>
      <c r="D84" s="32">
        <f>SUMIFS(tInv[Amount],tInv[Job],"DS.2026.2363 Courtyards of Westfield 96",tInv[Month],"2026-03")</f>
        <v/>
      </c>
      <c r="E84" s="32">
        <f>SUMIFS(tInv[Amount],tInv[Job],"DS.2026.2363 Courtyards of Westfield 96",tInv[Month],"2026-04")</f>
        <v/>
      </c>
      <c r="F84" s="32">
        <f>SUMIFS(tInv[Amount],tInv[Job],"DS.2026.2363 Courtyards of Westfield 96",tInv[Month],"2026-05")</f>
        <v/>
      </c>
      <c r="G84" s="52">
        <f>SUM(B84:F84)</f>
        <v/>
      </c>
    </row>
    <row r="85">
      <c r="A85" s="31" t="inlineStr">
        <is>
          <t>DS.2026.2400 Courtyards of Russell Oaks 115</t>
        </is>
      </c>
      <c r="B85" s="32">
        <f>SUMIFS(tInv[Amount],tInv[Job],"DS.2026.2400 Courtyards of Russell Oaks 115",tInv[Month],"2026-01")</f>
        <v/>
      </c>
      <c r="C85" s="32">
        <f>SUMIFS(tInv[Amount],tInv[Job],"DS.2026.2400 Courtyards of Russell Oaks 115",tInv[Month],"2026-02")</f>
        <v/>
      </c>
      <c r="D85" s="32">
        <f>SUMIFS(tInv[Amount],tInv[Job],"DS.2026.2400 Courtyards of Russell Oaks 115",tInv[Month],"2026-03")</f>
        <v/>
      </c>
      <c r="E85" s="32">
        <f>SUMIFS(tInv[Amount],tInv[Job],"DS.2026.2400 Courtyards of Russell Oaks 115",tInv[Month],"2026-04")</f>
        <v/>
      </c>
      <c r="F85" s="32">
        <f>SUMIFS(tInv[Amount],tInv[Job],"DS.2026.2400 Courtyards of Russell Oaks 115",tInv[Month],"2026-05")</f>
        <v/>
      </c>
      <c r="G85" s="52">
        <f>SUM(B85:F85)</f>
        <v/>
      </c>
    </row>
    <row r="86">
      <c r="A86" s="31" t="inlineStr">
        <is>
          <t>DS.2026.2378 Courtyards of Westfield 108</t>
        </is>
      </c>
      <c r="B86" s="32">
        <f>SUMIFS(tInv[Amount],tInv[Job],"DS.2026.2378 Courtyards of Westfield 108",tInv[Month],"2026-01")</f>
        <v/>
      </c>
      <c r="C86" s="32">
        <f>SUMIFS(tInv[Amount],tInv[Job],"DS.2026.2378 Courtyards of Westfield 108",tInv[Month],"2026-02")</f>
        <v/>
      </c>
      <c r="D86" s="32">
        <f>SUMIFS(tInv[Amount],tInv[Job],"DS.2026.2378 Courtyards of Westfield 108",tInv[Month],"2026-03")</f>
        <v/>
      </c>
      <c r="E86" s="32">
        <f>SUMIFS(tInv[Amount],tInv[Job],"DS.2026.2378 Courtyards of Westfield 108",tInv[Month],"2026-04")</f>
        <v/>
      </c>
      <c r="F86" s="32">
        <f>SUMIFS(tInv[Amount],tInv[Job],"DS.2026.2378 Courtyards of Westfield 108",tInv[Month],"2026-05")</f>
        <v/>
      </c>
      <c r="G86" s="52">
        <f>SUM(B86:F86)</f>
        <v/>
      </c>
    </row>
    <row r="87">
      <c r="A87" s="31" t="inlineStr">
        <is>
          <t>DS.2026.2410 Courtyards of Russell Oaks 113</t>
        </is>
      </c>
      <c r="B87" s="32">
        <f>SUMIFS(tInv[Amount],tInv[Job],"DS.2026.2410 Courtyards of Russell Oaks 113",tInv[Month],"2026-01")</f>
        <v/>
      </c>
      <c r="C87" s="32">
        <f>SUMIFS(tInv[Amount],tInv[Job],"DS.2026.2410 Courtyards of Russell Oaks 113",tInv[Month],"2026-02")</f>
        <v/>
      </c>
      <c r="D87" s="32">
        <f>SUMIFS(tInv[Amount],tInv[Job],"DS.2026.2410 Courtyards of Russell Oaks 113",tInv[Month],"2026-03")</f>
        <v/>
      </c>
      <c r="E87" s="32">
        <f>SUMIFS(tInv[Amount],tInv[Job],"DS.2026.2410 Courtyards of Russell Oaks 113",tInv[Month],"2026-04")</f>
        <v/>
      </c>
      <c r="F87" s="32">
        <f>SUMIFS(tInv[Amount],tInv[Job],"DS.2026.2410 Courtyards of Russell Oaks 113",tInv[Month],"2026-05")</f>
        <v/>
      </c>
      <c r="G87" s="52">
        <f>SUM(B87:F87)</f>
        <v/>
      </c>
    </row>
    <row r="88">
      <c r="A88" s="31" t="inlineStr">
        <is>
          <t>DS.2026.2369 Courtyards of Westfield 111</t>
        </is>
      </c>
      <c r="B88" s="32">
        <f>SUMIFS(tInv[Amount],tInv[Job],"DS.2026.2369 Courtyards of Westfield 111",tInv[Month],"2026-01")</f>
        <v/>
      </c>
      <c r="C88" s="32">
        <f>SUMIFS(tInv[Amount],tInv[Job],"DS.2026.2369 Courtyards of Westfield 111",tInv[Month],"2026-02")</f>
        <v/>
      </c>
      <c r="D88" s="32">
        <f>SUMIFS(tInv[Amount],tInv[Job],"DS.2026.2369 Courtyards of Westfield 111",tInv[Month],"2026-03")</f>
        <v/>
      </c>
      <c r="E88" s="32">
        <f>SUMIFS(tInv[Amount],tInv[Job],"DS.2026.2369 Courtyards of Westfield 111",tInv[Month],"2026-04")</f>
        <v/>
      </c>
      <c r="F88" s="32">
        <f>SUMIFS(tInv[Amount],tInv[Job],"DS.2026.2369 Courtyards of Westfield 111",tInv[Month],"2026-05")</f>
        <v/>
      </c>
      <c r="G88" s="52">
        <f>SUM(B88:F88)</f>
        <v/>
      </c>
    </row>
    <row r="89">
      <c r="A89" s="31" t="inlineStr">
        <is>
          <t>DS.2026.2377 Courtyards of Cielo Ranch 38</t>
        </is>
      </c>
      <c r="B89" s="32">
        <f>SUMIFS(tInv[Amount],tInv[Job],"DS.2026.2377 Courtyards of Cielo Ranch 38",tInv[Month],"2026-01")</f>
        <v/>
      </c>
      <c r="C89" s="32">
        <f>SUMIFS(tInv[Amount],tInv[Job],"DS.2026.2377 Courtyards of Cielo Ranch 38",tInv[Month],"2026-02")</f>
        <v/>
      </c>
      <c r="D89" s="32">
        <f>SUMIFS(tInv[Amount],tInv[Job],"DS.2026.2377 Courtyards of Cielo Ranch 38",tInv[Month],"2026-03")</f>
        <v/>
      </c>
      <c r="E89" s="32">
        <f>SUMIFS(tInv[Amount],tInv[Job],"DS.2026.2377 Courtyards of Cielo Ranch 38",tInv[Month],"2026-04")</f>
        <v/>
      </c>
      <c r="F89" s="32">
        <f>SUMIFS(tInv[Amount],tInv[Job],"DS.2026.2377 Courtyards of Cielo Ranch 38",tInv[Month],"2026-05")</f>
        <v/>
      </c>
      <c r="G89" s="52">
        <f>SUM(B89:F89)</f>
        <v/>
      </c>
    </row>
    <row r="90">
      <c r="A90" s="31" t="inlineStr">
        <is>
          <t>DS.2026.2402 Courtyards of Cielo Ranch 17</t>
        </is>
      </c>
      <c r="B90" s="32">
        <f>SUMIFS(tInv[Amount],tInv[Job],"DS.2026.2402 Courtyards of Cielo Ranch 17",tInv[Month],"2026-01")</f>
        <v/>
      </c>
      <c r="C90" s="32">
        <f>SUMIFS(tInv[Amount],tInv[Job],"DS.2026.2402 Courtyards of Cielo Ranch 17",tInv[Month],"2026-02")</f>
        <v/>
      </c>
      <c r="D90" s="32">
        <f>SUMIFS(tInv[Amount],tInv[Job],"DS.2026.2402 Courtyards of Cielo Ranch 17",tInv[Month],"2026-03")</f>
        <v/>
      </c>
      <c r="E90" s="32">
        <f>SUMIFS(tInv[Amount],tInv[Job],"DS.2026.2402 Courtyards of Cielo Ranch 17",tInv[Month],"2026-04")</f>
        <v/>
      </c>
      <c r="F90" s="32">
        <f>SUMIFS(tInv[Amount],tInv[Job],"DS.2026.2402 Courtyards of Cielo Ranch 17",tInv[Month],"2026-05")</f>
        <v/>
      </c>
      <c r="G90" s="52">
        <f>SUM(B90:F90)</f>
        <v/>
      </c>
    </row>
    <row r="91">
      <c r="A91" s="31" t="inlineStr">
        <is>
          <t>DS.2026.2398 Courtyards of Ceilo Ranch 26</t>
        </is>
      </c>
      <c r="B91" s="32">
        <f>SUMIFS(tInv[Amount],tInv[Job],"DS.2026.2398 Courtyards of Ceilo Ranch 26",tInv[Month],"2026-01")</f>
        <v/>
      </c>
      <c r="C91" s="32">
        <f>SUMIFS(tInv[Amount],tInv[Job],"DS.2026.2398 Courtyards of Ceilo Ranch 26",tInv[Month],"2026-02")</f>
        <v/>
      </c>
      <c r="D91" s="32">
        <f>SUMIFS(tInv[Amount],tInv[Job],"DS.2026.2398 Courtyards of Ceilo Ranch 26",tInv[Month],"2026-03")</f>
        <v/>
      </c>
      <c r="E91" s="32">
        <f>SUMIFS(tInv[Amount],tInv[Job],"DS.2026.2398 Courtyards of Ceilo Ranch 26",tInv[Month],"2026-04")</f>
        <v/>
      </c>
      <c r="F91" s="32">
        <f>SUMIFS(tInv[Amount],tInv[Job],"DS.2026.2398 Courtyards of Ceilo Ranch 26",tInv[Month],"2026-05")</f>
        <v/>
      </c>
      <c r="G91" s="52">
        <f>SUM(B91:F91)</f>
        <v/>
      </c>
    </row>
    <row r="92">
      <c r="A92" s="31" t="inlineStr">
        <is>
          <t>DS.2026.2368 Courtyards of Russell Oaks 60</t>
        </is>
      </c>
      <c r="B92" s="32">
        <f>SUMIFS(tInv[Amount],tInv[Job],"DS.2026.2368 Courtyards of Russell Oaks 60",tInv[Month],"2026-01")</f>
        <v/>
      </c>
      <c r="C92" s="32">
        <f>SUMIFS(tInv[Amount],tInv[Job],"DS.2026.2368 Courtyards of Russell Oaks 60",tInv[Month],"2026-02")</f>
        <v/>
      </c>
      <c r="D92" s="32">
        <f>SUMIFS(tInv[Amount],tInv[Job],"DS.2026.2368 Courtyards of Russell Oaks 60",tInv[Month],"2026-03")</f>
        <v/>
      </c>
      <c r="E92" s="32">
        <f>SUMIFS(tInv[Amount],tInv[Job],"DS.2026.2368 Courtyards of Russell Oaks 60",tInv[Month],"2026-04")</f>
        <v/>
      </c>
      <c r="F92" s="32">
        <f>SUMIFS(tInv[Amount],tInv[Job],"DS.2026.2368 Courtyards of Russell Oaks 60",tInv[Month],"2026-05")</f>
        <v/>
      </c>
      <c r="G92" s="52">
        <f>SUM(B92:F92)</f>
        <v/>
      </c>
    </row>
    <row r="93">
      <c r="A93" s="31" t="inlineStr">
        <is>
          <t>DS.2026.2405 21569 Anchor Bay Drive</t>
        </is>
      </c>
      <c r="B93" s="32">
        <f>SUMIFS(tInv[Amount],tInv[Job],"DS.2026.2405 21569 Anchor Bay Drive",tInv[Month],"2026-01")</f>
        <v/>
      </c>
      <c r="C93" s="32">
        <f>SUMIFS(tInv[Amount],tInv[Job],"DS.2026.2405 21569 Anchor Bay Drive",tInv[Month],"2026-02")</f>
        <v/>
      </c>
      <c r="D93" s="32">
        <f>SUMIFS(tInv[Amount],tInv[Job],"DS.2026.2405 21569 Anchor Bay Drive",tInv[Month],"2026-03")</f>
        <v/>
      </c>
      <c r="E93" s="32">
        <f>SUMIFS(tInv[Amount],tInv[Job],"DS.2026.2405 21569 Anchor Bay Drive",tInv[Month],"2026-04")</f>
        <v/>
      </c>
      <c r="F93" s="32">
        <f>SUMIFS(tInv[Amount],tInv[Job],"DS.2026.2405 21569 Anchor Bay Drive",tInv[Month],"2026-05")</f>
        <v/>
      </c>
      <c r="G93" s="52">
        <f>SUM(B93:F93)</f>
        <v/>
      </c>
    </row>
    <row r="94">
      <c r="A94" s="31" t="inlineStr">
        <is>
          <t>DS.2026.2408 Courtyards of Westfield 107</t>
        </is>
      </c>
      <c r="B94" s="32">
        <f>SUMIFS(tInv[Amount],tInv[Job],"DS.2026.2408 Courtyards of Westfield 107",tInv[Month],"2026-01")</f>
        <v/>
      </c>
      <c r="C94" s="32">
        <f>SUMIFS(tInv[Amount],tInv[Job],"DS.2026.2408 Courtyards of Westfield 107",tInv[Month],"2026-02")</f>
        <v/>
      </c>
      <c r="D94" s="32">
        <f>SUMIFS(tInv[Amount],tInv[Job],"DS.2026.2408 Courtyards of Westfield 107",tInv[Month],"2026-03")</f>
        <v/>
      </c>
      <c r="E94" s="32">
        <f>SUMIFS(tInv[Amount],tInv[Job],"DS.2026.2408 Courtyards of Westfield 107",tInv[Month],"2026-04")</f>
        <v/>
      </c>
      <c r="F94" s="32">
        <f>SUMIFS(tInv[Amount],tInv[Job],"DS.2026.2408 Courtyards of Westfield 107",tInv[Month],"2026-05")</f>
        <v/>
      </c>
      <c r="G94" s="52">
        <f>SUM(B94:F94)</f>
        <v/>
      </c>
    </row>
    <row r="95">
      <c r="A95" s="31" t="inlineStr">
        <is>
          <t>DS.2026.2385 Courtyards of Russell Oaks 123</t>
        </is>
      </c>
      <c r="B95" s="32">
        <f>SUMIFS(tInv[Amount],tInv[Job],"DS.2026.2385 Courtyards of Russell Oaks 123",tInv[Month],"2026-01")</f>
        <v/>
      </c>
      <c r="C95" s="32">
        <f>SUMIFS(tInv[Amount],tInv[Job],"DS.2026.2385 Courtyards of Russell Oaks 123",tInv[Month],"2026-02")</f>
        <v/>
      </c>
      <c r="D95" s="32">
        <f>SUMIFS(tInv[Amount],tInv[Job],"DS.2026.2385 Courtyards of Russell Oaks 123",tInv[Month],"2026-03")</f>
        <v/>
      </c>
      <c r="E95" s="32">
        <f>SUMIFS(tInv[Amount],tInv[Job],"DS.2026.2385 Courtyards of Russell Oaks 123",tInv[Month],"2026-04")</f>
        <v/>
      </c>
      <c r="F95" s="32">
        <f>SUMIFS(tInv[Amount],tInv[Job],"DS.2026.2385 Courtyards of Russell Oaks 123",tInv[Month],"2026-05")</f>
        <v/>
      </c>
      <c r="G95" s="52">
        <f>SUM(B95:F95)</f>
        <v/>
      </c>
    </row>
    <row r="96">
      <c r="A96" s="31" t="inlineStr">
        <is>
          <t>DS.2026.2371 13429 E 116th St</t>
        </is>
      </c>
      <c r="B96" s="32">
        <f>SUMIFS(tInv[Amount],tInv[Job],"DS.2026.2371 13429 E 116th St",tInv[Month],"2026-01")</f>
        <v/>
      </c>
      <c r="C96" s="32">
        <f>SUMIFS(tInv[Amount],tInv[Job],"DS.2026.2371 13429 E 116th St",tInv[Month],"2026-02")</f>
        <v/>
      </c>
      <c r="D96" s="32">
        <f>SUMIFS(tInv[Amount],tInv[Job],"DS.2026.2371 13429 E 116th St",tInv[Month],"2026-03")</f>
        <v/>
      </c>
      <c r="E96" s="32">
        <f>SUMIFS(tInv[Amount],tInv[Job],"DS.2026.2371 13429 E 116th St",tInv[Month],"2026-04")</f>
        <v/>
      </c>
      <c r="F96" s="32">
        <f>SUMIFS(tInv[Amount],tInv[Job],"DS.2026.2371 13429 E 116th St",tInv[Month],"2026-05")</f>
        <v/>
      </c>
      <c r="G96" s="52">
        <f>SUM(B96:F96)</f>
        <v/>
      </c>
    </row>
    <row r="97">
      <c r="A97" s="31" t="inlineStr">
        <is>
          <t>2026.1039 Upland Prospect Street</t>
        </is>
      </c>
      <c r="B97" s="32">
        <f>SUMIFS(tInv[Amount],tInv[Job],"2026.1039 Upland Prospect Street",tInv[Month],"2026-01")</f>
        <v/>
      </c>
      <c r="C97" s="32">
        <f>SUMIFS(tInv[Amount],tInv[Job],"2026.1039 Upland Prospect Street",tInv[Month],"2026-02")</f>
        <v/>
      </c>
      <c r="D97" s="32">
        <f>SUMIFS(tInv[Amount],tInv[Job],"2026.1039 Upland Prospect Street",tInv[Month],"2026-03")</f>
        <v/>
      </c>
      <c r="E97" s="32">
        <f>SUMIFS(tInv[Amount],tInv[Job],"2026.1039 Upland Prospect Street",tInv[Month],"2026-04")</f>
        <v/>
      </c>
      <c r="F97" s="32">
        <f>SUMIFS(tInv[Amount],tInv[Job],"2026.1039 Upland Prospect Street",tInv[Month],"2026-05")</f>
        <v/>
      </c>
      <c r="G97" s="52">
        <f>SUM(B97:F97)</f>
        <v/>
      </c>
    </row>
    <row r="98">
      <c r="A98" s="31" t="inlineStr">
        <is>
          <t>DS.2026.2386 Courtyards of Russell Oaks 125</t>
        </is>
      </c>
      <c r="B98" s="32">
        <f>SUMIFS(tInv[Amount],tInv[Job],"DS.2026.2386 Courtyards of Russell Oaks 125",tInv[Month],"2026-01")</f>
        <v/>
      </c>
      <c r="C98" s="32">
        <f>SUMIFS(tInv[Amount],tInv[Job],"DS.2026.2386 Courtyards of Russell Oaks 125",tInv[Month],"2026-02")</f>
        <v/>
      </c>
      <c r="D98" s="32">
        <f>SUMIFS(tInv[Amount],tInv[Job],"DS.2026.2386 Courtyards of Russell Oaks 125",tInv[Month],"2026-03")</f>
        <v/>
      </c>
      <c r="E98" s="32">
        <f>SUMIFS(tInv[Amount],tInv[Job],"DS.2026.2386 Courtyards of Russell Oaks 125",tInv[Month],"2026-04")</f>
        <v/>
      </c>
      <c r="F98" s="32">
        <f>SUMIFS(tInv[Amount],tInv[Job],"DS.2026.2386 Courtyards of Russell Oaks 125",tInv[Month],"2026-05")</f>
        <v/>
      </c>
      <c r="G98" s="52">
        <f>SUM(B98:F98)</f>
        <v/>
      </c>
    </row>
    <row r="99">
      <c r="A99" s="31" t="inlineStr">
        <is>
          <t>DS.2026.2388 Courtyards of Cielo Ranch 13</t>
        </is>
      </c>
      <c r="B99" s="32">
        <f>SUMIFS(tInv[Amount],tInv[Job],"DS.2026.2388 Courtyards of Cielo Ranch 13",tInv[Month],"2026-01")</f>
        <v/>
      </c>
      <c r="C99" s="32">
        <f>SUMIFS(tInv[Amount],tInv[Job],"DS.2026.2388 Courtyards of Cielo Ranch 13",tInv[Month],"2026-02")</f>
        <v/>
      </c>
      <c r="D99" s="32">
        <f>SUMIFS(tInv[Amount],tInv[Job],"DS.2026.2388 Courtyards of Cielo Ranch 13",tInv[Month],"2026-03")</f>
        <v/>
      </c>
      <c r="E99" s="32">
        <f>SUMIFS(tInv[Amount],tInv[Job],"DS.2026.2388 Courtyards of Cielo Ranch 13",tInv[Month],"2026-04")</f>
        <v/>
      </c>
      <c r="F99" s="32">
        <f>SUMIFS(tInv[Amount],tInv[Job],"DS.2026.2388 Courtyards of Cielo Ranch 13",tInv[Month],"2026-05")</f>
        <v/>
      </c>
      <c r="G99" s="52">
        <f>SUM(B99:F99)</f>
        <v/>
      </c>
    </row>
    <row r="100">
      <c r="A100" s="31" t="inlineStr">
        <is>
          <t>DS.2026.2396 6252 West Turtle Hill Ct</t>
        </is>
      </c>
      <c r="B100" s="32">
        <f>SUMIFS(tInv[Amount],tInv[Job],"DS.2026.2396 6252 West Turtle Hill Ct",tInv[Month],"2026-01")</f>
        <v/>
      </c>
      <c r="C100" s="32">
        <f>SUMIFS(tInv[Amount],tInv[Job],"DS.2026.2396 6252 West Turtle Hill Ct",tInv[Month],"2026-02")</f>
        <v/>
      </c>
      <c r="D100" s="32">
        <f>SUMIFS(tInv[Amount],tInv[Job],"DS.2026.2396 6252 West Turtle Hill Ct",tInv[Month],"2026-03")</f>
        <v/>
      </c>
      <c r="E100" s="32">
        <f>SUMIFS(tInv[Amount],tInv[Job],"DS.2026.2396 6252 West Turtle Hill Ct",tInv[Month],"2026-04")</f>
        <v/>
      </c>
      <c r="F100" s="32">
        <f>SUMIFS(tInv[Amount],tInv[Job],"DS.2026.2396 6252 West Turtle Hill Ct",tInv[Month],"2026-05")</f>
        <v/>
      </c>
      <c r="G100" s="52">
        <f>SUM(B100:F100)</f>
        <v/>
      </c>
    </row>
    <row r="101">
      <c r="A101" s="31" t="inlineStr">
        <is>
          <t>2025.983 DEEM Warehouse Drop Ceiling</t>
        </is>
      </c>
      <c r="B101" s="32">
        <f>SUMIFS(tInv[Amount],tInv[Job],"2025.983 DEEM Warehouse Drop Ceiling",tInv[Month],"2026-01")</f>
        <v/>
      </c>
      <c r="C101" s="32">
        <f>SUMIFS(tInv[Amount],tInv[Job],"2025.983 DEEM Warehouse Drop Ceiling",tInv[Month],"2026-02")</f>
        <v/>
      </c>
      <c r="D101" s="32">
        <f>SUMIFS(tInv[Amount],tInv[Job],"2025.983 DEEM Warehouse Drop Ceiling",tInv[Month],"2026-03")</f>
        <v/>
      </c>
      <c r="E101" s="32">
        <f>SUMIFS(tInv[Amount],tInv[Job],"2025.983 DEEM Warehouse Drop Ceiling",tInv[Month],"2026-04")</f>
        <v/>
      </c>
      <c r="F101" s="32">
        <f>SUMIFS(tInv[Amount],tInv[Job],"2025.983 DEEM Warehouse Drop Ceiling",tInv[Month],"2026-05")</f>
        <v/>
      </c>
      <c r="G101" s="52">
        <f>SUM(B101:F101)</f>
        <v/>
      </c>
    </row>
    <row r="102">
      <c r="A102" s="31" t="inlineStr">
        <is>
          <t>DS.2026.2399 Courtyards of Russell Oaks 74</t>
        </is>
      </c>
      <c r="B102" s="32">
        <f>SUMIFS(tInv[Amount],tInv[Job],"DS.2026.2399 Courtyards of Russell Oaks 74",tInv[Month],"2026-01")</f>
        <v/>
      </c>
      <c r="C102" s="32">
        <f>SUMIFS(tInv[Amount],tInv[Job],"DS.2026.2399 Courtyards of Russell Oaks 74",tInv[Month],"2026-02")</f>
        <v/>
      </c>
      <c r="D102" s="32">
        <f>SUMIFS(tInv[Amount],tInv[Job],"DS.2026.2399 Courtyards of Russell Oaks 74",tInv[Month],"2026-03")</f>
        <v/>
      </c>
      <c r="E102" s="32">
        <f>SUMIFS(tInv[Amount],tInv[Job],"DS.2026.2399 Courtyards of Russell Oaks 74",tInv[Month],"2026-04")</f>
        <v/>
      </c>
      <c r="F102" s="32">
        <f>SUMIFS(tInv[Amount],tInv[Job],"DS.2026.2399 Courtyards of Russell Oaks 74",tInv[Month],"2026-05")</f>
        <v/>
      </c>
      <c r="G102" s="52">
        <f>SUM(B102:F102)</f>
        <v/>
      </c>
    </row>
    <row r="103">
      <c r="A103" s="31" t="inlineStr">
        <is>
          <t>DS.2026.2366 Courtyards of Cielo Ranch 15</t>
        </is>
      </c>
      <c r="B103" s="32">
        <f>SUMIFS(tInv[Amount],tInv[Job],"DS.2026.2366 Courtyards of Cielo Ranch 15",tInv[Month],"2026-01")</f>
        <v/>
      </c>
      <c r="C103" s="32">
        <f>SUMIFS(tInv[Amount],tInv[Job],"DS.2026.2366 Courtyards of Cielo Ranch 15",tInv[Month],"2026-02")</f>
        <v/>
      </c>
      <c r="D103" s="32">
        <f>SUMIFS(tInv[Amount],tInv[Job],"DS.2026.2366 Courtyards of Cielo Ranch 15",tInv[Month],"2026-03")</f>
        <v/>
      </c>
      <c r="E103" s="32">
        <f>SUMIFS(tInv[Amount],tInv[Job],"DS.2026.2366 Courtyards of Cielo Ranch 15",tInv[Month],"2026-04")</f>
        <v/>
      </c>
      <c r="F103" s="32">
        <f>SUMIFS(tInv[Amount],tInv[Job],"DS.2026.2366 Courtyards of Cielo Ranch 15",tInv[Month],"2026-05")</f>
        <v/>
      </c>
      <c r="G103" s="52">
        <f>SUM(B103:F103)</f>
        <v/>
      </c>
    </row>
    <row r="104">
      <c r="A104" s="31" t="inlineStr">
        <is>
          <t>DS.2026.2370 Courtyards of Westfield 106</t>
        </is>
      </c>
      <c r="B104" s="32">
        <f>SUMIFS(tInv[Amount],tInv[Job],"DS.2026.2370 Courtyards of Westfield 106",tInv[Month],"2026-01")</f>
        <v/>
      </c>
      <c r="C104" s="32">
        <f>SUMIFS(tInv[Amount],tInv[Job],"DS.2026.2370 Courtyards of Westfield 106",tInv[Month],"2026-02")</f>
        <v/>
      </c>
      <c r="D104" s="32">
        <f>SUMIFS(tInv[Amount],tInv[Job],"DS.2026.2370 Courtyards of Westfield 106",tInv[Month],"2026-03")</f>
        <v/>
      </c>
      <c r="E104" s="32">
        <f>SUMIFS(tInv[Amount],tInv[Job],"DS.2026.2370 Courtyards of Westfield 106",tInv[Month],"2026-04")</f>
        <v/>
      </c>
      <c r="F104" s="32">
        <f>SUMIFS(tInv[Amount],tInv[Job],"DS.2026.2370 Courtyards of Westfield 106",tInv[Month],"2026-05")</f>
        <v/>
      </c>
      <c r="G104" s="52">
        <f>SUM(B104:F104)</f>
        <v/>
      </c>
    </row>
    <row r="105">
      <c r="A105" s="31" t="inlineStr">
        <is>
          <t>DS.2026.2407 Courtyards of Russel Oaks 126</t>
        </is>
      </c>
      <c r="B105" s="32">
        <f>SUMIFS(tInv[Amount],tInv[Job],"DS.2026.2407 Courtyards of Russel Oaks 126",tInv[Month],"2026-01")</f>
        <v/>
      </c>
      <c r="C105" s="32">
        <f>SUMIFS(tInv[Amount],tInv[Job],"DS.2026.2407 Courtyards of Russel Oaks 126",tInv[Month],"2026-02")</f>
        <v/>
      </c>
      <c r="D105" s="32">
        <f>SUMIFS(tInv[Amount],tInv[Job],"DS.2026.2407 Courtyards of Russel Oaks 126",tInv[Month],"2026-03")</f>
        <v/>
      </c>
      <c r="E105" s="32">
        <f>SUMIFS(tInv[Amount],tInv[Job],"DS.2026.2407 Courtyards of Russel Oaks 126",tInv[Month],"2026-04")</f>
        <v/>
      </c>
      <c r="F105" s="32">
        <f>SUMIFS(tInv[Amount],tInv[Job],"DS.2026.2407 Courtyards of Russel Oaks 126",tInv[Month],"2026-05")</f>
        <v/>
      </c>
      <c r="G105" s="52">
        <f>SUM(B105:F105)</f>
        <v/>
      </c>
    </row>
    <row r="106">
      <c r="A106" s="31" t="inlineStr">
        <is>
          <t>DS.2026.2418 118 Centre Place</t>
        </is>
      </c>
      <c r="B106" s="32">
        <f>SUMIFS(tInv[Amount],tInv[Job],"DS.2026.2418 118 Centre Place",tInv[Month],"2026-01")</f>
        <v/>
      </c>
      <c r="C106" s="32">
        <f>SUMIFS(tInv[Amount],tInv[Job],"DS.2026.2418 118 Centre Place",tInv[Month],"2026-02")</f>
        <v/>
      </c>
      <c r="D106" s="32">
        <f>SUMIFS(tInv[Amount],tInv[Job],"DS.2026.2418 118 Centre Place",tInv[Month],"2026-03")</f>
        <v/>
      </c>
      <c r="E106" s="32">
        <f>SUMIFS(tInv[Amount],tInv[Job],"DS.2026.2418 118 Centre Place",tInv[Month],"2026-04")</f>
        <v/>
      </c>
      <c r="F106" s="32">
        <f>SUMIFS(tInv[Amount],tInv[Job],"DS.2026.2418 118 Centre Place",tInv[Month],"2026-05")</f>
        <v/>
      </c>
      <c r="G106" s="52">
        <f>SUM(B106:F106)</f>
        <v/>
      </c>
    </row>
    <row r="107">
      <c r="A107" s="31" t="inlineStr">
        <is>
          <t>DS.2026.2416 52 Centre Place</t>
        </is>
      </c>
      <c r="B107" s="32">
        <f>SUMIFS(tInv[Amount],tInv[Job],"DS.2026.2416 52 Centre Place",tInv[Month],"2026-01")</f>
        <v/>
      </c>
      <c r="C107" s="32">
        <f>SUMIFS(tInv[Amount],tInv[Job],"DS.2026.2416 52 Centre Place",tInv[Month],"2026-02")</f>
        <v/>
      </c>
      <c r="D107" s="32">
        <f>SUMIFS(tInv[Amount],tInv[Job],"DS.2026.2416 52 Centre Place",tInv[Month],"2026-03")</f>
        <v/>
      </c>
      <c r="E107" s="32">
        <f>SUMIFS(tInv[Amount],tInv[Job],"DS.2026.2416 52 Centre Place",tInv[Month],"2026-04")</f>
        <v/>
      </c>
      <c r="F107" s="32">
        <f>SUMIFS(tInv[Amount],tInv[Job],"DS.2026.2416 52 Centre Place",tInv[Month],"2026-05")</f>
        <v/>
      </c>
      <c r="G107" s="52">
        <f>SUM(B107:F107)</f>
        <v/>
      </c>
    </row>
    <row r="108">
      <c r="A108" s="31" t="inlineStr">
        <is>
          <t>DS.2026.2425 14 Parks</t>
        </is>
      </c>
      <c r="B108" s="32">
        <f>SUMIFS(tInv[Amount],tInv[Job],"DS.2026.2425 14 Parks",tInv[Month],"2026-01")</f>
        <v/>
      </c>
      <c r="C108" s="32">
        <f>SUMIFS(tInv[Amount],tInv[Job],"DS.2026.2425 14 Parks",tInv[Month],"2026-02")</f>
        <v/>
      </c>
      <c r="D108" s="32">
        <f>SUMIFS(tInv[Amount],tInv[Job],"DS.2026.2425 14 Parks",tInv[Month],"2026-03")</f>
        <v/>
      </c>
      <c r="E108" s="32">
        <f>SUMIFS(tInv[Amount],tInv[Job],"DS.2026.2425 14 Parks",tInv[Month],"2026-04")</f>
        <v/>
      </c>
      <c r="F108" s="32">
        <f>SUMIFS(tInv[Amount],tInv[Job],"DS.2026.2425 14 Parks",tInv[Month],"2026-05")</f>
        <v/>
      </c>
      <c r="G108" s="52">
        <f>SUM(B108:F108)</f>
        <v/>
      </c>
    </row>
    <row r="109">
      <c r="A109" s="31" t="inlineStr">
        <is>
          <t>DS.2026.2426 121 Centre Place</t>
        </is>
      </c>
      <c r="B109" s="32">
        <f>SUMIFS(tInv[Amount],tInv[Job],"DS.2026.2426 121 Centre Place",tInv[Month],"2026-01")</f>
        <v/>
      </c>
      <c r="C109" s="32">
        <f>SUMIFS(tInv[Amount],tInv[Job],"DS.2026.2426 121 Centre Place",tInv[Month],"2026-02")</f>
        <v/>
      </c>
      <c r="D109" s="32">
        <f>SUMIFS(tInv[Amount],tInv[Job],"DS.2026.2426 121 Centre Place",tInv[Month],"2026-03")</f>
        <v/>
      </c>
      <c r="E109" s="32">
        <f>SUMIFS(tInv[Amount],tInv[Job],"DS.2026.2426 121 Centre Place",tInv[Month],"2026-04")</f>
        <v/>
      </c>
      <c r="F109" s="32">
        <f>SUMIFS(tInv[Amount],tInv[Job],"DS.2026.2426 121 Centre Place",tInv[Month],"2026-05")</f>
        <v/>
      </c>
      <c r="G109" s="52">
        <f>SUM(B109:F109)</f>
        <v/>
      </c>
    </row>
    <row r="110">
      <c r="A110" s="31" t="inlineStr">
        <is>
          <t>DS.2026.2403 Big Dawg Pickup 0327</t>
        </is>
      </c>
      <c r="B110" s="32">
        <f>SUMIFS(tInv[Amount],tInv[Job],"DS.2026.2403 Big Dawg Pickup 0327",tInv[Month],"2026-01")</f>
        <v/>
      </c>
      <c r="C110" s="32">
        <f>SUMIFS(tInv[Amount],tInv[Job],"DS.2026.2403 Big Dawg Pickup 0327",tInv[Month],"2026-02")</f>
        <v/>
      </c>
      <c r="D110" s="32">
        <f>SUMIFS(tInv[Amount],tInv[Job],"DS.2026.2403 Big Dawg Pickup 0327",tInv[Month],"2026-03")</f>
        <v/>
      </c>
      <c r="E110" s="32">
        <f>SUMIFS(tInv[Amount],tInv[Job],"DS.2026.2403 Big Dawg Pickup 0327",tInv[Month],"2026-04")</f>
        <v/>
      </c>
      <c r="F110" s="32">
        <f>SUMIFS(tInv[Amount],tInv[Job],"DS.2026.2403 Big Dawg Pickup 0327",tInv[Month],"2026-05")</f>
        <v/>
      </c>
      <c r="G110" s="52">
        <f>SUM(B110:F110)</f>
        <v/>
      </c>
    </row>
    <row r="111">
      <c r="A111" s="31" t="inlineStr">
        <is>
          <t>DS.2026.2428 9 Centre Place</t>
        </is>
      </c>
      <c r="B111" s="32">
        <f>SUMIFS(tInv[Amount],tInv[Job],"DS.2026.2428 9 Centre Place",tInv[Month],"2026-01")</f>
        <v/>
      </c>
      <c r="C111" s="32">
        <f>SUMIFS(tInv[Amount],tInv[Job],"DS.2026.2428 9 Centre Place",tInv[Month],"2026-02")</f>
        <v/>
      </c>
      <c r="D111" s="32">
        <f>SUMIFS(tInv[Amount],tInv[Job],"DS.2026.2428 9 Centre Place",tInv[Month],"2026-03")</f>
        <v/>
      </c>
      <c r="E111" s="32">
        <f>SUMIFS(tInv[Amount],tInv[Job],"DS.2026.2428 9 Centre Place",tInv[Month],"2026-04")</f>
        <v/>
      </c>
      <c r="F111" s="32">
        <f>SUMIFS(tInv[Amount],tInv[Job],"DS.2026.2428 9 Centre Place",tInv[Month],"2026-05")</f>
        <v/>
      </c>
      <c r="G111" s="52">
        <f>SUM(B111:F111)</f>
        <v/>
      </c>
    </row>
    <row r="112">
      <c r="A112" s="31" t="inlineStr">
        <is>
          <t>DS.2026.2420 7508 Central Ave</t>
        </is>
      </c>
      <c r="B112" s="32">
        <f>SUMIFS(tInv[Amount],tInv[Job],"DS.2026.2420 7508 Central Ave",tInv[Month],"2026-01")</f>
        <v/>
      </c>
      <c r="C112" s="32">
        <f>SUMIFS(tInv[Amount],tInv[Job],"DS.2026.2420 7508 Central Ave",tInv[Month],"2026-02")</f>
        <v/>
      </c>
      <c r="D112" s="32">
        <f>SUMIFS(tInv[Amount],tInv[Job],"DS.2026.2420 7508 Central Ave",tInv[Month],"2026-03")</f>
        <v/>
      </c>
      <c r="E112" s="32">
        <f>SUMIFS(tInv[Amount],tInv[Job],"DS.2026.2420 7508 Central Ave",tInv[Month],"2026-04")</f>
        <v/>
      </c>
      <c r="F112" s="32">
        <f>SUMIFS(tInv[Amount],tInv[Job],"DS.2026.2420 7508 Central Ave",tInv[Month],"2026-05")</f>
        <v/>
      </c>
      <c r="G112" s="52">
        <f>SUM(B112:F112)</f>
        <v/>
      </c>
    </row>
    <row r="113">
      <c r="A113" s="31" t="inlineStr">
        <is>
          <t>DS.2026.2384 225 N St Ave</t>
        </is>
      </c>
      <c r="B113" s="32">
        <f>SUMIFS(tInv[Amount],tInv[Job],"DS.2026.2384 225 N St Ave",tInv[Month],"2026-01")</f>
        <v/>
      </c>
      <c r="C113" s="32">
        <f>SUMIFS(tInv[Amount],tInv[Job],"DS.2026.2384 225 N St Ave",tInv[Month],"2026-02")</f>
        <v/>
      </c>
      <c r="D113" s="32">
        <f>SUMIFS(tInv[Amount],tInv[Job],"DS.2026.2384 225 N St Ave",tInv[Month],"2026-03")</f>
        <v/>
      </c>
      <c r="E113" s="32">
        <f>SUMIFS(tInv[Amount],tInv[Job],"DS.2026.2384 225 N St Ave",tInv[Month],"2026-04")</f>
        <v/>
      </c>
      <c r="F113" s="32">
        <f>SUMIFS(tInv[Amount],tInv[Job],"DS.2026.2384 225 N St Ave",tInv[Month],"2026-05")</f>
        <v/>
      </c>
      <c r="G113" s="52">
        <f>SUM(B113:F113)</f>
        <v/>
      </c>
    </row>
    <row r="114">
      <c r="A114" s="31" t="inlineStr">
        <is>
          <t>DS.2026.2417 117 Centre Place</t>
        </is>
      </c>
      <c r="B114" s="32">
        <f>SUMIFS(tInv[Amount],tInv[Job],"DS.2026.2417 117 Centre Place",tInv[Month],"2026-01")</f>
        <v/>
      </c>
      <c r="C114" s="32">
        <f>SUMIFS(tInv[Amount],tInv[Job],"DS.2026.2417 117 Centre Place",tInv[Month],"2026-02")</f>
        <v/>
      </c>
      <c r="D114" s="32">
        <f>SUMIFS(tInv[Amount],tInv[Job],"DS.2026.2417 117 Centre Place",tInv[Month],"2026-03")</f>
        <v/>
      </c>
      <c r="E114" s="32">
        <f>SUMIFS(tInv[Amount],tInv[Job],"DS.2026.2417 117 Centre Place",tInv[Month],"2026-04")</f>
        <v/>
      </c>
      <c r="F114" s="32">
        <f>SUMIFS(tInv[Amount],tInv[Job],"DS.2026.2417 117 Centre Place",tInv[Month],"2026-05")</f>
        <v/>
      </c>
      <c r="G114" s="52">
        <f>SUM(B114:F114)</f>
        <v/>
      </c>
    </row>
    <row r="115">
      <c r="A115" s="31" t="inlineStr">
        <is>
          <t>DS.2026.2419 120 Centre Place</t>
        </is>
      </c>
      <c r="B115" s="32">
        <f>SUMIFS(tInv[Amount],tInv[Job],"DS.2026.2419 120 Centre Place",tInv[Month],"2026-01")</f>
        <v/>
      </c>
      <c r="C115" s="32">
        <f>SUMIFS(tInv[Amount],tInv[Job],"DS.2026.2419 120 Centre Place",tInv[Month],"2026-02")</f>
        <v/>
      </c>
      <c r="D115" s="32">
        <f>SUMIFS(tInv[Amount],tInv[Job],"DS.2026.2419 120 Centre Place",tInv[Month],"2026-03")</f>
        <v/>
      </c>
      <c r="E115" s="32">
        <f>SUMIFS(tInv[Amount],tInv[Job],"DS.2026.2419 120 Centre Place",tInv[Month],"2026-04")</f>
        <v/>
      </c>
      <c r="F115" s="32">
        <f>SUMIFS(tInv[Amount],tInv[Job],"DS.2026.2419 120 Centre Place",tInv[Month],"2026-05")</f>
        <v/>
      </c>
      <c r="G115" s="52">
        <f>SUM(B115:F115)</f>
        <v/>
      </c>
    </row>
    <row r="116">
      <c r="A116" s="31" t="inlineStr">
        <is>
          <t>DS.2026.2372 Big Dawg Pickup 0115</t>
        </is>
      </c>
      <c r="B116" s="32">
        <f>SUMIFS(tInv[Amount],tInv[Job],"DS.2026.2372 Big Dawg Pickup 0115",tInv[Month],"2026-01")</f>
        <v/>
      </c>
      <c r="C116" s="32">
        <f>SUMIFS(tInv[Amount],tInv[Job],"DS.2026.2372 Big Dawg Pickup 0115",tInv[Month],"2026-02")</f>
        <v/>
      </c>
      <c r="D116" s="32">
        <f>SUMIFS(tInv[Amount],tInv[Job],"DS.2026.2372 Big Dawg Pickup 0115",tInv[Month],"2026-03")</f>
        <v/>
      </c>
      <c r="E116" s="32">
        <f>SUMIFS(tInv[Amount],tInv[Job],"DS.2026.2372 Big Dawg Pickup 0115",tInv[Month],"2026-04")</f>
        <v/>
      </c>
      <c r="F116" s="32">
        <f>SUMIFS(tInv[Amount],tInv[Job],"DS.2026.2372 Big Dawg Pickup 0115",tInv[Month],"2026-05")</f>
        <v/>
      </c>
      <c r="G116" s="52">
        <f>SUM(B116:F116)</f>
        <v/>
      </c>
    </row>
    <row r="117">
      <c r="A117" s="31" t="inlineStr">
        <is>
          <t>DS.2026.2424 10566 Coppergate</t>
        </is>
      </c>
      <c r="B117" s="32">
        <f>SUMIFS(tInv[Amount],tInv[Job],"DS.2026.2424 10566 Coppergate",tInv[Month],"2026-01")</f>
        <v/>
      </c>
      <c r="C117" s="32">
        <f>SUMIFS(tInv[Amount],tInv[Job],"DS.2026.2424 10566 Coppergate",tInv[Month],"2026-02")</f>
        <v/>
      </c>
      <c r="D117" s="32">
        <f>SUMIFS(tInv[Amount],tInv[Job],"DS.2026.2424 10566 Coppergate",tInv[Month],"2026-03")</f>
        <v/>
      </c>
      <c r="E117" s="32">
        <f>SUMIFS(tInv[Amount],tInv[Job],"DS.2026.2424 10566 Coppergate",tInv[Month],"2026-04")</f>
        <v/>
      </c>
      <c r="F117" s="32">
        <f>SUMIFS(tInv[Amount],tInv[Job],"DS.2026.2424 10566 Coppergate",tInv[Month],"2026-05")</f>
        <v/>
      </c>
      <c r="G117" s="52">
        <f>SUM(B117:F117)</f>
        <v/>
      </c>
    </row>
    <row r="118">
      <c r="A118" s="31" t="inlineStr">
        <is>
          <t>DS.2026.2411 Clark Remodel</t>
        </is>
      </c>
      <c r="B118" s="32">
        <f>SUMIFS(tInv[Amount],tInv[Job],"DS.2026.2411 Clark Remodel",tInv[Month],"2026-01")</f>
        <v/>
      </c>
      <c r="C118" s="32">
        <f>SUMIFS(tInv[Amount],tInv[Job],"DS.2026.2411 Clark Remodel",tInv[Month],"2026-02")</f>
        <v/>
      </c>
      <c r="D118" s="32">
        <f>SUMIFS(tInv[Amount],tInv[Job],"DS.2026.2411 Clark Remodel",tInv[Month],"2026-03")</f>
        <v/>
      </c>
      <c r="E118" s="32">
        <f>SUMIFS(tInv[Amount],tInv[Job],"DS.2026.2411 Clark Remodel",tInv[Month],"2026-04")</f>
        <v/>
      </c>
      <c r="F118" s="32">
        <f>SUMIFS(tInv[Amount],tInv[Job],"DS.2026.2411 Clark Remodel",tInv[Month],"2026-05")</f>
        <v/>
      </c>
      <c r="G118" s="52">
        <f>SUM(B118:F118)</f>
        <v/>
      </c>
    </row>
    <row r="119">
      <c r="A119" s="31" t="inlineStr">
        <is>
          <t>DS.2026.2364 GSI 1-6</t>
        </is>
      </c>
      <c r="B119" s="32">
        <f>SUMIFS(tInv[Amount],tInv[Job],"DS.2026.2364 GSI 1-6",tInv[Month],"2026-01")</f>
        <v/>
      </c>
      <c r="C119" s="32">
        <f>SUMIFS(tInv[Amount],tInv[Job],"DS.2026.2364 GSI 1-6",tInv[Month],"2026-02")</f>
        <v/>
      </c>
      <c r="D119" s="32">
        <f>SUMIFS(tInv[Amount],tInv[Job],"DS.2026.2364 GSI 1-6",tInv[Month],"2026-03")</f>
        <v/>
      </c>
      <c r="E119" s="32">
        <f>SUMIFS(tInv[Amount],tInv[Job],"DS.2026.2364 GSI 1-6",tInv[Month],"2026-04")</f>
        <v/>
      </c>
      <c r="F119" s="32">
        <f>SUMIFS(tInv[Amount],tInv[Job],"DS.2026.2364 GSI 1-6",tInv[Month],"2026-05")</f>
        <v/>
      </c>
      <c r="G119" s="52">
        <f>SUM(B119:F119)</f>
        <v/>
      </c>
    </row>
    <row r="120">
      <c r="A120" s="31" t="inlineStr">
        <is>
          <t>DS.2026.2429 108 Centre Place</t>
        </is>
      </c>
      <c r="B120" s="32">
        <f>SUMIFS(tInv[Amount],tInv[Job],"DS.2026.2429 108 Centre Place",tInv[Month],"2026-01")</f>
        <v/>
      </c>
      <c r="C120" s="32">
        <f>SUMIFS(tInv[Amount],tInv[Job],"DS.2026.2429 108 Centre Place",tInv[Month],"2026-02")</f>
        <v/>
      </c>
      <c r="D120" s="32">
        <f>SUMIFS(tInv[Amount],tInv[Job],"DS.2026.2429 108 Centre Place",tInv[Month],"2026-03")</f>
        <v/>
      </c>
      <c r="E120" s="32">
        <f>SUMIFS(tInv[Amount],tInv[Job],"DS.2026.2429 108 Centre Place",tInv[Month],"2026-04")</f>
        <v/>
      </c>
      <c r="F120" s="32">
        <f>SUMIFS(tInv[Amount],tInv[Job],"DS.2026.2429 108 Centre Place",tInv[Month],"2026-05")</f>
        <v/>
      </c>
      <c r="G120" s="52">
        <f>SUM(B120:F120)</f>
        <v/>
      </c>
    </row>
    <row r="121">
      <c r="A121" s="31" t="inlineStr">
        <is>
          <t>DS.2026.2430 119 Centre Place</t>
        </is>
      </c>
      <c r="B121" s="32">
        <f>SUMIFS(tInv[Amount],tInv[Job],"DS.2026.2430 119 Centre Place",tInv[Month],"2026-01")</f>
        <v/>
      </c>
      <c r="C121" s="32">
        <f>SUMIFS(tInv[Amount],tInv[Job],"DS.2026.2430 119 Centre Place",tInv[Month],"2026-02")</f>
        <v/>
      </c>
      <c r="D121" s="32">
        <f>SUMIFS(tInv[Amount],tInv[Job],"DS.2026.2430 119 Centre Place",tInv[Month],"2026-03")</f>
        <v/>
      </c>
      <c r="E121" s="32">
        <f>SUMIFS(tInv[Amount],tInv[Job],"DS.2026.2430 119 Centre Place",tInv[Month],"2026-04")</f>
        <v/>
      </c>
      <c r="F121" s="32">
        <f>SUMIFS(tInv[Amount],tInv[Job],"DS.2026.2430 119 Centre Place",tInv[Month],"2026-05")</f>
        <v/>
      </c>
      <c r="G121" s="52">
        <f>SUM(B121:F121)</f>
        <v/>
      </c>
    </row>
    <row r="122">
      <c r="A122" s="31" t="inlineStr">
        <is>
          <t>DS.2026.2431 123 Centre Place</t>
        </is>
      </c>
      <c r="B122" s="32">
        <f>SUMIFS(tInv[Amount],tInv[Job],"DS.2026.2431 123 Centre Place",tInv[Month],"2026-01")</f>
        <v/>
      </c>
      <c r="C122" s="32">
        <f>SUMIFS(tInv[Amount],tInv[Job],"DS.2026.2431 123 Centre Place",tInv[Month],"2026-02")</f>
        <v/>
      </c>
      <c r="D122" s="32">
        <f>SUMIFS(tInv[Amount],tInv[Job],"DS.2026.2431 123 Centre Place",tInv[Month],"2026-03")</f>
        <v/>
      </c>
      <c r="E122" s="32">
        <f>SUMIFS(tInv[Amount],tInv[Job],"DS.2026.2431 123 Centre Place",tInv[Month],"2026-04")</f>
        <v/>
      </c>
      <c r="F122" s="32">
        <f>SUMIFS(tInv[Amount],tInv[Job],"DS.2026.2431 123 Centre Place",tInv[Month],"2026-05")</f>
        <v/>
      </c>
      <c r="G122" s="52">
        <f>SUM(B122:F122)</f>
        <v/>
      </c>
    </row>
    <row r="123">
      <c r="A123" s="31" t="inlineStr">
        <is>
          <t>DS.2026.2379 124 S A Street</t>
        </is>
      </c>
      <c r="B123" s="32">
        <f>SUMIFS(tInv[Amount],tInv[Job],"DS.2026.2379 124 S A Street",tInv[Month],"2026-01")</f>
        <v/>
      </c>
      <c r="C123" s="32">
        <f>SUMIFS(tInv[Amount],tInv[Job],"DS.2026.2379 124 S A Street",tInv[Month],"2026-02")</f>
        <v/>
      </c>
      <c r="D123" s="32">
        <f>SUMIFS(tInv[Amount],tInv[Job],"DS.2026.2379 124 S A Street",tInv[Month],"2026-03")</f>
        <v/>
      </c>
      <c r="E123" s="32">
        <f>SUMIFS(tInv[Amount],tInv[Job],"DS.2026.2379 124 S A Street",tInv[Month],"2026-04")</f>
        <v/>
      </c>
      <c r="F123" s="32">
        <f>SUMIFS(tInv[Amount],tInv[Job],"DS.2026.2379 124 S A Street",tInv[Month],"2026-05")</f>
        <v/>
      </c>
      <c r="G123" s="52">
        <f>SUM(B123:F123)</f>
        <v/>
      </c>
    </row>
    <row r="124">
      <c r="A124" s="31" t="inlineStr">
        <is>
          <t>DS.2026.2414 10824 McPherson St</t>
        </is>
      </c>
      <c r="B124" s="32">
        <f>SUMIFS(tInv[Amount],tInv[Job],"DS.2026.2414 10824 McPherson St",tInv[Month],"2026-01")</f>
        <v/>
      </c>
      <c r="C124" s="32">
        <f>SUMIFS(tInv[Amount],tInv[Job],"DS.2026.2414 10824 McPherson St",tInv[Month],"2026-02")</f>
        <v/>
      </c>
      <c r="D124" s="32">
        <f>SUMIFS(tInv[Amount],tInv[Job],"DS.2026.2414 10824 McPherson St",tInv[Month],"2026-03")</f>
        <v/>
      </c>
      <c r="E124" s="32">
        <f>SUMIFS(tInv[Amount],tInv[Job],"DS.2026.2414 10824 McPherson St",tInv[Month],"2026-04")</f>
        <v/>
      </c>
      <c r="F124" s="32">
        <f>SUMIFS(tInv[Amount],tInv[Job],"DS.2026.2414 10824 McPherson St",tInv[Month],"2026-05")</f>
        <v/>
      </c>
      <c r="G124" s="52">
        <f>SUM(B124:F124)</f>
        <v/>
      </c>
    </row>
    <row r="125">
      <c r="A125" s="31" t="inlineStr">
        <is>
          <t>DS.2026.2415 10826 McPherson St</t>
        </is>
      </c>
      <c r="B125" s="32">
        <f>SUMIFS(tInv[Amount],tInv[Job],"DS.2026.2415 10826 McPherson St",tInv[Month],"2026-01")</f>
        <v/>
      </c>
      <c r="C125" s="32">
        <f>SUMIFS(tInv[Amount],tInv[Job],"DS.2026.2415 10826 McPherson St",tInv[Month],"2026-02")</f>
        <v/>
      </c>
      <c r="D125" s="32">
        <f>SUMIFS(tInv[Amount],tInv[Job],"DS.2026.2415 10826 McPherson St",tInv[Month],"2026-03")</f>
        <v/>
      </c>
      <c r="E125" s="32">
        <f>SUMIFS(tInv[Amount],tInv[Job],"DS.2026.2415 10826 McPherson St",tInv[Month],"2026-04")</f>
        <v/>
      </c>
      <c r="F125" s="32">
        <f>SUMIFS(tInv[Amount],tInv[Job],"DS.2026.2415 10826 McPherson St",tInv[Month],"2026-05")</f>
        <v/>
      </c>
      <c r="G125" s="52">
        <f>SUM(B125:F125)</f>
        <v/>
      </c>
    </row>
    <row r="126">
      <c r="A126" s="31" t="inlineStr">
        <is>
          <t>DS.2026.2423 10816 McPherson St</t>
        </is>
      </c>
      <c r="B126" s="32">
        <f>SUMIFS(tInv[Amount],tInv[Job],"DS.2026.2423 10816 McPherson St",tInv[Month],"2026-01")</f>
        <v/>
      </c>
      <c r="C126" s="32">
        <f>SUMIFS(tInv[Amount],tInv[Job],"DS.2026.2423 10816 McPherson St",tInv[Month],"2026-02")</f>
        <v/>
      </c>
      <c r="D126" s="32">
        <f>SUMIFS(tInv[Amount],tInv[Job],"DS.2026.2423 10816 McPherson St",tInv[Month],"2026-03")</f>
        <v/>
      </c>
      <c r="E126" s="32">
        <f>SUMIFS(tInv[Amount],tInv[Job],"DS.2026.2423 10816 McPherson St",tInv[Month],"2026-04")</f>
        <v/>
      </c>
      <c r="F126" s="32">
        <f>SUMIFS(tInv[Amount],tInv[Job],"DS.2026.2423 10816 McPherson St",tInv[Month],"2026-05")</f>
        <v/>
      </c>
      <c r="G126" s="52">
        <f>SUM(B126:F126)</f>
        <v/>
      </c>
    </row>
    <row r="127">
      <c r="A127" s="31" t="inlineStr">
        <is>
          <t>DS.2026.2422 10814 McPherson St</t>
        </is>
      </c>
      <c r="B127" s="32">
        <f>SUMIFS(tInv[Amount],tInv[Job],"DS.2026.2422 10814 McPherson St",tInv[Month],"2026-01")</f>
        <v/>
      </c>
      <c r="C127" s="32">
        <f>SUMIFS(tInv[Amount],tInv[Job],"DS.2026.2422 10814 McPherson St",tInv[Month],"2026-02")</f>
        <v/>
      </c>
      <c r="D127" s="32">
        <f>SUMIFS(tInv[Amount],tInv[Job],"DS.2026.2422 10814 McPherson St",tInv[Month],"2026-03")</f>
        <v/>
      </c>
      <c r="E127" s="32">
        <f>SUMIFS(tInv[Amount],tInv[Job],"DS.2026.2422 10814 McPherson St",tInv[Month],"2026-04")</f>
        <v/>
      </c>
      <c r="F127" s="32">
        <f>SUMIFS(tInv[Amount],tInv[Job],"DS.2026.2422 10814 McPherson St",tInv[Month],"2026-05")</f>
        <v/>
      </c>
      <c r="G127" s="52">
        <f>SUM(B127:F127)</f>
        <v/>
      </c>
    </row>
    <row r="128">
      <c r="A128" s="31" t="inlineStr">
        <is>
          <t>DS.2026.2390 510 W Pine St</t>
        </is>
      </c>
      <c r="B128" s="32">
        <f>SUMIFS(tInv[Amount],tInv[Job],"DS.2026.2390 510 W Pine St",tInv[Month],"2026-01")</f>
        <v/>
      </c>
      <c r="C128" s="32">
        <f>SUMIFS(tInv[Amount],tInv[Job],"DS.2026.2390 510 W Pine St",tInv[Month],"2026-02")</f>
        <v/>
      </c>
      <c r="D128" s="32">
        <f>SUMIFS(tInv[Amount],tInv[Job],"DS.2026.2390 510 W Pine St",tInv[Month],"2026-03")</f>
        <v/>
      </c>
      <c r="E128" s="32">
        <f>SUMIFS(tInv[Amount],tInv[Job],"DS.2026.2390 510 W Pine St",tInv[Month],"2026-04")</f>
        <v/>
      </c>
      <c r="F128" s="32">
        <f>SUMIFS(tInv[Amount],tInv[Job],"DS.2026.2390 510 W Pine St",tInv[Month],"2026-05")</f>
        <v/>
      </c>
      <c r="G128" s="52">
        <f>SUM(B128:F128)</f>
        <v/>
      </c>
    </row>
    <row r="129">
      <c r="A129" s="31" t="inlineStr">
        <is>
          <t>DS.2026.2391 0218 Jose Iracheta</t>
        </is>
      </c>
      <c r="B129" s="32">
        <f>SUMIFS(tInv[Amount],tInv[Job],"DS.2026.2391 0218 Jose Iracheta",tInv[Month],"2026-01")</f>
        <v/>
      </c>
      <c r="C129" s="32">
        <f>SUMIFS(tInv[Amount],tInv[Job],"DS.2026.2391 0218 Jose Iracheta",tInv[Month],"2026-02")</f>
        <v/>
      </c>
      <c r="D129" s="32">
        <f>SUMIFS(tInv[Amount],tInv[Job],"DS.2026.2391 0218 Jose Iracheta",tInv[Month],"2026-03")</f>
        <v/>
      </c>
      <c r="E129" s="32">
        <f>SUMIFS(tInv[Amount],tInv[Job],"DS.2026.2391 0218 Jose Iracheta",tInv[Month],"2026-04")</f>
        <v/>
      </c>
      <c r="F129" s="32">
        <f>SUMIFS(tInv[Amount],tInv[Job],"DS.2026.2391 0218 Jose Iracheta",tInv[Month],"2026-05")</f>
        <v/>
      </c>
      <c r="G129" s="52">
        <f>SUM(B129:F129)</f>
        <v/>
      </c>
    </row>
    <row r="130">
      <c r="A130" s="31" t="inlineStr">
        <is>
          <t>DS.2026.2427 Dapp Garage</t>
        </is>
      </c>
      <c r="B130" s="32">
        <f>SUMIFS(tInv[Amount],tInv[Job],"DS.2026.2427 Dapp Garage",tInv[Month],"2026-01")</f>
        <v/>
      </c>
      <c r="C130" s="32">
        <f>SUMIFS(tInv[Amount],tInv[Job],"DS.2026.2427 Dapp Garage",tInv[Month],"2026-02")</f>
        <v/>
      </c>
      <c r="D130" s="32">
        <f>SUMIFS(tInv[Amount],tInv[Job],"DS.2026.2427 Dapp Garage",tInv[Month],"2026-03")</f>
        <v/>
      </c>
      <c r="E130" s="32">
        <f>SUMIFS(tInv[Amount],tInv[Job],"DS.2026.2427 Dapp Garage",tInv[Month],"2026-04")</f>
        <v/>
      </c>
      <c r="F130" s="32">
        <f>SUMIFS(tInv[Amount],tInv[Job],"DS.2026.2427 Dapp Garage",tInv[Month],"2026-05")</f>
        <v/>
      </c>
      <c r="G130" s="52">
        <f>SUM(B130:F130)</f>
        <v/>
      </c>
    </row>
    <row r="131">
      <c r="A131" s="31" t="inlineStr">
        <is>
          <t>2024.912 Upland Columbus</t>
        </is>
      </c>
      <c r="B131" s="32">
        <f>SUMIFS(tInv[Amount],tInv[Job],"2024.912 Upland Columbus",tInv[Month],"2026-01")</f>
        <v/>
      </c>
      <c r="C131" s="32">
        <f>SUMIFS(tInv[Amount],tInv[Job],"2024.912 Upland Columbus",tInv[Month],"2026-02")</f>
        <v/>
      </c>
      <c r="D131" s="32">
        <f>SUMIFS(tInv[Amount],tInv[Job],"2024.912 Upland Columbus",tInv[Month],"2026-03")</f>
        <v/>
      </c>
      <c r="E131" s="32">
        <f>SUMIFS(tInv[Amount],tInv[Job],"2024.912 Upland Columbus",tInv[Month],"2026-04")</f>
        <v/>
      </c>
      <c r="F131" s="32">
        <f>SUMIFS(tInv[Amount],tInv[Job],"2024.912 Upland Columbus",tInv[Month],"2026-05")</f>
        <v/>
      </c>
      <c r="G131" s="52">
        <f>SUM(B131:F131)</f>
        <v/>
      </c>
    </row>
    <row r="132">
      <c r="A132" s="31" t="inlineStr">
        <is>
          <t>2025.999 Romet PWSI</t>
        </is>
      </c>
      <c r="B132" s="32">
        <f>SUMIFS(tInv[Amount],tInv[Job],"2025.999 Romet PWSI",tInv[Month],"2026-01")</f>
        <v/>
      </c>
      <c r="C132" s="32">
        <f>SUMIFS(tInv[Amount],tInv[Job],"2025.999 Romet PWSI",tInv[Month],"2026-02")</f>
        <v/>
      </c>
      <c r="D132" s="32">
        <f>SUMIFS(tInv[Amount],tInv[Job],"2025.999 Romet PWSI",tInv[Month],"2026-03")</f>
        <v/>
      </c>
      <c r="E132" s="32">
        <f>SUMIFS(tInv[Amount],tInv[Job],"2025.999 Romet PWSI",tInv[Month],"2026-04")</f>
        <v/>
      </c>
      <c r="F132" s="32">
        <f>SUMIFS(tInv[Amount],tInv[Job],"2025.999 Romet PWSI",tInv[Month],"2026-05")</f>
        <v/>
      </c>
      <c r="G132" s="52">
        <f>SUM(B132:F132)</f>
        <v/>
      </c>
    </row>
    <row r="133">
      <c r="A133" s="31" t="inlineStr">
        <is>
          <t>DS.2026.2381 Hunt Addition</t>
        </is>
      </c>
      <c r="B133" s="32">
        <f>SUMIFS(tInv[Amount],tInv[Job],"DS.2026.2381 Hunt Addition",tInv[Month],"2026-01")</f>
        <v/>
      </c>
      <c r="C133" s="32">
        <f>SUMIFS(tInv[Amount],tInv[Job],"DS.2026.2381 Hunt Addition",tInv[Month],"2026-02")</f>
        <v/>
      </c>
      <c r="D133" s="32">
        <f>SUMIFS(tInv[Amount],tInv[Job],"DS.2026.2381 Hunt Addition",tInv[Month],"2026-03")</f>
        <v/>
      </c>
      <c r="E133" s="32">
        <f>SUMIFS(tInv[Amount],tInv[Job],"DS.2026.2381 Hunt Addition",tInv[Month],"2026-04")</f>
        <v/>
      </c>
      <c r="F133" s="32">
        <f>SUMIFS(tInv[Amount],tInv[Job],"DS.2026.2381 Hunt Addition",tInv[Month],"2026-05")</f>
        <v/>
      </c>
      <c r="G133" s="52">
        <f>SUM(B133:F133)</f>
        <v/>
      </c>
    </row>
    <row r="134">
      <c r="A134" s="31" t="inlineStr">
        <is>
          <t>DS.2026.2374 Precision Pickup 0127</t>
        </is>
      </c>
      <c r="B134" s="32">
        <f>SUMIFS(tInv[Amount],tInv[Job],"DS.2026.2374 Precision Pickup 0127",tInv[Month],"2026-01")</f>
        <v/>
      </c>
      <c r="C134" s="32">
        <f>SUMIFS(tInv[Amount],tInv[Job],"DS.2026.2374 Precision Pickup 0127",tInv[Month],"2026-02")</f>
        <v/>
      </c>
      <c r="D134" s="32">
        <f>SUMIFS(tInv[Amount],tInv[Job],"DS.2026.2374 Precision Pickup 0127",tInv[Month],"2026-03")</f>
        <v/>
      </c>
      <c r="E134" s="32">
        <f>SUMIFS(tInv[Amount],tInv[Job],"DS.2026.2374 Precision Pickup 0127",tInv[Month],"2026-04")</f>
        <v/>
      </c>
      <c r="F134" s="32">
        <f>SUMIFS(tInv[Amount],tInv[Job],"DS.2026.2374 Precision Pickup 0127",tInv[Month],"2026-05")</f>
        <v/>
      </c>
      <c r="G134" s="52">
        <f>SUM(B134:F134)</f>
        <v/>
      </c>
    </row>
    <row r="135">
      <c r="A135" s="31" t="inlineStr">
        <is>
          <t>DS.2026.2413 Precision Pickup 0501</t>
        </is>
      </c>
      <c r="B135" s="32">
        <f>SUMIFS(tInv[Amount],tInv[Job],"DS.2026.2413 Precision Pickup 0501",tInv[Month],"2026-01")</f>
        <v/>
      </c>
      <c r="C135" s="32">
        <f>SUMIFS(tInv[Amount],tInv[Job],"DS.2026.2413 Precision Pickup 0501",tInv[Month],"2026-02")</f>
        <v/>
      </c>
      <c r="D135" s="32">
        <f>SUMIFS(tInv[Amount],tInv[Job],"DS.2026.2413 Precision Pickup 0501",tInv[Month],"2026-03")</f>
        <v/>
      </c>
      <c r="E135" s="32">
        <f>SUMIFS(tInv[Amount],tInv[Job],"DS.2026.2413 Precision Pickup 0501",tInv[Month],"2026-04")</f>
        <v/>
      </c>
      <c r="F135" s="32">
        <f>SUMIFS(tInv[Amount],tInv[Job],"DS.2026.2413 Precision Pickup 0501",tInv[Month],"2026-05")</f>
        <v/>
      </c>
      <c r="G135" s="52">
        <f>SUM(B135:F135)</f>
        <v/>
      </c>
    </row>
    <row r="136">
      <c r="A136" s="31" t="inlineStr">
        <is>
          <t>DS.2026.2382 Cohoat House</t>
        </is>
      </c>
      <c r="B136" s="32">
        <f>SUMIFS(tInv[Amount],tInv[Job],"DS.2026.2382 Cohoat House",tInv[Month],"2026-01")</f>
        <v/>
      </c>
      <c r="C136" s="32">
        <f>SUMIFS(tInv[Amount],tInv[Job],"DS.2026.2382 Cohoat House",tInv[Month],"2026-02")</f>
        <v/>
      </c>
      <c r="D136" s="32">
        <f>SUMIFS(tInv[Amount],tInv[Job],"DS.2026.2382 Cohoat House",tInv[Month],"2026-03")</f>
        <v/>
      </c>
      <c r="E136" s="32">
        <f>SUMIFS(tInv[Amount],tInv[Job],"DS.2026.2382 Cohoat House",tInv[Month],"2026-04")</f>
        <v/>
      </c>
      <c r="F136" s="32">
        <f>SUMIFS(tInv[Amount],tInv[Job],"DS.2026.2382 Cohoat House",tInv[Month],"2026-05")</f>
        <v/>
      </c>
      <c r="G136" s="52">
        <f>SUM(B136:F136)</f>
        <v/>
      </c>
    </row>
    <row r="137">
      <c r="A137" s="31" t="inlineStr">
        <is>
          <t>DS.2026.2367 Courtyards of Russell Oaks 126</t>
        </is>
      </c>
      <c r="B137" s="32">
        <f>SUMIFS(tInv[Amount],tInv[Job],"DS.2026.2367 Courtyards of Russell Oaks 126",tInv[Month],"2026-01")</f>
        <v/>
      </c>
      <c r="C137" s="32">
        <f>SUMIFS(tInv[Amount],tInv[Job],"DS.2026.2367 Courtyards of Russell Oaks 126",tInv[Month],"2026-02")</f>
        <v/>
      </c>
      <c r="D137" s="32">
        <f>SUMIFS(tInv[Amount],tInv[Job],"DS.2026.2367 Courtyards of Russell Oaks 126",tInv[Month],"2026-03")</f>
        <v/>
      </c>
      <c r="E137" s="32">
        <f>SUMIFS(tInv[Amount],tInv[Job],"DS.2026.2367 Courtyards of Russell Oaks 126",tInv[Month],"2026-04")</f>
        <v/>
      </c>
      <c r="F137" s="32">
        <f>SUMIFS(tInv[Amount],tInv[Job],"DS.2026.2367 Courtyards of Russell Oaks 126",tInv[Month],"2026-05")</f>
        <v/>
      </c>
      <c r="G137" s="52">
        <f>SUM(B137:F137)</f>
        <v/>
      </c>
    </row>
    <row r="138">
      <c r="A138" s="31" t="inlineStr">
        <is>
          <t>DS.2026.2397 Courtyards of Cielo Ranch 26</t>
        </is>
      </c>
      <c r="B138" s="32">
        <f>SUMIFS(tInv[Amount],tInv[Job],"DS.2026.2397 Courtyards of Cielo Ranch 26",tInv[Month],"2026-01")</f>
        <v/>
      </c>
      <c r="C138" s="32">
        <f>SUMIFS(tInv[Amount],tInv[Job],"DS.2026.2397 Courtyards of Cielo Ranch 26",tInv[Month],"2026-02")</f>
        <v/>
      </c>
      <c r="D138" s="32">
        <f>SUMIFS(tInv[Amount],tInv[Job],"DS.2026.2397 Courtyards of Cielo Ranch 26",tInv[Month],"2026-03")</f>
        <v/>
      </c>
      <c r="E138" s="32">
        <f>SUMIFS(tInv[Amount],tInv[Job],"DS.2026.2397 Courtyards of Cielo Ranch 26",tInv[Month],"2026-04")</f>
        <v/>
      </c>
      <c r="F138" s="32">
        <f>SUMIFS(tInv[Amount],tInv[Job],"DS.2026.2397 Courtyards of Cielo Ranch 26",tInv[Month],"2026-05")</f>
        <v/>
      </c>
      <c r="G138" s="52">
        <f>SUM(B138:F138)</f>
        <v/>
      </c>
    </row>
    <row r="139">
      <c r="A139" s="31" t="inlineStr">
        <is>
          <t>DS.2026.2362 Courtyards of Russel Oaks 127</t>
        </is>
      </c>
      <c r="B139" s="32">
        <f>SUMIFS(tInv[Amount],tInv[Job],"DS.2026.2362 Courtyards of Russel Oaks 127",tInv[Month],"2026-01")</f>
        <v/>
      </c>
      <c r="C139" s="32">
        <f>SUMIFS(tInv[Amount],tInv[Job],"DS.2026.2362 Courtyards of Russel Oaks 127",tInv[Month],"2026-02")</f>
        <v/>
      </c>
      <c r="D139" s="32">
        <f>SUMIFS(tInv[Amount],tInv[Job],"DS.2026.2362 Courtyards of Russel Oaks 127",tInv[Month],"2026-03")</f>
        <v/>
      </c>
      <c r="E139" s="32">
        <f>SUMIFS(tInv[Amount],tInv[Job],"DS.2026.2362 Courtyards of Russel Oaks 127",tInv[Month],"2026-04")</f>
        <v/>
      </c>
      <c r="F139" s="32">
        <f>SUMIFS(tInv[Amount],tInv[Job],"DS.2026.2362 Courtyards of Russel Oaks 127",tInv[Month],"2026-05")</f>
        <v/>
      </c>
      <c r="G139" s="52">
        <f>SUM(B139:F139)</f>
        <v/>
      </c>
    </row>
    <row r="140">
      <c r="A140" s="31" t="inlineStr">
        <is>
          <t>DS.2026.2395 Courtyards of Westfield 103</t>
        </is>
      </c>
      <c r="B140" s="32">
        <f>SUMIFS(tInv[Amount],tInv[Job],"DS.2026.2395 Courtyards of Westfield 103",tInv[Month],"2026-01")</f>
        <v/>
      </c>
      <c r="C140" s="32">
        <f>SUMIFS(tInv[Amount],tInv[Job],"DS.2026.2395 Courtyards of Westfield 103",tInv[Month],"2026-02")</f>
        <v/>
      </c>
      <c r="D140" s="32">
        <f>SUMIFS(tInv[Amount],tInv[Job],"DS.2026.2395 Courtyards of Westfield 103",tInv[Month],"2026-03")</f>
        <v/>
      </c>
      <c r="E140" s="32">
        <f>SUMIFS(tInv[Amount],tInv[Job],"DS.2026.2395 Courtyards of Westfield 103",tInv[Month],"2026-04")</f>
        <v/>
      </c>
      <c r="F140" s="32">
        <f>SUMIFS(tInv[Amount],tInv[Job],"DS.2026.2395 Courtyards of Westfield 103",tInv[Month],"2026-05")</f>
        <v/>
      </c>
      <c r="G140" s="52">
        <f>SUM(B140:F140)</f>
        <v/>
      </c>
    </row>
    <row r="141">
      <c r="A141" s="31" t="inlineStr">
        <is>
          <t>DS.2026.2393 Precision Pickup 0216</t>
        </is>
      </c>
      <c r="B141" s="32">
        <f>SUMIFS(tInv[Amount],tInv[Job],"DS.2026.2393 Precision Pickup 0216",tInv[Month],"2026-01")</f>
        <v/>
      </c>
      <c r="C141" s="32">
        <f>SUMIFS(tInv[Amount],tInv[Job],"DS.2026.2393 Precision Pickup 0216",tInv[Month],"2026-02")</f>
        <v/>
      </c>
      <c r="D141" s="32">
        <f>SUMIFS(tInv[Amount],tInv[Job],"DS.2026.2393 Precision Pickup 0216",tInv[Month],"2026-03")</f>
        <v/>
      </c>
      <c r="E141" s="32">
        <f>SUMIFS(tInv[Amount],tInv[Job],"DS.2026.2393 Precision Pickup 0216",tInv[Month],"2026-04")</f>
        <v/>
      </c>
      <c r="F141" s="32">
        <f>SUMIFS(tInv[Amount],tInv[Job],"DS.2026.2393 Precision Pickup 0216",tInv[Month],"2026-05")</f>
        <v/>
      </c>
      <c r="G141" s="52">
        <f>SUM(B141:F141)</f>
        <v/>
      </c>
    </row>
    <row r="142">
      <c r="A142" s="31" t="inlineStr">
        <is>
          <t>DS.2026.2373 Precision Pickup 0120</t>
        </is>
      </c>
      <c r="B142" s="32">
        <f>SUMIFS(tInv[Amount],tInv[Job],"DS.2026.2373 Precision Pickup 0120",tInv[Month],"2026-01")</f>
        <v/>
      </c>
      <c r="C142" s="32">
        <f>SUMIFS(tInv[Amount],tInv[Job],"DS.2026.2373 Precision Pickup 0120",tInv[Month],"2026-02")</f>
        <v/>
      </c>
      <c r="D142" s="32">
        <f>SUMIFS(tInv[Amount],tInv[Job],"DS.2026.2373 Precision Pickup 0120",tInv[Month],"2026-03")</f>
        <v/>
      </c>
      <c r="E142" s="32">
        <f>SUMIFS(tInv[Amount],tInv[Job],"DS.2026.2373 Precision Pickup 0120",tInv[Month],"2026-04")</f>
        <v/>
      </c>
      <c r="F142" s="32">
        <f>SUMIFS(tInv[Amount],tInv[Job],"DS.2026.2373 Precision Pickup 0120",tInv[Month],"2026-05")</f>
        <v/>
      </c>
      <c r="G142" s="52">
        <f>SUM(B142:F142)</f>
        <v/>
      </c>
    </row>
    <row r="143">
      <c r="A143" s="31" t="inlineStr">
        <is>
          <t>DS.2026.2409 Precision Pickup 0410</t>
        </is>
      </c>
      <c r="B143" s="32">
        <f>SUMIFS(tInv[Amount],tInv[Job],"DS.2026.2409 Precision Pickup 0410",tInv[Month],"2026-01")</f>
        <v/>
      </c>
      <c r="C143" s="32">
        <f>SUMIFS(tInv[Amount],tInv[Job],"DS.2026.2409 Precision Pickup 0410",tInv[Month],"2026-02")</f>
        <v/>
      </c>
      <c r="D143" s="32">
        <f>SUMIFS(tInv[Amount],tInv[Job],"DS.2026.2409 Precision Pickup 0410",tInv[Month],"2026-03")</f>
        <v/>
      </c>
      <c r="E143" s="32">
        <f>SUMIFS(tInv[Amount],tInv[Job],"DS.2026.2409 Precision Pickup 0410",tInv[Month],"2026-04")</f>
        <v/>
      </c>
      <c r="F143" s="32">
        <f>SUMIFS(tInv[Amount],tInv[Job],"DS.2026.2409 Precision Pickup 0410",tInv[Month],"2026-05")</f>
        <v/>
      </c>
      <c r="G143" s="52">
        <f>SUM(B143:F143)</f>
        <v/>
      </c>
    </row>
    <row r="144">
      <c r="A144" s="31" t="inlineStr">
        <is>
          <t>2024.874 Noblesville HS Academic Addition &amp; Renovation</t>
        </is>
      </c>
      <c r="B144" s="32">
        <f>SUMIFS(tInv[Amount],tInv[Job],"2024.874 Noblesville HS Academic Addition &amp; Renovation",tInv[Month],"2026-01")</f>
        <v/>
      </c>
      <c r="C144" s="32">
        <f>SUMIFS(tInv[Amount],tInv[Job],"2024.874 Noblesville HS Academic Addition &amp; Renovation",tInv[Month],"2026-02")</f>
        <v/>
      </c>
      <c r="D144" s="32">
        <f>SUMIFS(tInv[Amount],tInv[Job],"2024.874 Noblesville HS Academic Addition &amp; Renovation",tInv[Month],"2026-03")</f>
        <v/>
      </c>
      <c r="E144" s="32">
        <f>SUMIFS(tInv[Amount],tInv[Job],"2024.874 Noblesville HS Academic Addition &amp; Renovation",tInv[Month],"2026-04")</f>
        <v/>
      </c>
      <c r="F144" s="32">
        <f>SUMIFS(tInv[Amount],tInv[Job],"2024.874 Noblesville HS Academic Addition &amp; Renovation",tInv[Month],"2026-05")</f>
        <v/>
      </c>
      <c r="G144" s="52">
        <f>SUM(B144:F144)</f>
        <v/>
      </c>
    </row>
    <row r="145">
      <c r="A145" s="31" t="inlineStr">
        <is>
          <t>MF.2024.875 Purdue Student Housing</t>
        </is>
      </c>
      <c r="B145" s="32">
        <f>SUMIFS(tInv[Amount],tInv[Job],"MF.2024.875 Purdue Student Housing",tInv[Month],"2026-01")</f>
        <v/>
      </c>
      <c r="C145" s="32">
        <f>SUMIFS(tInv[Amount],tInv[Job],"MF.2024.875 Purdue Student Housing",tInv[Month],"2026-02")</f>
        <v/>
      </c>
      <c r="D145" s="32">
        <f>SUMIFS(tInv[Amount],tInv[Job],"MF.2024.875 Purdue Student Housing",tInv[Month],"2026-03")</f>
        <v/>
      </c>
      <c r="E145" s="32">
        <f>SUMIFS(tInv[Amount],tInv[Job],"MF.2024.875 Purdue Student Housing",tInv[Month],"2026-04")</f>
        <v/>
      </c>
      <c r="F145" s="32">
        <f>SUMIFS(tInv[Amount],tInv[Job],"MF.2024.875 Purdue Student Housing",tInv[Month],"2026-05")</f>
        <v/>
      </c>
      <c r="G145" s="52">
        <f>SUM(B145:F145)</f>
        <v/>
      </c>
    </row>
    <row r="146">
      <c r="A146" s="37" t="inlineStr">
        <is>
          <t>Total — all jobs</t>
        </is>
      </c>
      <c r="B146" s="47">
        <f>SUM(B6:B145)</f>
        <v/>
      </c>
      <c r="C146" s="47">
        <f>SUM(C6:C145)</f>
        <v/>
      </c>
      <c r="D146" s="47">
        <f>SUM(D6:D145)</f>
        <v/>
      </c>
      <c r="E146" s="47">
        <f>SUM(E6:E145)</f>
        <v/>
      </c>
      <c r="F146" s="47">
        <f>SUM(F6:F145)</f>
        <v/>
      </c>
      <c r="G146" s="47">
        <f>SUM(G6:G145)</f>
        <v/>
      </c>
    </row>
  </sheetData>
  <mergeCells count="3">
    <mergeCell ref="A3:N3"/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AA3AF"/>
    <outlinePr summaryBelow="1" summaryRight="1"/>
    <pageSetUpPr/>
  </sheetPr>
  <dimension ref="A1:AH116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</cols>
  <sheetData>
    <row r="1">
      <c r="A1" s="53" t="inlineStr">
        <is>
          <t>DATA — source tables. Edit here (or re-run the refresh) and the report sheets recalc. Each table is labeled with its source.</t>
        </is>
      </c>
    </row>
    <row r="3">
      <c r="A3" s="54" t="inlineStr">
        <is>
          <t>tGL   —   QuickBooks Online — Profit &amp; Loss   —   as of 2026-06-17</t>
        </is>
      </c>
    </row>
    <row r="4">
      <c r="A4" s="55" t="inlineStr">
        <is>
          <t>Account</t>
        </is>
      </c>
      <c r="B4" s="55" t="inlineStr">
        <is>
          <t>Period</t>
        </is>
      </c>
      <c r="C4" s="55" t="inlineStr">
        <is>
          <t>PeriodEnd</t>
        </is>
      </c>
      <c r="D4" s="55" t="inlineStr">
        <is>
          <t>DivKey</t>
        </is>
      </c>
      <c r="E4" s="55" t="inlineStr">
        <is>
          <t>Amount</t>
        </is>
      </c>
      <c r="F4" s="55" t="inlineStr">
        <is>
          <t>Category</t>
        </is>
      </c>
    </row>
    <row r="5">
      <c r="A5" s="56" t="inlineStr">
        <is>
          <t>Billable Expense Income</t>
        </is>
      </c>
      <c r="B5" s="56" t="inlineStr">
        <is>
          <t>FY2024</t>
        </is>
      </c>
      <c r="C5" s="56" t="inlineStr">
        <is>
          <t>2024-12-31</t>
        </is>
      </c>
      <c r="D5" s="56" t="inlineStr">
        <is>
          <t>ALL</t>
        </is>
      </c>
      <c r="E5" s="57" t="n">
        <v>10032</v>
      </c>
      <c r="F5" s="56" t="inlineStr">
        <is>
          <t>Revenue</t>
        </is>
      </c>
    </row>
    <row r="6">
      <c r="A6" s="56" t="inlineStr">
        <is>
          <t>Doors and Windows</t>
        </is>
      </c>
      <c r="B6" s="56" t="inlineStr">
        <is>
          <t>FY2024</t>
        </is>
      </c>
      <c r="C6" s="56" t="inlineStr">
        <is>
          <t>2024-12-31</t>
        </is>
      </c>
      <c r="D6" s="56" t="inlineStr">
        <is>
          <t>ALL</t>
        </is>
      </c>
      <c r="E6" s="57" t="n">
        <v>237386.66</v>
      </c>
      <c r="F6" s="56" t="inlineStr">
        <is>
          <t>Revenue</t>
        </is>
      </c>
    </row>
    <row r="7">
      <c r="A7" s="56" t="inlineStr">
        <is>
          <t>Drywall Sales Income</t>
        </is>
      </c>
      <c r="B7" s="56" t="inlineStr">
        <is>
          <t>FY2024</t>
        </is>
      </c>
      <c r="C7" s="56" t="inlineStr">
        <is>
          <t>2024-12-31</t>
        </is>
      </c>
      <c r="D7" s="56" t="inlineStr">
        <is>
          <t>DW</t>
        </is>
      </c>
      <c r="E7" s="57" t="n">
        <v>-6863.55</v>
      </c>
      <c r="F7" s="56" t="inlineStr">
        <is>
          <t>Revenue</t>
        </is>
      </c>
    </row>
    <row r="8">
      <c r="A8" s="56" t="inlineStr">
        <is>
          <t>Drywall Service Income</t>
        </is>
      </c>
      <c r="B8" s="56" t="inlineStr">
        <is>
          <t>FY2024</t>
        </is>
      </c>
      <c r="C8" s="56" t="inlineStr">
        <is>
          <t>2024-12-31</t>
        </is>
      </c>
      <c r="D8" s="56" t="inlineStr">
        <is>
          <t>DW</t>
        </is>
      </c>
      <c r="E8" s="57" t="n">
        <v>3983560.92</v>
      </c>
      <c r="F8" s="56" t="inlineStr">
        <is>
          <t>Revenue</t>
        </is>
      </c>
    </row>
    <row r="9">
      <c r="A9" s="56" t="inlineStr">
        <is>
          <t>Drywall Division Delivery Income</t>
        </is>
      </c>
      <c r="B9" s="56" t="inlineStr">
        <is>
          <t>FY2024</t>
        </is>
      </c>
      <c r="C9" s="56" t="inlineStr">
        <is>
          <t>2024-12-31</t>
        </is>
      </c>
      <c r="D9" s="56" t="inlineStr">
        <is>
          <t>DW</t>
        </is>
      </c>
      <c r="E9" s="57" t="n">
        <v>1062721.25</v>
      </c>
      <c r="F9" s="56" t="inlineStr">
        <is>
          <t>Revenue</t>
        </is>
      </c>
    </row>
    <row r="10">
      <c r="A10" s="56" t="inlineStr">
        <is>
          <t>Drywall Division Material Income</t>
        </is>
      </c>
      <c r="B10" s="56" t="inlineStr">
        <is>
          <t>FY2024</t>
        </is>
      </c>
      <c r="C10" s="56" t="inlineStr">
        <is>
          <t>2024-12-31</t>
        </is>
      </c>
      <c r="D10" s="56" t="inlineStr">
        <is>
          <t>DW</t>
        </is>
      </c>
      <c r="E10" s="57" t="n">
        <v>2840679.74</v>
      </c>
      <c r="F10" s="56" t="inlineStr">
        <is>
          <t>Revenue</t>
        </is>
      </c>
    </row>
    <row r="11">
      <c r="A11" s="56" t="inlineStr">
        <is>
          <t>Drywall Tax</t>
        </is>
      </c>
      <c r="B11" s="56" t="inlineStr">
        <is>
          <t>FY2024</t>
        </is>
      </c>
      <c r="C11" s="56" t="inlineStr">
        <is>
          <t>2024-12-31</t>
        </is>
      </c>
      <c r="D11" s="56" t="inlineStr">
        <is>
          <t>DW</t>
        </is>
      </c>
      <c r="E11" s="57" t="n">
        <v>348.74</v>
      </c>
      <c r="F11" s="56" t="inlineStr">
        <is>
          <t>Revenue</t>
        </is>
      </c>
    </row>
    <row r="12">
      <c r="A12" s="56" t="inlineStr">
        <is>
          <t>Engineering Project Income</t>
        </is>
      </c>
      <c r="B12" s="56" t="inlineStr">
        <is>
          <t>FY2024</t>
        </is>
      </c>
      <c r="C12" s="56" t="inlineStr">
        <is>
          <t>2024-12-31</t>
        </is>
      </c>
      <c r="D12" s="56" t="inlineStr">
        <is>
          <t>EN</t>
        </is>
      </c>
      <c r="E12" s="57" t="n">
        <v>16000</v>
      </c>
      <c r="F12" s="56" t="inlineStr">
        <is>
          <t>Revenue</t>
        </is>
      </c>
    </row>
    <row r="13">
      <c r="A13" s="56" t="inlineStr">
        <is>
          <t>Finishes</t>
        </is>
      </c>
      <c r="B13" s="56" t="inlineStr">
        <is>
          <t>FY2024</t>
        </is>
      </c>
      <c r="C13" s="56" t="inlineStr">
        <is>
          <t>2024-12-31</t>
        </is>
      </c>
      <c r="D13" s="56" t="inlineStr">
        <is>
          <t>ALL</t>
        </is>
      </c>
      <c r="E13" s="57" t="n">
        <v>1499889.18</v>
      </c>
      <c r="F13" s="56" t="inlineStr">
        <is>
          <t>Revenue</t>
        </is>
      </c>
    </row>
    <row r="14">
      <c r="A14" s="56" t="inlineStr">
        <is>
          <t>Metals</t>
        </is>
      </c>
      <c r="B14" s="56" t="inlineStr">
        <is>
          <t>FY2024</t>
        </is>
      </c>
      <c r="C14" s="56" t="inlineStr">
        <is>
          <t>2024-12-31</t>
        </is>
      </c>
      <c r="D14" s="56" t="inlineStr">
        <is>
          <t>ALL</t>
        </is>
      </c>
      <c r="E14" s="57" t="n">
        <v>1715940.63</v>
      </c>
      <c r="F14" s="56" t="inlineStr">
        <is>
          <t>Revenue</t>
        </is>
      </c>
    </row>
    <row r="15">
      <c r="A15" s="56" t="inlineStr">
        <is>
          <t>Sales</t>
        </is>
      </c>
      <c r="B15" s="56" t="inlineStr">
        <is>
          <t>FY2024</t>
        </is>
      </c>
      <c r="C15" s="56" t="inlineStr">
        <is>
          <t>2024-12-31</t>
        </is>
      </c>
      <c r="D15" s="56" t="inlineStr">
        <is>
          <t>ALL</t>
        </is>
      </c>
      <c r="E15" s="57" t="n">
        <v>4079740.08</v>
      </c>
      <c r="F15" s="56" t="inlineStr">
        <is>
          <t>Revenue</t>
        </is>
      </c>
    </row>
    <row r="16">
      <c r="A16" s="56" t="inlineStr">
        <is>
          <t>Service/Fee Income</t>
        </is>
      </c>
      <c r="B16" s="56" t="inlineStr">
        <is>
          <t>FY2024</t>
        </is>
      </c>
      <c r="C16" s="56" t="inlineStr">
        <is>
          <t>2024-12-31</t>
        </is>
      </c>
      <c r="D16" s="56" t="inlineStr">
        <is>
          <t>ALL</t>
        </is>
      </c>
      <c r="E16" s="57" t="n">
        <v>22772419.95</v>
      </c>
      <c r="F16" s="56" t="inlineStr">
        <is>
          <t>Revenue</t>
        </is>
      </c>
    </row>
    <row r="17">
      <c r="A17" s="56" t="inlineStr">
        <is>
          <t>Specialties</t>
        </is>
      </c>
      <c r="B17" s="56" t="inlineStr">
        <is>
          <t>FY2024</t>
        </is>
      </c>
      <c r="C17" s="56" t="inlineStr">
        <is>
          <t>2024-12-31</t>
        </is>
      </c>
      <c r="D17" s="56" t="inlineStr">
        <is>
          <t>ALL</t>
        </is>
      </c>
      <c r="E17" s="57" t="n">
        <v>87799.97</v>
      </c>
      <c r="F17" s="56" t="inlineStr">
        <is>
          <t>Revenue</t>
        </is>
      </c>
    </row>
    <row r="18">
      <c r="A18" s="56" t="inlineStr">
        <is>
          <t>Thermal and Moisture Control</t>
        </is>
      </c>
      <c r="B18" s="56" t="inlineStr">
        <is>
          <t>FY2024</t>
        </is>
      </c>
      <c r="C18" s="56" t="inlineStr">
        <is>
          <t>2024-12-31</t>
        </is>
      </c>
      <c r="D18" s="56" t="inlineStr">
        <is>
          <t>ALL</t>
        </is>
      </c>
      <c r="E18" s="57" t="n">
        <v>401319.14</v>
      </c>
      <c r="F18" s="56" t="inlineStr">
        <is>
          <t>Revenue</t>
        </is>
      </c>
    </row>
    <row r="19">
      <c r="A19" s="56" t="inlineStr">
        <is>
          <t>WIP Adj - Net change</t>
        </is>
      </c>
      <c r="B19" s="56" t="inlineStr">
        <is>
          <t>FY2024</t>
        </is>
      </c>
      <c r="C19" s="56" t="inlineStr">
        <is>
          <t>2024-12-31</t>
        </is>
      </c>
      <c r="D19" s="56" t="inlineStr">
        <is>
          <t>ALL</t>
        </is>
      </c>
      <c r="E19" s="57" t="n">
        <v>67516.35000000001</v>
      </c>
      <c r="F19" s="56" t="inlineStr">
        <is>
          <t>Revenue</t>
        </is>
      </c>
    </row>
    <row r="20">
      <c r="A20" s="56" t="inlineStr">
        <is>
          <t>Wood and Plastics</t>
        </is>
      </c>
      <c r="B20" s="56" t="inlineStr">
        <is>
          <t>FY2024</t>
        </is>
      </c>
      <c r="C20" s="56" t="inlineStr">
        <is>
          <t>2024-12-31</t>
        </is>
      </c>
      <c r="D20" s="56" t="inlineStr">
        <is>
          <t>ALL</t>
        </is>
      </c>
      <c r="E20" s="57" t="n">
        <v>769283.84</v>
      </c>
      <c r="F20" s="56" t="inlineStr">
        <is>
          <t>Revenue</t>
        </is>
      </c>
    </row>
    <row r="21">
      <c r="A21" s="56" t="inlineStr">
        <is>
          <t>Cost of labor - Contractors</t>
        </is>
      </c>
      <c r="B21" s="56" t="inlineStr">
        <is>
          <t>FY2024</t>
        </is>
      </c>
      <c r="C21" s="56" t="inlineStr">
        <is>
          <t>2024-12-31</t>
        </is>
      </c>
      <c r="D21" s="56" t="inlineStr">
        <is>
          <t>ALL</t>
        </is>
      </c>
      <c r="E21" s="57" t="n">
        <v>8808010.66</v>
      </c>
      <c r="F21" s="56" t="inlineStr">
        <is>
          <t>COGS</t>
        </is>
      </c>
    </row>
    <row r="22">
      <c r="A22" s="56" t="inlineStr">
        <is>
          <t>Cost of labor - Direct Labor</t>
        </is>
      </c>
      <c r="B22" s="56" t="inlineStr">
        <is>
          <t>FY2024</t>
        </is>
      </c>
      <c r="C22" s="56" t="inlineStr">
        <is>
          <t>2024-12-31</t>
        </is>
      </c>
      <c r="D22" s="56" t="inlineStr">
        <is>
          <t>ALL</t>
        </is>
      </c>
      <c r="E22" s="57" t="n">
        <v>184100.65</v>
      </c>
      <c r="F22" s="56" t="inlineStr">
        <is>
          <t>COGS</t>
        </is>
      </c>
    </row>
    <row r="23">
      <c r="A23" s="56" t="inlineStr">
        <is>
          <t>Drywall Supply External Expense</t>
        </is>
      </c>
      <c r="B23" s="56" t="inlineStr">
        <is>
          <t>FY2024</t>
        </is>
      </c>
      <c r="C23" s="56" t="inlineStr">
        <is>
          <t>2024-12-31</t>
        </is>
      </c>
      <c r="D23" s="56" t="inlineStr">
        <is>
          <t>DW</t>
        </is>
      </c>
      <c r="E23" s="57" t="n">
        <v>5816123.6</v>
      </c>
      <c r="F23" s="56" t="inlineStr">
        <is>
          <t>COGS</t>
        </is>
      </c>
    </row>
    <row r="24">
      <c r="A24" s="56" t="inlineStr">
        <is>
          <t>Drywall Supply Internal Expense</t>
        </is>
      </c>
      <c r="B24" s="56" t="inlineStr">
        <is>
          <t>FY2024</t>
        </is>
      </c>
      <c r="C24" s="56" t="inlineStr">
        <is>
          <t>2024-12-31</t>
        </is>
      </c>
      <c r="D24" s="56" t="inlineStr">
        <is>
          <t>DW</t>
        </is>
      </c>
      <c r="E24" s="57" t="n">
        <v>3968871.29</v>
      </c>
      <c r="F24" s="56" t="inlineStr">
        <is>
          <t>COGS</t>
        </is>
      </c>
    </row>
    <row r="25">
      <c r="A25" s="56" t="inlineStr">
        <is>
          <t>Job Site Expenses</t>
        </is>
      </c>
      <c r="B25" s="56" t="inlineStr">
        <is>
          <t>FY2024</t>
        </is>
      </c>
      <c r="C25" s="56" t="inlineStr">
        <is>
          <t>2024-12-31</t>
        </is>
      </c>
      <c r="D25" s="56" t="inlineStr">
        <is>
          <t>ALL</t>
        </is>
      </c>
      <c r="E25" s="57" t="n">
        <v>8775597.67</v>
      </c>
      <c r="F25" s="56" t="inlineStr">
        <is>
          <t>COGS</t>
        </is>
      </c>
    </row>
    <row r="26">
      <c r="A26" s="56" t="inlineStr">
        <is>
          <t>Equipment Rental</t>
        </is>
      </c>
      <c r="B26" s="56" t="inlineStr">
        <is>
          <t>FY2024</t>
        </is>
      </c>
      <c r="C26" s="56" t="inlineStr">
        <is>
          <t>2024-12-31</t>
        </is>
      </c>
      <c r="D26" s="56" t="inlineStr">
        <is>
          <t>ALL</t>
        </is>
      </c>
      <c r="E26" s="57" t="n">
        <v>920967.55</v>
      </c>
      <c r="F26" s="56" t="inlineStr">
        <is>
          <t>COGS</t>
        </is>
      </c>
    </row>
    <row r="27">
      <c r="A27" s="56" t="inlineStr">
        <is>
          <t>Per Diem Job Expense</t>
        </is>
      </c>
      <c r="B27" s="56" t="inlineStr">
        <is>
          <t>FY2024</t>
        </is>
      </c>
      <c r="C27" s="56" t="inlineStr">
        <is>
          <t>2024-12-31</t>
        </is>
      </c>
      <c r="D27" s="56" t="inlineStr">
        <is>
          <t>ALL</t>
        </is>
      </c>
      <c r="E27" s="57" t="n">
        <v>1500</v>
      </c>
      <c r="F27" s="56" t="inlineStr">
        <is>
          <t>COGS</t>
        </is>
      </c>
    </row>
    <row r="28">
      <c r="A28" s="56" t="inlineStr">
        <is>
          <t>Shipping, Freight &amp; Delivery - COS</t>
        </is>
      </c>
      <c r="B28" s="56" t="inlineStr">
        <is>
          <t>FY2024</t>
        </is>
      </c>
      <c r="C28" s="56" t="inlineStr">
        <is>
          <t>2024-12-31</t>
        </is>
      </c>
      <c r="D28" s="56" t="inlineStr">
        <is>
          <t>ALL</t>
        </is>
      </c>
      <c r="E28" s="57" t="n">
        <v>50</v>
      </c>
      <c r="F28" s="56" t="inlineStr">
        <is>
          <t>COGS</t>
        </is>
      </c>
    </row>
    <row r="29">
      <c r="A29" s="56" t="inlineStr">
        <is>
          <t>Vendor Discounts</t>
        </is>
      </c>
      <c r="B29" s="56" t="inlineStr">
        <is>
          <t>FY2024</t>
        </is>
      </c>
      <c r="C29" s="56" t="inlineStr">
        <is>
          <t>2024-12-31</t>
        </is>
      </c>
      <c r="D29" s="56" t="inlineStr">
        <is>
          <t>ALL</t>
        </is>
      </c>
      <c r="E29" s="57" t="n">
        <v>-40004.49</v>
      </c>
      <c r="F29" s="56" t="inlineStr">
        <is>
          <t>COGS</t>
        </is>
      </c>
    </row>
    <row r="30">
      <c r="A30" s="56" t="inlineStr">
        <is>
          <t>Advertising &amp; Marketing</t>
        </is>
      </c>
      <c r="B30" s="56" t="inlineStr">
        <is>
          <t>FY2024</t>
        </is>
      </c>
      <c r="C30" s="56" t="inlineStr">
        <is>
          <t>2024-12-31</t>
        </is>
      </c>
      <c r="D30" s="56" t="inlineStr">
        <is>
          <t>ALL</t>
        </is>
      </c>
      <c r="E30" s="57" t="n">
        <v>95529.38</v>
      </c>
      <c r="F30" s="56" t="inlineStr">
        <is>
          <t>Operating Expense</t>
        </is>
      </c>
    </row>
    <row r="31">
      <c r="A31" s="56" t="inlineStr">
        <is>
          <t>Bad Debt</t>
        </is>
      </c>
      <c r="B31" s="56" t="inlineStr">
        <is>
          <t>FY2024</t>
        </is>
      </c>
      <c r="C31" s="56" t="inlineStr">
        <is>
          <t>2024-12-31</t>
        </is>
      </c>
      <c r="D31" s="56" t="inlineStr">
        <is>
          <t>ALL</t>
        </is>
      </c>
      <c r="E31" s="57" t="n">
        <v>23833.47</v>
      </c>
      <c r="F31" s="56" t="inlineStr">
        <is>
          <t>Operating Expense</t>
        </is>
      </c>
    </row>
    <row r="32">
      <c r="A32" s="56" t="inlineStr">
        <is>
          <t>Bank Charges &amp; Fees</t>
        </is>
      </c>
      <c r="B32" s="56" t="inlineStr">
        <is>
          <t>FY2024</t>
        </is>
      </c>
      <c r="C32" s="56" t="inlineStr">
        <is>
          <t>2024-12-31</t>
        </is>
      </c>
      <c r="D32" s="56" t="inlineStr">
        <is>
          <t>ALL</t>
        </is>
      </c>
      <c r="E32" s="57" t="n">
        <v>6245.61</v>
      </c>
      <c r="F32" s="56" t="inlineStr">
        <is>
          <t>Operating Expense</t>
        </is>
      </c>
    </row>
    <row r="33">
      <c r="A33" s="56" t="inlineStr">
        <is>
          <t>Car &amp; Truck</t>
        </is>
      </c>
      <c r="B33" s="56" t="inlineStr">
        <is>
          <t>FY2024</t>
        </is>
      </c>
      <c r="C33" s="56" t="inlineStr">
        <is>
          <t>2024-12-31</t>
        </is>
      </c>
      <c r="D33" s="56" t="inlineStr">
        <is>
          <t>ALL</t>
        </is>
      </c>
      <c r="E33" s="57" t="n">
        <v>295631.01</v>
      </c>
      <c r="F33" s="56" t="inlineStr">
        <is>
          <t>Operating Expense</t>
        </is>
      </c>
    </row>
    <row r="34">
      <c r="A34" s="56" t="inlineStr">
        <is>
          <t>DEF - Boom Truck</t>
        </is>
      </c>
      <c r="B34" s="56" t="inlineStr">
        <is>
          <t>FY2024</t>
        </is>
      </c>
      <c r="C34" s="56" t="inlineStr">
        <is>
          <t>2024-12-31</t>
        </is>
      </c>
      <c r="D34" s="56" t="inlineStr">
        <is>
          <t>ALL</t>
        </is>
      </c>
      <c r="E34" s="57" t="n">
        <v>53.48</v>
      </c>
      <c r="F34" s="56" t="inlineStr">
        <is>
          <t>Operating Expense</t>
        </is>
      </c>
    </row>
    <row r="35">
      <c r="A35" s="56" t="inlineStr">
        <is>
          <t>DOT Boom Trucks Compliance</t>
        </is>
      </c>
      <c r="B35" s="56" t="inlineStr">
        <is>
          <t>FY2024</t>
        </is>
      </c>
      <c r="C35" s="56" t="inlineStr">
        <is>
          <t>2024-12-31</t>
        </is>
      </c>
      <c r="D35" s="56" t="inlineStr">
        <is>
          <t>ALL</t>
        </is>
      </c>
      <c r="E35" s="57" t="n">
        <v>156.66</v>
      </c>
      <c r="F35" s="56" t="inlineStr">
        <is>
          <t>Operating Expense</t>
        </is>
      </c>
    </row>
    <row r="36">
      <c r="A36" s="56" t="inlineStr">
        <is>
          <t>Fuel Diesel - Boom Truck</t>
        </is>
      </c>
      <c r="B36" s="56" t="inlineStr">
        <is>
          <t>FY2024</t>
        </is>
      </c>
      <c r="C36" s="56" t="inlineStr">
        <is>
          <t>2024-12-31</t>
        </is>
      </c>
      <c r="D36" s="56" t="inlineStr">
        <is>
          <t>ALL</t>
        </is>
      </c>
      <c r="E36" s="57" t="n">
        <v>43432.76</v>
      </c>
      <c r="F36" s="56" t="inlineStr">
        <is>
          <t>Operating Expense</t>
        </is>
      </c>
    </row>
    <row r="37">
      <c r="A37" s="56" t="inlineStr">
        <is>
          <t>Fuel Truck - Company Pickup</t>
        </is>
      </c>
      <c r="B37" s="56" t="inlineStr">
        <is>
          <t>FY2024</t>
        </is>
      </c>
      <c r="C37" s="56" t="inlineStr">
        <is>
          <t>2024-12-31</t>
        </is>
      </c>
      <c r="D37" s="56" t="inlineStr">
        <is>
          <t>ALL</t>
        </is>
      </c>
      <c r="E37" s="57" t="n">
        <v>602.67</v>
      </c>
      <c r="F37" s="56" t="inlineStr">
        <is>
          <t>Operating Expense</t>
        </is>
      </c>
    </row>
    <row r="38">
      <c r="A38" s="56" t="inlineStr">
        <is>
          <t>Service - Boom Truck</t>
        </is>
      </c>
      <c r="B38" s="56" t="inlineStr">
        <is>
          <t>FY2024</t>
        </is>
      </c>
      <c r="C38" s="56" t="inlineStr">
        <is>
          <t>2024-12-31</t>
        </is>
      </c>
      <c r="D38" s="56" t="inlineStr">
        <is>
          <t>ALL</t>
        </is>
      </c>
      <c r="E38" s="57" t="n">
        <v>8302.629999999999</v>
      </c>
      <c r="F38" s="56" t="inlineStr">
        <is>
          <t>Operating Expense</t>
        </is>
      </c>
    </row>
    <row r="39">
      <c r="A39" s="56" t="inlineStr">
        <is>
          <t>Charitable Contributions</t>
        </is>
      </c>
      <c r="B39" s="56" t="inlineStr">
        <is>
          <t>FY2024</t>
        </is>
      </c>
      <c r="C39" s="56" t="inlineStr">
        <is>
          <t>2024-12-31</t>
        </is>
      </c>
      <c r="D39" s="56" t="inlineStr">
        <is>
          <t>ALL</t>
        </is>
      </c>
      <c r="E39" s="57" t="n">
        <v>9650</v>
      </c>
      <c r="F39" s="56" t="inlineStr">
        <is>
          <t>Operating Expense</t>
        </is>
      </c>
    </row>
    <row r="40">
      <c r="A40" s="56" t="inlineStr">
        <is>
          <t>Contractors</t>
        </is>
      </c>
      <c r="B40" s="56" t="inlineStr">
        <is>
          <t>FY2024</t>
        </is>
      </c>
      <c r="C40" s="56" t="inlineStr">
        <is>
          <t>2024-12-31</t>
        </is>
      </c>
      <c r="D40" s="56" t="inlineStr">
        <is>
          <t>ALL</t>
        </is>
      </c>
      <c r="E40" s="57" t="n">
        <v>29907.28</v>
      </c>
      <c r="F40" s="56" t="inlineStr">
        <is>
          <t>Operating Expense</t>
        </is>
      </c>
    </row>
    <row r="41">
      <c r="A41" s="56" t="inlineStr">
        <is>
          <t>Depreciation</t>
        </is>
      </c>
      <c r="B41" s="56" t="inlineStr">
        <is>
          <t>FY2024</t>
        </is>
      </c>
      <c r="C41" s="56" t="inlineStr">
        <is>
          <t>2024-12-31</t>
        </is>
      </c>
      <c r="D41" s="56" t="inlineStr">
        <is>
          <t>ALL</t>
        </is>
      </c>
      <c r="E41" s="57" t="n">
        <v>159278.79</v>
      </c>
      <c r="F41" s="56" t="inlineStr">
        <is>
          <t>Operating Expense</t>
        </is>
      </c>
    </row>
    <row r="42">
      <c r="A42" s="56" t="inlineStr">
        <is>
          <t>Drywall Division Labor - Subcontractors</t>
        </is>
      </c>
      <c r="B42" s="56" t="inlineStr">
        <is>
          <t>FY2024</t>
        </is>
      </c>
      <c r="C42" s="56" t="inlineStr">
        <is>
          <t>2024-12-31</t>
        </is>
      </c>
      <c r="D42" s="56" t="inlineStr">
        <is>
          <t>DW</t>
        </is>
      </c>
      <c r="E42" s="57" t="n">
        <v>147790.5</v>
      </c>
      <c r="F42" s="56" t="inlineStr">
        <is>
          <t>Operating Expense</t>
        </is>
      </c>
    </row>
    <row r="43">
      <c r="A43" s="56" t="inlineStr">
        <is>
          <t>Dues &amp; subscriptions</t>
        </is>
      </c>
      <c r="B43" s="56" t="inlineStr">
        <is>
          <t>FY2024</t>
        </is>
      </c>
      <c r="C43" s="56" t="inlineStr">
        <is>
          <t>2024-12-31</t>
        </is>
      </c>
      <c r="D43" s="56" t="inlineStr">
        <is>
          <t>ALL</t>
        </is>
      </c>
      <c r="E43" s="57" t="n">
        <v>4350.79</v>
      </c>
      <c r="F43" s="56" t="inlineStr">
        <is>
          <t>Operating Expense</t>
        </is>
      </c>
    </row>
    <row r="44">
      <c r="A44" s="56" t="inlineStr">
        <is>
          <t>Equipment/Vehicle Rental</t>
        </is>
      </c>
      <c r="B44" s="56" t="inlineStr">
        <is>
          <t>FY2024</t>
        </is>
      </c>
      <c r="C44" s="56" t="inlineStr">
        <is>
          <t>2024-12-31</t>
        </is>
      </c>
      <c r="D44" s="56" t="inlineStr">
        <is>
          <t>ALL</t>
        </is>
      </c>
      <c r="E44" s="57" t="n">
        <v>8828.66</v>
      </c>
      <c r="F44" s="56" t="inlineStr">
        <is>
          <t>Operating Expense</t>
        </is>
      </c>
    </row>
    <row r="45">
      <c r="A45" s="56" t="inlineStr">
        <is>
          <t>Freight</t>
        </is>
      </c>
      <c r="B45" s="56" t="inlineStr">
        <is>
          <t>FY2024</t>
        </is>
      </c>
      <c r="C45" s="56" t="inlineStr">
        <is>
          <t>2024-12-31</t>
        </is>
      </c>
      <c r="D45" s="56" t="inlineStr">
        <is>
          <t>ALL</t>
        </is>
      </c>
      <c r="E45" s="57" t="n">
        <v>1800</v>
      </c>
      <c r="F45" s="56" t="inlineStr">
        <is>
          <t>Operating Expense</t>
        </is>
      </c>
    </row>
    <row r="46">
      <c r="A46" s="56" t="inlineStr">
        <is>
          <t>Insurance</t>
        </is>
      </c>
      <c r="B46" s="56" t="inlineStr">
        <is>
          <t>FY2024</t>
        </is>
      </c>
      <c r="C46" s="56" t="inlineStr">
        <is>
          <t>2024-12-31</t>
        </is>
      </c>
      <c r="D46" s="56" t="inlineStr">
        <is>
          <t>ALL</t>
        </is>
      </c>
      <c r="E46" s="57" t="n">
        <v>186947.02</v>
      </c>
      <c r="F46" s="56" t="inlineStr">
        <is>
          <t>Operating Expense</t>
        </is>
      </c>
    </row>
    <row r="47">
      <c r="A47" s="56" t="inlineStr">
        <is>
          <t>Interest Paid</t>
        </is>
      </c>
      <c r="B47" s="56" t="inlineStr">
        <is>
          <t>FY2024</t>
        </is>
      </c>
      <c r="C47" s="56" t="inlineStr">
        <is>
          <t>2024-12-31</t>
        </is>
      </c>
      <c r="D47" s="56" t="inlineStr">
        <is>
          <t>ALL</t>
        </is>
      </c>
      <c r="E47" s="57" t="n">
        <v>240799.34</v>
      </c>
      <c r="F47" s="56" t="inlineStr">
        <is>
          <t>Operating Expense</t>
        </is>
      </c>
    </row>
    <row r="48">
      <c r="A48" s="56" t="inlineStr">
        <is>
          <t>Job Supplies</t>
        </is>
      </c>
      <c r="B48" s="56" t="inlineStr">
        <is>
          <t>FY2024</t>
        </is>
      </c>
      <c r="C48" s="56" t="inlineStr">
        <is>
          <t>2024-12-31</t>
        </is>
      </c>
      <c r="D48" s="56" t="inlineStr">
        <is>
          <t>ALL</t>
        </is>
      </c>
      <c r="E48" s="57" t="n">
        <v>31581.94</v>
      </c>
      <c r="F48" s="56" t="inlineStr">
        <is>
          <t>Operating Expense</t>
        </is>
      </c>
    </row>
    <row r="49">
      <c r="A49" s="56" t="inlineStr">
        <is>
          <t>Legal &amp; Professional Services</t>
        </is>
      </c>
      <c r="B49" s="56" t="inlineStr">
        <is>
          <t>FY2024</t>
        </is>
      </c>
      <c r="C49" s="56" t="inlineStr">
        <is>
          <t>2024-12-31</t>
        </is>
      </c>
      <c r="D49" s="56" t="inlineStr">
        <is>
          <t>ALL</t>
        </is>
      </c>
      <c r="E49" s="57" t="n">
        <v>236680.09</v>
      </c>
      <c r="F49" s="56" t="inlineStr">
        <is>
          <t>Operating Expense</t>
        </is>
      </c>
    </row>
    <row r="50">
      <c r="A50" s="56" t="inlineStr">
        <is>
          <t>Meals &amp; Entertainment</t>
        </is>
      </c>
      <c r="B50" s="56" t="inlineStr">
        <is>
          <t>FY2024</t>
        </is>
      </c>
      <c r="C50" s="56" t="inlineStr">
        <is>
          <t>2024-12-31</t>
        </is>
      </c>
      <c r="D50" s="56" t="inlineStr">
        <is>
          <t>ALL</t>
        </is>
      </c>
      <c r="E50" s="57" t="n">
        <v>166308.92</v>
      </c>
      <c r="F50" s="56" t="inlineStr">
        <is>
          <t>Operating Expense</t>
        </is>
      </c>
    </row>
    <row r="51">
      <c r="A51" s="56" t="inlineStr">
        <is>
          <t>Melio Credit card fee</t>
        </is>
      </c>
      <c r="B51" s="56" t="inlineStr">
        <is>
          <t>FY2024</t>
        </is>
      </c>
      <c r="C51" s="56" t="inlineStr">
        <is>
          <t>2024-12-31</t>
        </is>
      </c>
      <c r="D51" s="56" t="inlineStr">
        <is>
          <t>ALL</t>
        </is>
      </c>
      <c r="E51" s="57" t="n">
        <v>60</v>
      </c>
      <c r="F51" s="56" t="inlineStr">
        <is>
          <t>Operating Expense</t>
        </is>
      </c>
    </row>
    <row r="52">
      <c r="A52" s="56" t="inlineStr">
        <is>
          <t>Office Supplies &amp; Software</t>
        </is>
      </c>
      <c r="B52" s="56" t="inlineStr">
        <is>
          <t>FY2024</t>
        </is>
      </c>
      <c r="C52" s="56" t="inlineStr">
        <is>
          <t>2024-12-31</t>
        </is>
      </c>
      <c r="D52" s="56" t="inlineStr">
        <is>
          <t>ALL</t>
        </is>
      </c>
      <c r="E52" s="57" t="n">
        <v>171877.26</v>
      </c>
      <c r="F52" s="56" t="inlineStr">
        <is>
          <t>Operating Expense</t>
        </is>
      </c>
    </row>
    <row r="53">
      <c r="A53" s="56" t="inlineStr">
        <is>
          <t>Software Subscription/Use Fee</t>
        </is>
      </c>
      <c r="B53" s="56" t="inlineStr">
        <is>
          <t>FY2024</t>
        </is>
      </c>
      <c r="C53" s="56" t="inlineStr">
        <is>
          <t>2024-12-31</t>
        </is>
      </c>
      <c r="D53" s="56" t="inlineStr">
        <is>
          <t>ALL</t>
        </is>
      </c>
      <c r="E53" s="57" t="n">
        <v>249.99</v>
      </c>
      <c r="F53" s="56" t="inlineStr">
        <is>
          <t>Operating Expense</t>
        </is>
      </c>
    </row>
    <row r="54">
      <c r="A54" s="56" t="inlineStr">
        <is>
          <t>Other Business Expenses</t>
        </is>
      </c>
      <c r="B54" s="56" t="inlineStr">
        <is>
          <t>FY2024</t>
        </is>
      </c>
      <c r="C54" s="56" t="inlineStr">
        <is>
          <t>2024-12-31</t>
        </is>
      </c>
      <c r="D54" s="56" t="inlineStr">
        <is>
          <t>ALL</t>
        </is>
      </c>
      <c r="E54" s="57" t="n">
        <v>3875.79</v>
      </c>
      <c r="F54" s="56" t="inlineStr">
        <is>
          <t>Operating Expense</t>
        </is>
      </c>
    </row>
    <row r="55">
      <c r="A55" s="56" t="inlineStr">
        <is>
          <t>Outsourced IT Services</t>
        </is>
      </c>
      <c r="B55" s="56" t="inlineStr">
        <is>
          <t>FY2024</t>
        </is>
      </c>
      <c r="C55" s="56" t="inlineStr">
        <is>
          <t>2024-12-31</t>
        </is>
      </c>
      <c r="D55" s="56" t="inlineStr">
        <is>
          <t>ALL</t>
        </is>
      </c>
      <c r="E55" s="57" t="n">
        <v>49394.22</v>
      </c>
      <c r="F55" s="56" t="inlineStr">
        <is>
          <t>Operating Expense</t>
        </is>
      </c>
    </row>
    <row r="56">
      <c r="A56" s="56" t="inlineStr">
        <is>
          <t>Bonus</t>
        </is>
      </c>
      <c r="B56" s="56" t="inlineStr">
        <is>
          <t>FY2024</t>
        </is>
      </c>
      <c r="C56" s="56" t="inlineStr">
        <is>
          <t>2024-12-31</t>
        </is>
      </c>
      <c r="D56" s="56" t="inlineStr">
        <is>
          <t>ALL</t>
        </is>
      </c>
      <c r="E56" s="57" t="n">
        <v>307801.24</v>
      </c>
      <c r="F56" s="56" t="inlineStr">
        <is>
          <t>Operating Expense</t>
        </is>
      </c>
    </row>
    <row r="57">
      <c r="A57" s="56" t="inlineStr">
        <is>
          <t>Commission</t>
        </is>
      </c>
      <c r="B57" s="56" t="inlineStr">
        <is>
          <t>FY2024</t>
        </is>
      </c>
      <c r="C57" s="56" t="inlineStr">
        <is>
          <t>2024-12-31</t>
        </is>
      </c>
      <c r="D57" s="56" t="inlineStr">
        <is>
          <t>ALL</t>
        </is>
      </c>
      <c r="E57" s="57" t="n">
        <v>95163.98</v>
      </c>
      <c r="F57" s="56" t="inlineStr">
        <is>
          <t>Operating Expense</t>
        </is>
      </c>
    </row>
    <row r="58">
      <c r="A58" s="56" t="inlineStr">
        <is>
          <t>Employee Benefits</t>
        </is>
      </c>
      <c r="B58" s="56" t="inlineStr">
        <is>
          <t>FY2024</t>
        </is>
      </c>
      <c r="C58" s="56" t="inlineStr">
        <is>
          <t>2024-12-31</t>
        </is>
      </c>
      <c r="D58" s="56" t="inlineStr">
        <is>
          <t>ALL</t>
        </is>
      </c>
      <c r="E58" s="57" t="n">
        <v>222721.47</v>
      </c>
      <c r="F58" s="56" t="inlineStr">
        <is>
          <t>Operating Expense</t>
        </is>
      </c>
    </row>
    <row r="59">
      <c r="A59" s="56" t="inlineStr">
        <is>
          <t>Health Insurance</t>
        </is>
      </c>
      <c r="B59" s="56" t="inlineStr">
        <is>
          <t>FY2024</t>
        </is>
      </c>
      <c r="C59" s="56" t="inlineStr">
        <is>
          <t>2024-12-31</t>
        </is>
      </c>
      <c r="D59" s="56" t="inlineStr">
        <is>
          <t>ALL</t>
        </is>
      </c>
      <c r="E59" s="57" t="n">
        <v>18452.01</v>
      </c>
      <c r="F59" s="56" t="inlineStr">
        <is>
          <t>Operating Expense</t>
        </is>
      </c>
    </row>
    <row r="60">
      <c r="A60" s="56" t="inlineStr">
        <is>
          <t>Payroll Fees</t>
        </is>
      </c>
      <c r="B60" s="56" t="inlineStr">
        <is>
          <t>FY2024</t>
        </is>
      </c>
      <c r="C60" s="56" t="inlineStr">
        <is>
          <t>2024-12-31</t>
        </is>
      </c>
      <c r="D60" s="56" t="inlineStr">
        <is>
          <t>ALL</t>
        </is>
      </c>
      <c r="E60" s="57" t="n">
        <v>50898.56</v>
      </c>
      <c r="F60" s="56" t="inlineStr">
        <is>
          <t>Operating Expense</t>
        </is>
      </c>
    </row>
    <row r="61">
      <c r="A61" s="56" t="inlineStr">
        <is>
          <t>Taxes</t>
        </is>
      </c>
      <c r="B61" s="56" t="inlineStr">
        <is>
          <t>FY2024</t>
        </is>
      </c>
      <c r="C61" s="56" t="inlineStr">
        <is>
          <t>2024-12-31</t>
        </is>
      </c>
      <c r="D61" s="56" t="inlineStr">
        <is>
          <t>ALL</t>
        </is>
      </c>
      <c r="E61" s="57" t="n">
        <v>359219.18</v>
      </c>
      <c r="F61" s="56" t="inlineStr">
        <is>
          <t>Operating Expense</t>
        </is>
      </c>
    </row>
    <row r="62">
      <c r="A62" s="56" t="inlineStr">
        <is>
          <t>Wages</t>
        </is>
      </c>
      <c r="B62" s="56" t="inlineStr">
        <is>
          <t>FY2024</t>
        </is>
      </c>
      <c r="C62" s="56" t="inlineStr">
        <is>
          <t>2024-12-31</t>
        </is>
      </c>
      <c r="D62" s="56" t="inlineStr">
        <is>
          <t>ALL</t>
        </is>
      </c>
      <c r="E62" s="57" t="n">
        <v>4255653.27</v>
      </c>
      <c r="F62" s="56" t="inlineStr">
        <is>
          <t>Operating Expense</t>
        </is>
      </c>
    </row>
    <row r="63">
      <c r="A63" s="56" t="inlineStr">
        <is>
          <t>Property Tax</t>
        </is>
      </c>
      <c r="B63" s="56" t="inlineStr">
        <is>
          <t>FY2024</t>
        </is>
      </c>
      <c r="C63" s="56" t="inlineStr">
        <is>
          <t>2024-12-31</t>
        </is>
      </c>
      <c r="D63" s="56" t="inlineStr">
        <is>
          <t>ALL</t>
        </is>
      </c>
      <c r="E63" s="57" t="n">
        <v>26000</v>
      </c>
      <c r="F63" s="56" t="inlineStr">
        <is>
          <t>Operating Expense</t>
        </is>
      </c>
    </row>
    <row r="64">
      <c r="A64" s="56" t="inlineStr">
        <is>
          <t>Reimbursable Expenses</t>
        </is>
      </c>
      <c r="B64" s="56" t="inlineStr">
        <is>
          <t>FY2024</t>
        </is>
      </c>
      <c r="C64" s="56" t="inlineStr">
        <is>
          <t>2024-12-31</t>
        </is>
      </c>
      <c r="D64" s="56" t="inlineStr">
        <is>
          <t>ALL</t>
        </is>
      </c>
      <c r="E64" s="57" t="n">
        <v>12195.98</v>
      </c>
      <c r="F64" s="56" t="inlineStr">
        <is>
          <t>Operating Expense</t>
        </is>
      </c>
    </row>
    <row r="65">
      <c r="A65" s="56" t="inlineStr">
        <is>
          <t>Rent &amp; Lease</t>
        </is>
      </c>
      <c r="B65" s="56" t="inlineStr">
        <is>
          <t>FY2024</t>
        </is>
      </c>
      <c r="C65" s="56" t="inlineStr">
        <is>
          <t>2024-12-31</t>
        </is>
      </c>
      <c r="D65" s="56" t="inlineStr">
        <is>
          <t>ALL</t>
        </is>
      </c>
      <c r="E65" s="57" t="n">
        <v>553295.17</v>
      </c>
      <c r="F65" s="56" t="inlineStr">
        <is>
          <t>Operating Expense</t>
        </is>
      </c>
    </row>
    <row r="66">
      <c r="A66" s="56" t="inlineStr">
        <is>
          <t>Repairs &amp; Maintenance</t>
        </is>
      </c>
      <c r="B66" s="56" t="inlineStr">
        <is>
          <t>FY2024</t>
        </is>
      </c>
      <c r="C66" s="56" t="inlineStr">
        <is>
          <t>2024-12-31</t>
        </is>
      </c>
      <c r="D66" s="56" t="inlineStr">
        <is>
          <t>ALL</t>
        </is>
      </c>
      <c r="E66" s="57" t="n">
        <v>100368.49</v>
      </c>
      <c r="F66" s="56" t="inlineStr">
        <is>
          <t>Operating Expense</t>
        </is>
      </c>
    </row>
    <row r="67">
      <c r="A67" s="56" t="inlineStr">
        <is>
          <t>Small Tools &amp; Equipment</t>
        </is>
      </c>
      <c r="B67" s="56" t="inlineStr">
        <is>
          <t>FY2024</t>
        </is>
      </c>
      <c r="C67" s="56" t="inlineStr">
        <is>
          <t>2024-12-31</t>
        </is>
      </c>
      <c r="D67" s="56" t="inlineStr">
        <is>
          <t>ALL</t>
        </is>
      </c>
      <c r="E67" s="57" t="n">
        <v>67494.59</v>
      </c>
      <c r="F67" s="56" t="inlineStr">
        <is>
          <t>Operating Expense</t>
        </is>
      </c>
    </row>
    <row r="68">
      <c r="A68" s="56" t="inlineStr">
        <is>
          <t>Taxes &amp; Licenses</t>
        </is>
      </c>
      <c r="B68" s="56" t="inlineStr">
        <is>
          <t>FY2024</t>
        </is>
      </c>
      <c r="C68" s="56" t="inlineStr">
        <is>
          <t>2024-12-31</t>
        </is>
      </c>
      <c r="D68" s="56" t="inlineStr">
        <is>
          <t>ALL</t>
        </is>
      </c>
      <c r="E68" s="57" t="n">
        <v>82933.23</v>
      </c>
      <c r="F68" s="56" t="inlineStr">
        <is>
          <t>Operating Expense</t>
        </is>
      </c>
    </row>
    <row r="69">
      <c r="A69" s="56" t="inlineStr">
        <is>
          <t>Travel</t>
        </is>
      </c>
      <c r="B69" s="56" t="inlineStr">
        <is>
          <t>FY2024</t>
        </is>
      </c>
      <c r="C69" s="56" t="inlineStr">
        <is>
          <t>2024-12-31</t>
        </is>
      </c>
      <c r="D69" s="56" t="inlineStr">
        <is>
          <t>ALL</t>
        </is>
      </c>
      <c r="E69" s="57" t="n">
        <v>133886.05</v>
      </c>
      <c r="F69" s="56" t="inlineStr">
        <is>
          <t>Operating Expense</t>
        </is>
      </c>
    </row>
    <row r="70">
      <c r="A70" s="56" t="inlineStr">
        <is>
          <t>Utilities</t>
        </is>
      </c>
      <c r="B70" s="56" t="inlineStr">
        <is>
          <t>FY2024</t>
        </is>
      </c>
      <c r="C70" s="56" t="inlineStr">
        <is>
          <t>2024-12-31</t>
        </is>
      </c>
      <c r="D70" s="56" t="inlineStr">
        <is>
          <t>ALL</t>
        </is>
      </c>
      <c r="E70" s="57" t="n">
        <v>39792.66</v>
      </c>
      <c r="F70" s="56" t="inlineStr">
        <is>
          <t>Operating Expense</t>
        </is>
      </c>
    </row>
    <row r="71">
      <c r="A71" s="56" t="inlineStr">
        <is>
          <t>Credit Card Rewards</t>
        </is>
      </c>
      <c r="B71" s="56" t="inlineStr">
        <is>
          <t>FY2024</t>
        </is>
      </c>
      <c r="C71" s="56" t="inlineStr">
        <is>
          <t>2024-12-31</t>
        </is>
      </c>
      <c r="D71" s="56" t="inlineStr">
        <is>
          <t>ALL</t>
        </is>
      </c>
      <c r="E71" s="57" t="n">
        <v>1630.56</v>
      </c>
      <c r="F71" s="56" t="inlineStr">
        <is>
          <t>Other Income</t>
        </is>
      </c>
    </row>
    <row r="72">
      <c r="A72" s="56" t="inlineStr">
        <is>
          <t>Interest Earned</t>
        </is>
      </c>
      <c r="B72" s="56" t="inlineStr">
        <is>
          <t>FY2024</t>
        </is>
      </c>
      <c r="C72" s="56" t="inlineStr">
        <is>
          <t>2024-12-31</t>
        </is>
      </c>
      <c r="D72" s="56" t="inlineStr">
        <is>
          <t>ALL</t>
        </is>
      </c>
      <c r="E72" s="57" t="n">
        <v>0.18</v>
      </c>
      <c r="F72" s="56" t="inlineStr">
        <is>
          <t>Other Income</t>
        </is>
      </c>
    </row>
    <row r="73">
      <c r="A73" s="56" t="inlineStr">
        <is>
          <t>Other Income</t>
        </is>
      </c>
      <c r="B73" s="56" t="inlineStr">
        <is>
          <t>FY2024</t>
        </is>
      </c>
      <c r="C73" s="56" t="inlineStr">
        <is>
          <t>2024-12-31</t>
        </is>
      </c>
      <c r="D73" s="56" t="inlineStr">
        <is>
          <t>ALL</t>
        </is>
      </c>
      <c r="E73" s="57" t="n">
        <v>45680.23</v>
      </c>
      <c r="F73" s="56" t="inlineStr">
        <is>
          <t>Other Income</t>
        </is>
      </c>
    </row>
    <row r="74">
      <c r="A74" s="56" t="inlineStr">
        <is>
          <t>Subletter Rent Income</t>
        </is>
      </c>
      <c r="B74" s="56" t="inlineStr">
        <is>
          <t>FY2024</t>
        </is>
      </c>
      <c r="C74" s="56" t="inlineStr">
        <is>
          <t>2024-12-31</t>
        </is>
      </c>
      <c r="D74" s="56" t="inlineStr">
        <is>
          <t>ALL</t>
        </is>
      </c>
      <c r="E74" s="57" t="n">
        <v>19535.36</v>
      </c>
      <c r="F74" s="56" t="inlineStr">
        <is>
          <t>Other Income</t>
        </is>
      </c>
    </row>
    <row r="75">
      <c r="A75" s="56" t="inlineStr">
        <is>
          <t>Subletter Utility Income</t>
        </is>
      </c>
      <c r="B75" s="56" t="inlineStr">
        <is>
          <t>FY2024</t>
        </is>
      </c>
      <c r="C75" s="56" t="inlineStr">
        <is>
          <t>2024-12-31</t>
        </is>
      </c>
      <c r="D75" s="56" t="inlineStr">
        <is>
          <t>ALL</t>
        </is>
      </c>
      <c r="E75" s="57" t="n">
        <v>2000</v>
      </c>
      <c r="F75" s="56" t="inlineStr">
        <is>
          <t>Other Income</t>
        </is>
      </c>
    </row>
    <row r="76">
      <c r="A76" s="56" t="inlineStr">
        <is>
          <t>Gain or Loss on Assets</t>
        </is>
      </c>
      <c r="B76" s="56" t="inlineStr">
        <is>
          <t>FY2024</t>
        </is>
      </c>
      <c r="C76" s="56" t="inlineStr">
        <is>
          <t>2024-12-31</t>
        </is>
      </c>
      <c r="D76" s="56" t="inlineStr">
        <is>
          <t>ALL</t>
        </is>
      </c>
      <c r="E76" s="57" t="n">
        <v>23197.6</v>
      </c>
      <c r="F76" s="56" t="inlineStr">
        <is>
          <t>Other Expense</t>
        </is>
      </c>
    </row>
    <row r="77">
      <c r="A77" s="56" t="inlineStr">
        <is>
          <t>Billable Expense Income</t>
        </is>
      </c>
      <c r="B77" s="56" t="inlineStr">
        <is>
          <t>FY2025</t>
        </is>
      </c>
      <c r="C77" s="56" t="inlineStr">
        <is>
          <t>2025-12-31</t>
        </is>
      </c>
      <c r="D77" s="56" t="inlineStr">
        <is>
          <t>ALL</t>
        </is>
      </c>
      <c r="E77" s="57" t="n">
        <v>543</v>
      </c>
      <c r="F77" s="56" t="inlineStr">
        <is>
          <t>Revenue</t>
        </is>
      </c>
    </row>
    <row r="78">
      <c r="A78" s="56" t="inlineStr">
        <is>
          <t>Doors and Windows</t>
        </is>
      </c>
      <c r="B78" s="56" t="inlineStr">
        <is>
          <t>FY2025</t>
        </is>
      </c>
      <c r="C78" s="56" t="inlineStr">
        <is>
          <t>2025-12-31</t>
        </is>
      </c>
      <c r="D78" s="56" t="inlineStr">
        <is>
          <t>ALL</t>
        </is>
      </c>
      <c r="E78" s="57" t="n">
        <v>4594.5</v>
      </c>
      <c r="F78" s="56" t="inlineStr">
        <is>
          <t>Revenue</t>
        </is>
      </c>
    </row>
    <row r="79">
      <c r="A79" s="56" t="inlineStr">
        <is>
          <t>Drywall Service Income</t>
        </is>
      </c>
      <c r="B79" s="56" t="inlineStr">
        <is>
          <t>FY2025</t>
        </is>
      </c>
      <c r="C79" s="56" t="inlineStr">
        <is>
          <t>2025-12-31</t>
        </is>
      </c>
      <c r="D79" s="56" t="inlineStr">
        <is>
          <t>DW</t>
        </is>
      </c>
      <c r="E79" s="57" t="n">
        <v>3358176.13</v>
      </c>
      <c r="F79" s="56" t="inlineStr">
        <is>
          <t>Revenue</t>
        </is>
      </c>
    </row>
    <row r="80">
      <c r="A80" s="56" t="inlineStr">
        <is>
          <t>Drywall Division Delivery Income</t>
        </is>
      </c>
      <c r="B80" s="56" t="inlineStr">
        <is>
          <t>FY2025</t>
        </is>
      </c>
      <c r="C80" s="56" t="inlineStr">
        <is>
          <t>2025-12-31</t>
        </is>
      </c>
      <c r="D80" s="56" t="inlineStr">
        <is>
          <t>DW</t>
        </is>
      </c>
      <c r="E80" s="57" t="n">
        <v>201.04</v>
      </c>
      <c r="F80" s="56" t="inlineStr">
        <is>
          <t>Revenue</t>
        </is>
      </c>
    </row>
    <row r="81">
      <c r="A81" s="56" t="inlineStr">
        <is>
          <t>Drywall Division Material Income</t>
        </is>
      </c>
      <c r="B81" s="56" t="inlineStr">
        <is>
          <t>FY2025</t>
        </is>
      </c>
      <c r="C81" s="56" t="inlineStr">
        <is>
          <t>2025-12-31</t>
        </is>
      </c>
      <c r="D81" s="56" t="inlineStr">
        <is>
          <t>DW</t>
        </is>
      </c>
      <c r="E81" s="57" t="n">
        <v>2824148.9</v>
      </c>
      <c r="F81" s="56" t="inlineStr">
        <is>
          <t>Revenue</t>
        </is>
      </c>
    </row>
    <row r="82">
      <c r="A82" s="56" t="inlineStr">
        <is>
          <t>Drywall Supply Arbor Income</t>
        </is>
      </c>
      <c r="B82" s="56" t="inlineStr">
        <is>
          <t>FY2025</t>
        </is>
      </c>
      <c r="C82" s="56" t="inlineStr">
        <is>
          <t>2025-12-31</t>
        </is>
      </c>
      <c r="D82" s="56" t="inlineStr">
        <is>
          <t>DW</t>
        </is>
      </c>
      <c r="E82" s="57" t="n">
        <v>959002.74</v>
      </c>
      <c r="F82" s="56" t="inlineStr">
        <is>
          <t>Revenue</t>
        </is>
      </c>
    </row>
    <row r="83">
      <c r="A83" s="56" t="inlineStr">
        <is>
          <t>Drywall Supply Century Income</t>
        </is>
      </c>
      <c r="B83" s="56" t="inlineStr">
        <is>
          <t>FY2025</t>
        </is>
      </c>
      <c r="C83" s="56" t="inlineStr">
        <is>
          <t>2025-12-31</t>
        </is>
      </c>
      <c r="D83" s="56" t="inlineStr">
        <is>
          <t>DW</t>
        </is>
      </c>
      <c r="E83" s="57" t="n">
        <v>105734.39</v>
      </c>
      <c r="F83" s="56" t="inlineStr">
        <is>
          <t>Revenue</t>
        </is>
      </c>
    </row>
    <row r="84">
      <c r="A84" s="56" t="inlineStr">
        <is>
          <t>Drywall Supply HD Boom Scatter Income</t>
        </is>
      </c>
      <c r="B84" s="56" t="inlineStr">
        <is>
          <t>FY2025</t>
        </is>
      </c>
      <c r="C84" s="56" t="inlineStr">
        <is>
          <t>2025-12-31</t>
        </is>
      </c>
      <c r="D84" s="56" t="inlineStr">
        <is>
          <t>DW</t>
        </is>
      </c>
      <c r="E84" s="57" t="n">
        <v>174372.44</v>
      </c>
      <c r="F84" s="56" t="inlineStr">
        <is>
          <t>Revenue</t>
        </is>
      </c>
    </row>
    <row r="85">
      <c r="A85" s="56" t="inlineStr">
        <is>
          <t>Drywall Supply Pulte Income</t>
        </is>
      </c>
      <c r="B85" s="56" t="inlineStr">
        <is>
          <t>FY2025</t>
        </is>
      </c>
      <c r="C85" s="56" t="inlineStr">
        <is>
          <t>2025-12-31</t>
        </is>
      </c>
      <c r="D85" s="56" t="inlineStr">
        <is>
          <t>DW</t>
        </is>
      </c>
      <c r="E85" s="57" t="n">
        <v>6230.22</v>
      </c>
      <c r="F85" s="56" t="inlineStr">
        <is>
          <t>Revenue</t>
        </is>
      </c>
    </row>
    <row r="86">
      <c r="A86" s="56" t="inlineStr">
        <is>
          <t>Drywall Tax</t>
        </is>
      </c>
      <c r="B86" s="56" t="inlineStr">
        <is>
          <t>FY2025</t>
        </is>
      </c>
      <c r="C86" s="56" t="inlineStr">
        <is>
          <t>2025-12-31</t>
        </is>
      </c>
      <c r="D86" s="56" t="inlineStr">
        <is>
          <t>DW</t>
        </is>
      </c>
      <c r="E86" s="57" t="n">
        <v>67.77</v>
      </c>
      <c r="F86" s="56" t="inlineStr">
        <is>
          <t>Revenue</t>
        </is>
      </c>
    </row>
    <row r="87">
      <c r="A87" s="56" t="inlineStr">
        <is>
          <t>Engineering Project Income</t>
        </is>
      </c>
      <c r="B87" s="56" t="inlineStr">
        <is>
          <t>FY2025</t>
        </is>
      </c>
      <c r="C87" s="56" t="inlineStr">
        <is>
          <t>2025-12-31</t>
        </is>
      </c>
      <c r="D87" s="56" t="inlineStr">
        <is>
          <t>EN</t>
        </is>
      </c>
      <c r="E87" s="57" t="n">
        <v>709295</v>
      </c>
      <c r="F87" s="56" t="inlineStr">
        <is>
          <t>Revenue</t>
        </is>
      </c>
    </row>
    <row r="88">
      <c r="A88" s="56" t="inlineStr">
        <is>
          <t>Finishes</t>
        </is>
      </c>
      <c r="B88" s="56" t="inlineStr">
        <is>
          <t>FY2025</t>
        </is>
      </c>
      <c r="C88" s="56" t="inlineStr">
        <is>
          <t>2025-12-31</t>
        </is>
      </c>
      <c r="D88" s="56" t="inlineStr">
        <is>
          <t>ALL</t>
        </is>
      </c>
      <c r="E88" s="57" t="n">
        <v>76310.00999999999</v>
      </c>
      <c r="F88" s="56" t="inlineStr">
        <is>
          <t>Revenue</t>
        </is>
      </c>
    </row>
    <row r="89">
      <c r="A89" s="56" t="inlineStr">
        <is>
          <t>Sales</t>
        </is>
      </c>
      <c r="B89" s="56" t="inlineStr">
        <is>
          <t>FY2025</t>
        </is>
      </c>
      <c r="C89" s="56" t="inlineStr">
        <is>
          <t>2025-12-31</t>
        </is>
      </c>
      <c r="D89" s="56" t="inlineStr">
        <is>
          <t>ALL</t>
        </is>
      </c>
      <c r="E89" s="57" t="n">
        <v>13469.39</v>
      </c>
      <c r="F89" s="56" t="inlineStr">
        <is>
          <t>Revenue</t>
        </is>
      </c>
    </row>
    <row r="90">
      <c r="A90" s="56" t="inlineStr">
        <is>
          <t>Service/Fee Income</t>
        </is>
      </c>
      <c r="B90" s="56" t="inlineStr">
        <is>
          <t>FY2025</t>
        </is>
      </c>
      <c r="C90" s="56" t="inlineStr">
        <is>
          <t>2025-12-31</t>
        </is>
      </c>
      <c r="D90" s="56" t="inlineStr">
        <is>
          <t>ALL</t>
        </is>
      </c>
      <c r="E90" s="57" t="n">
        <v>33721642.66</v>
      </c>
      <c r="F90" s="56" t="inlineStr">
        <is>
          <t>Revenue</t>
        </is>
      </c>
    </row>
    <row r="91">
      <c r="A91" s="56" t="inlineStr">
        <is>
          <t>Specialties</t>
        </is>
      </c>
      <c r="B91" s="56" t="inlineStr">
        <is>
          <t>FY2025</t>
        </is>
      </c>
      <c r="C91" s="56" t="inlineStr">
        <is>
          <t>2025-12-31</t>
        </is>
      </c>
      <c r="D91" s="56" t="inlineStr">
        <is>
          <t>ALL</t>
        </is>
      </c>
      <c r="E91" s="57" t="n">
        <v>2713.5</v>
      </c>
      <c r="F91" s="56" t="inlineStr">
        <is>
          <t>Revenue</t>
        </is>
      </c>
    </row>
    <row r="92">
      <c r="A92" s="56" t="inlineStr">
        <is>
          <t>WIP Adj - Net change</t>
        </is>
      </c>
      <c r="B92" s="56" t="inlineStr">
        <is>
          <t>FY2025</t>
        </is>
      </c>
      <c r="C92" s="56" t="inlineStr">
        <is>
          <t>2025-12-31</t>
        </is>
      </c>
      <c r="D92" s="56" t="inlineStr">
        <is>
          <t>ALL</t>
        </is>
      </c>
      <c r="E92" s="57" t="n">
        <v>-1464686.27</v>
      </c>
      <c r="F92" s="56" t="inlineStr">
        <is>
          <t>Revenue</t>
        </is>
      </c>
    </row>
    <row r="93">
      <c r="A93" s="56" t="inlineStr">
        <is>
          <t>Cost of labor - Contractors</t>
        </is>
      </c>
      <c r="B93" s="56" t="inlineStr">
        <is>
          <t>FY2025</t>
        </is>
      </c>
      <c r="C93" s="56" t="inlineStr">
        <is>
          <t>2025-12-31</t>
        </is>
      </c>
      <c r="D93" s="56" t="inlineStr">
        <is>
          <t>ALL</t>
        </is>
      </c>
      <c r="E93" s="57" t="n">
        <v>9409610.390000001</v>
      </c>
      <c r="F93" s="56" t="inlineStr">
        <is>
          <t>COGS</t>
        </is>
      </c>
    </row>
    <row r="94">
      <c r="A94" s="56" t="inlineStr">
        <is>
          <t>Warranty Labor Expense</t>
        </is>
      </c>
      <c r="B94" s="56" t="inlineStr">
        <is>
          <t>FY2025</t>
        </is>
      </c>
      <c r="C94" s="56" t="inlineStr">
        <is>
          <t>2025-12-31</t>
        </is>
      </c>
      <c r="D94" s="56" t="inlineStr">
        <is>
          <t>ALL</t>
        </is>
      </c>
      <c r="E94" s="57" t="n">
        <v>471.77</v>
      </c>
      <c r="F94" s="56" t="inlineStr">
        <is>
          <t>COGS</t>
        </is>
      </c>
    </row>
    <row r="95">
      <c r="A95" s="56" t="inlineStr">
        <is>
          <t>Cost of labor - Direct Labor</t>
        </is>
      </c>
      <c r="B95" s="56" t="inlineStr">
        <is>
          <t>FY2025</t>
        </is>
      </c>
      <c r="C95" s="56" t="inlineStr">
        <is>
          <t>2025-12-31</t>
        </is>
      </c>
      <c r="D95" s="56" t="inlineStr">
        <is>
          <t>ALL</t>
        </is>
      </c>
      <c r="E95" s="57" t="n">
        <v>212902.67</v>
      </c>
      <c r="F95" s="56" t="inlineStr">
        <is>
          <t>COGS</t>
        </is>
      </c>
    </row>
    <row r="96">
      <c r="A96" s="56" t="inlineStr">
        <is>
          <t>Drywall Supply Arbor Expense</t>
        </is>
      </c>
      <c r="B96" s="56" t="inlineStr">
        <is>
          <t>FY2025</t>
        </is>
      </c>
      <c r="C96" s="56" t="inlineStr">
        <is>
          <t>2025-12-31</t>
        </is>
      </c>
      <c r="D96" s="56" t="inlineStr">
        <is>
          <t>DW</t>
        </is>
      </c>
      <c r="E96" s="57" t="n">
        <v>753899.54</v>
      </c>
      <c r="F96" s="56" t="inlineStr">
        <is>
          <t>COGS</t>
        </is>
      </c>
    </row>
    <row r="97">
      <c r="A97" s="56" t="inlineStr">
        <is>
          <t>Drywall Supply Century Expense</t>
        </is>
      </c>
      <c r="B97" s="56" t="inlineStr">
        <is>
          <t>FY2025</t>
        </is>
      </c>
      <c r="C97" s="56" t="inlineStr">
        <is>
          <t>2025-12-31</t>
        </is>
      </c>
      <c r="D97" s="56" t="inlineStr">
        <is>
          <t>DW</t>
        </is>
      </c>
      <c r="E97" s="57" t="n">
        <v>103164.28</v>
      </c>
      <c r="F97" s="56" t="inlineStr">
        <is>
          <t>COGS</t>
        </is>
      </c>
    </row>
    <row r="98">
      <c r="A98" s="56" t="inlineStr">
        <is>
          <t>Drywall Supply External Expense</t>
        </is>
      </c>
      <c r="B98" s="56" t="inlineStr">
        <is>
          <t>FY2025</t>
        </is>
      </c>
      <c r="C98" s="56" t="inlineStr">
        <is>
          <t>2025-12-31</t>
        </is>
      </c>
      <c r="D98" s="56" t="inlineStr">
        <is>
          <t>DW</t>
        </is>
      </c>
      <c r="E98" s="57" t="n">
        <v>2526119.47</v>
      </c>
      <c r="F98" s="56" t="inlineStr">
        <is>
          <t>COGS</t>
        </is>
      </c>
    </row>
    <row r="99">
      <c r="A99" s="56" t="inlineStr">
        <is>
          <t>Drywall Supply Internal Expense</t>
        </is>
      </c>
      <c r="B99" s="56" t="inlineStr">
        <is>
          <t>FY2025</t>
        </is>
      </c>
      <c r="C99" s="56" t="inlineStr">
        <is>
          <t>2025-12-31</t>
        </is>
      </c>
      <c r="D99" s="56" t="inlineStr">
        <is>
          <t>DW</t>
        </is>
      </c>
      <c r="E99" s="57" t="n">
        <v>2861149.12</v>
      </c>
      <c r="F99" s="56" t="inlineStr">
        <is>
          <t>COGS</t>
        </is>
      </c>
    </row>
    <row r="100">
      <c r="A100" s="56" t="inlineStr">
        <is>
          <t>Drywall Supply Pulte Expense</t>
        </is>
      </c>
      <c r="B100" s="56" t="inlineStr">
        <is>
          <t>FY2025</t>
        </is>
      </c>
      <c r="C100" s="56" t="inlineStr">
        <is>
          <t>2025-12-31</t>
        </is>
      </c>
      <c r="D100" s="56" t="inlineStr">
        <is>
          <t>DW</t>
        </is>
      </c>
      <c r="E100" s="57" t="n">
        <v>5904.27</v>
      </c>
      <c r="F100" s="56" t="inlineStr">
        <is>
          <t>COGS</t>
        </is>
      </c>
    </row>
    <row r="101">
      <c r="A101" s="56" t="inlineStr">
        <is>
          <t>Job Site Expenses</t>
        </is>
      </c>
      <c r="B101" s="56" t="inlineStr">
        <is>
          <t>FY2025</t>
        </is>
      </c>
      <c r="C101" s="56" t="inlineStr">
        <is>
          <t>2025-12-31</t>
        </is>
      </c>
      <c r="D101" s="56" t="inlineStr">
        <is>
          <t>ALL</t>
        </is>
      </c>
      <c r="E101" s="57" t="n">
        <v>8194535.74</v>
      </c>
      <c r="F101" s="56" t="inlineStr">
        <is>
          <t>COGS</t>
        </is>
      </c>
    </row>
    <row r="102">
      <c r="A102" s="56" t="inlineStr">
        <is>
          <t>Drywall Project (Material) Expense - Internal</t>
        </is>
      </c>
      <c r="B102" s="56" t="inlineStr">
        <is>
          <t>FY2025</t>
        </is>
      </c>
      <c r="C102" s="56" t="inlineStr">
        <is>
          <t>2025-12-31</t>
        </is>
      </c>
      <c r="D102" s="56" t="inlineStr">
        <is>
          <t>DW</t>
        </is>
      </c>
      <c r="E102" s="57" t="n">
        <v>2788639.15</v>
      </c>
      <c r="F102" s="56" t="inlineStr">
        <is>
          <t>COGS</t>
        </is>
      </c>
    </row>
    <row r="103">
      <c r="A103" s="56" t="inlineStr">
        <is>
          <t>Drywall Project (Tax) Expense - Internal</t>
        </is>
      </c>
      <c r="B103" s="56" t="inlineStr">
        <is>
          <t>FY2025</t>
        </is>
      </c>
      <c r="C103" s="56" t="inlineStr">
        <is>
          <t>2025-12-31</t>
        </is>
      </c>
      <c r="D103" s="56" t="inlineStr">
        <is>
          <t>DW</t>
        </is>
      </c>
      <c r="E103" s="57" t="n">
        <v>174956.68</v>
      </c>
      <c r="F103" s="56" t="inlineStr">
        <is>
          <t>COGS</t>
        </is>
      </c>
    </row>
    <row r="104">
      <c r="A104" s="56" t="inlineStr">
        <is>
          <t>Equipment Rental</t>
        </is>
      </c>
      <c r="B104" s="56" t="inlineStr">
        <is>
          <t>FY2025</t>
        </is>
      </c>
      <c r="C104" s="56" t="inlineStr">
        <is>
          <t>2025-12-31</t>
        </is>
      </c>
      <c r="D104" s="56" t="inlineStr">
        <is>
          <t>ALL</t>
        </is>
      </c>
      <c r="E104" s="57" t="n">
        <v>669802.45</v>
      </c>
      <c r="F104" s="56" t="inlineStr">
        <is>
          <t>COGS</t>
        </is>
      </c>
    </row>
    <row r="105">
      <c r="A105" s="56" t="inlineStr">
        <is>
          <t>Warranty Material Expense</t>
        </is>
      </c>
      <c r="B105" s="56" t="inlineStr">
        <is>
          <t>FY2025</t>
        </is>
      </c>
      <c r="C105" s="56" t="inlineStr">
        <is>
          <t>2025-12-31</t>
        </is>
      </c>
      <c r="D105" s="56" t="inlineStr">
        <is>
          <t>ALL</t>
        </is>
      </c>
      <c r="E105" s="57" t="n">
        <v>148.15</v>
      </c>
      <c r="F105" s="56" t="inlineStr">
        <is>
          <t>COGS</t>
        </is>
      </c>
    </row>
    <row r="106">
      <c r="A106" s="56" t="inlineStr">
        <is>
          <t>Per Diem Job Expense</t>
        </is>
      </c>
      <c r="B106" s="56" t="inlineStr">
        <is>
          <t>FY2025</t>
        </is>
      </c>
      <c r="C106" s="56" t="inlineStr">
        <is>
          <t>2025-12-31</t>
        </is>
      </c>
      <c r="D106" s="56" t="inlineStr">
        <is>
          <t>ALL</t>
        </is>
      </c>
      <c r="E106" s="57" t="n">
        <v>64983</v>
      </c>
      <c r="F106" s="56" t="inlineStr">
        <is>
          <t>COGS</t>
        </is>
      </c>
    </row>
    <row r="107">
      <c r="A107" s="56" t="inlineStr">
        <is>
          <t>Vendor Discounts</t>
        </is>
      </c>
      <c r="B107" s="56" t="inlineStr">
        <is>
          <t>FY2025</t>
        </is>
      </c>
      <c r="C107" s="56" t="inlineStr">
        <is>
          <t>2025-12-31</t>
        </is>
      </c>
      <c r="D107" s="56" t="inlineStr">
        <is>
          <t>ALL</t>
        </is>
      </c>
      <c r="E107" s="57" t="n">
        <v>-11150.24</v>
      </c>
      <c r="F107" s="56" t="inlineStr">
        <is>
          <t>COGS</t>
        </is>
      </c>
    </row>
    <row r="108">
      <c r="A108" s="56" t="inlineStr">
        <is>
          <t>Advertising &amp; Marketing</t>
        </is>
      </c>
      <c r="B108" s="56" t="inlineStr">
        <is>
          <t>FY2025</t>
        </is>
      </c>
      <c r="C108" s="56" t="inlineStr">
        <is>
          <t>2025-12-31</t>
        </is>
      </c>
      <c r="D108" s="56" t="inlineStr">
        <is>
          <t>ALL</t>
        </is>
      </c>
      <c r="E108" s="57" t="n">
        <v>109327.23</v>
      </c>
      <c r="F108" s="56" t="inlineStr">
        <is>
          <t>Operating Expense</t>
        </is>
      </c>
    </row>
    <row r="109">
      <c r="A109" s="56" t="inlineStr">
        <is>
          <t>Bad Debt</t>
        </is>
      </c>
      <c r="B109" s="56" t="inlineStr">
        <is>
          <t>FY2025</t>
        </is>
      </c>
      <c r="C109" s="56" t="inlineStr">
        <is>
          <t>2025-12-31</t>
        </is>
      </c>
      <c r="D109" s="56" t="inlineStr">
        <is>
          <t>ALL</t>
        </is>
      </c>
      <c r="E109" s="57" t="n">
        <v>4583.55</v>
      </c>
      <c r="F109" s="56" t="inlineStr">
        <is>
          <t>Operating Expense</t>
        </is>
      </c>
    </row>
    <row r="110">
      <c r="A110" s="56" t="inlineStr">
        <is>
          <t>Bank Charges &amp; Fees</t>
        </is>
      </c>
      <c r="B110" s="56" t="inlineStr">
        <is>
          <t>FY2025</t>
        </is>
      </c>
      <c r="C110" s="56" t="inlineStr">
        <is>
          <t>2025-12-31</t>
        </is>
      </c>
      <c r="D110" s="56" t="inlineStr">
        <is>
          <t>ALL</t>
        </is>
      </c>
      <c r="E110" s="57" t="n">
        <v>7808.93</v>
      </c>
      <c r="F110" s="56" t="inlineStr">
        <is>
          <t>Operating Expense</t>
        </is>
      </c>
    </row>
    <row r="111">
      <c r="A111" s="56" t="inlineStr">
        <is>
          <t>Car &amp; Truck</t>
        </is>
      </c>
      <c r="B111" s="56" t="inlineStr">
        <is>
          <t>FY2025</t>
        </is>
      </c>
      <c r="C111" s="56" t="inlineStr">
        <is>
          <t>2025-12-31</t>
        </is>
      </c>
      <c r="D111" s="56" t="inlineStr">
        <is>
          <t>ALL</t>
        </is>
      </c>
      <c r="E111" s="57" t="n">
        <v>26351.78</v>
      </c>
      <c r="F111" s="56" t="inlineStr">
        <is>
          <t>Operating Expense</t>
        </is>
      </c>
    </row>
    <row r="112">
      <c r="A112" s="56" t="inlineStr">
        <is>
          <t>DEF - Boom Truck</t>
        </is>
      </c>
      <c r="B112" s="56" t="inlineStr">
        <is>
          <t>FY2025</t>
        </is>
      </c>
      <c r="C112" s="56" t="inlineStr">
        <is>
          <t>2025-12-31</t>
        </is>
      </c>
      <c r="D112" s="56" t="inlineStr">
        <is>
          <t>ALL</t>
        </is>
      </c>
      <c r="E112" s="57" t="n">
        <v>2696.79</v>
      </c>
      <c r="F112" s="56" t="inlineStr">
        <is>
          <t>Operating Expense</t>
        </is>
      </c>
    </row>
    <row r="113">
      <c r="A113" s="56" t="inlineStr">
        <is>
          <t>DOT Boom Trucks Compliance</t>
        </is>
      </c>
      <c r="B113" s="56" t="inlineStr">
        <is>
          <t>FY2025</t>
        </is>
      </c>
      <c r="C113" s="56" t="inlineStr">
        <is>
          <t>2025-12-31</t>
        </is>
      </c>
      <c r="D113" s="56" t="inlineStr">
        <is>
          <t>ALL</t>
        </is>
      </c>
      <c r="E113" s="57" t="n">
        <v>10905.77</v>
      </c>
      <c r="F113" s="56" t="inlineStr">
        <is>
          <t>Operating Expense</t>
        </is>
      </c>
    </row>
    <row r="114">
      <c r="A114" s="56" t="inlineStr">
        <is>
          <t>Fuel Diesel - Boom Truck</t>
        </is>
      </c>
      <c r="B114" s="56" t="inlineStr">
        <is>
          <t>FY2025</t>
        </is>
      </c>
      <c r="C114" s="56" t="inlineStr">
        <is>
          <t>2025-12-31</t>
        </is>
      </c>
      <c r="D114" s="56" t="inlineStr">
        <is>
          <t>ALL</t>
        </is>
      </c>
      <c r="E114" s="57" t="n">
        <v>104966.51</v>
      </c>
      <c r="F114" s="56" t="inlineStr">
        <is>
          <t>Operating Expense</t>
        </is>
      </c>
    </row>
    <row r="115">
      <c r="A115" s="56" t="inlineStr">
        <is>
          <t>Drywall Supply HD Boom Scatter Diesel - Boom Truck</t>
        </is>
      </c>
      <c r="B115" s="56" t="inlineStr">
        <is>
          <t>FY2025</t>
        </is>
      </c>
      <c r="C115" s="56" t="inlineStr">
        <is>
          <t>2025-12-31</t>
        </is>
      </c>
      <c r="D115" s="56" t="inlineStr">
        <is>
          <t>DW</t>
        </is>
      </c>
      <c r="E115" s="57" t="n">
        <v>7361.89</v>
      </c>
      <c r="F115" s="56" t="inlineStr">
        <is>
          <t>Operating Expense</t>
        </is>
      </c>
    </row>
    <row r="116">
      <c r="A116" s="56" t="inlineStr">
        <is>
          <t>Fuel Truck - Company Pickup</t>
        </is>
      </c>
      <c r="B116" s="56" t="inlineStr">
        <is>
          <t>FY2025</t>
        </is>
      </c>
      <c r="C116" s="56" t="inlineStr">
        <is>
          <t>2025-12-31</t>
        </is>
      </c>
      <c r="D116" s="56" t="inlineStr">
        <is>
          <t>ALL</t>
        </is>
      </c>
      <c r="E116" s="57" t="n">
        <v>14158.5</v>
      </c>
      <c r="F116" s="56" t="inlineStr">
        <is>
          <t>Operating Expense</t>
        </is>
      </c>
    </row>
    <row r="117">
      <c r="A117" s="56" t="inlineStr">
        <is>
          <t>Service - Boom Truck</t>
        </is>
      </c>
      <c r="B117" s="56" t="inlineStr">
        <is>
          <t>FY2025</t>
        </is>
      </c>
      <c r="C117" s="56" t="inlineStr">
        <is>
          <t>2025-12-31</t>
        </is>
      </c>
      <c r="D117" s="56" t="inlineStr">
        <is>
          <t>ALL</t>
        </is>
      </c>
      <c r="E117" s="57" t="n">
        <v>84192.67</v>
      </c>
      <c r="F117" s="56" t="inlineStr">
        <is>
          <t>Operating Expense</t>
        </is>
      </c>
    </row>
    <row r="118">
      <c r="A118" s="56" t="inlineStr">
        <is>
          <t>Service - Boom Truck 1103 Volvo</t>
        </is>
      </c>
      <c r="B118" s="56" t="inlineStr">
        <is>
          <t>FY2025</t>
        </is>
      </c>
      <c r="C118" s="56" t="inlineStr">
        <is>
          <t>2025-12-31</t>
        </is>
      </c>
      <c r="D118" s="56" t="inlineStr">
        <is>
          <t>ALL</t>
        </is>
      </c>
      <c r="E118" s="57" t="n">
        <v>34700.32</v>
      </c>
      <c r="F118" s="56" t="inlineStr">
        <is>
          <t>Operating Expense</t>
        </is>
      </c>
    </row>
    <row r="119">
      <c r="A119" s="56" t="inlineStr">
        <is>
          <t>Service - Boom Truck 1107 Western Star</t>
        </is>
      </c>
      <c r="B119" s="56" t="inlineStr">
        <is>
          <t>FY2025</t>
        </is>
      </c>
      <c r="C119" s="56" t="inlineStr">
        <is>
          <t>2025-12-31</t>
        </is>
      </c>
      <c r="D119" s="56" t="inlineStr">
        <is>
          <t>ALL</t>
        </is>
      </c>
      <c r="E119" s="57" t="n">
        <v>25081.77</v>
      </c>
      <c r="F119" s="56" t="inlineStr">
        <is>
          <t>Operating Expense</t>
        </is>
      </c>
    </row>
    <row r="120">
      <c r="A120" s="56" t="inlineStr">
        <is>
          <t>Service - Boom Truck 1109 Freightliner 16</t>
        </is>
      </c>
      <c r="B120" s="56" t="inlineStr">
        <is>
          <t>FY2025</t>
        </is>
      </c>
      <c r="C120" s="56" t="inlineStr">
        <is>
          <t>2025-12-31</t>
        </is>
      </c>
      <c r="D120" s="56" t="inlineStr">
        <is>
          <t>ALL</t>
        </is>
      </c>
      <c r="E120" s="57" t="n">
        <v>24433.04</v>
      </c>
      <c r="F120" s="56" t="inlineStr">
        <is>
          <t>Operating Expense</t>
        </is>
      </c>
    </row>
    <row r="121">
      <c r="A121" s="56" t="inlineStr">
        <is>
          <t>Service - Boom Truck 1110 Peterbilt 18</t>
        </is>
      </c>
      <c r="B121" s="56" t="inlineStr">
        <is>
          <t>FY2025</t>
        </is>
      </c>
      <c r="C121" s="56" t="inlineStr">
        <is>
          <t>2025-12-31</t>
        </is>
      </c>
      <c r="D121" s="56" t="inlineStr">
        <is>
          <t>ALL</t>
        </is>
      </c>
      <c r="E121" s="57" t="n">
        <v>20257.62</v>
      </c>
      <c r="F121" s="56" t="inlineStr">
        <is>
          <t>Operating Expense</t>
        </is>
      </c>
    </row>
    <row r="122">
      <c r="A122" s="56" t="inlineStr">
        <is>
          <t>Service - Boom Truck 1111 Freightliner</t>
        </is>
      </c>
      <c r="B122" s="56" t="inlineStr">
        <is>
          <t>FY2025</t>
        </is>
      </c>
      <c r="C122" s="56" t="inlineStr">
        <is>
          <t>2025-12-31</t>
        </is>
      </c>
      <c r="D122" s="56" t="inlineStr">
        <is>
          <t>ALL</t>
        </is>
      </c>
      <c r="E122" s="57" t="n">
        <v>518.59</v>
      </c>
      <c r="F122" s="56" t="inlineStr">
        <is>
          <t>Operating Expense</t>
        </is>
      </c>
    </row>
    <row r="123">
      <c r="A123" s="56" t="inlineStr">
        <is>
          <t>Service - Boom Truck 1112 Peterbilt 17</t>
        </is>
      </c>
      <c r="B123" s="56" t="inlineStr">
        <is>
          <t>FY2025</t>
        </is>
      </c>
      <c r="C123" s="56" t="inlineStr">
        <is>
          <t>2025-12-31</t>
        </is>
      </c>
      <c r="D123" s="56" t="inlineStr">
        <is>
          <t>ALL</t>
        </is>
      </c>
      <c r="E123" s="57" t="n">
        <v>23433.72</v>
      </c>
      <c r="F123" s="56" t="inlineStr">
        <is>
          <t>Operating Expense</t>
        </is>
      </c>
    </row>
    <row r="124">
      <c r="A124" s="56" t="inlineStr">
        <is>
          <t>Service - Company Truck</t>
        </is>
      </c>
      <c r="B124" s="56" t="inlineStr">
        <is>
          <t>FY2025</t>
        </is>
      </c>
      <c r="C124" s="56" t="inlineStr">
        <is>
          <t>2025-12-31</t>
        </is>
      </c>
      <c r="D124" s="56" t="inlineStr">
        <is>
          <t>ALL</t>
        </is>
      </c>
      <c r="E124" s="57" t="n">
        <v>19306.29</v>
      </c>
      <c r="F124" s="56" t="inlineStr">
        <is>
          <t>Operating Expense</t>
        </is>
      </c>
    </row>
    <row r="125">
      <c r="A125" s="56" t="inlineStr">
        <is>
          <t>Charitable Contributions</t>
        </is>
      </c>
      <c r="B125" s="56" t="inlineStr">
        <is>
          <t>FY2025</t>
        </is>
      </c>
      <c r="C125" s="56" t="inlineStr">
        <is>
          <t>2025-12-31</t>
        </is>
      </c>
      <c r="D125" s="56" t="inlineStr">
        <is>
          <t>ALL</t>
        </is>
      </c>
      <c r="E125" s="57" t="n">
        <v>3313.04</v>
      </c>
      <c r="F125" s="56" t="inlineStr">
        <is>
          <t>Operating Expense</t>
        </is>
      </c>
    </row>
    <row r="126">
      <c r="A126" s="56" t="inlineStr">
        <is>
          <t>Contractors</t>
        </is>
      </c>
      <c r="B126" s="56" t="inlineStr">
        <is>
          <t>FY2025</t>
        </is>
      </c>
      <c r="C126" s="56" t="inlineStr">
        <is>
          <t>2025-12-31</t>
        </is>
      </c>
      <c r="D126" s="56" t="inlineStr">
        <is>
          <t>ALL</t>
        </is>
      </c>
      <c r="E126" s="57" t="n">
        <v>51647.33</v>
      </c>
      <c r="F126" s="56" t="inlineStr">
        <is>
          <t>Operating Expense</t>
        </is>
      </c>
    </row>
    <row r="127">
      <c r="A127" s="56" t="inlineStr">
        <is>
          <t>Depreciation</t>
        </is>
      </c>
      <c r="B127" s="56" t="inlineStr">
        <is>
          <t>FY2025</t>
        </is>
      </c>
      <c r="C127" s="56" t="inlineStr">
        <is>
          <t>2025-12-31</t>
        </is>
      </c>
      <c r="D127" s="56" t="inlineStr">
        <is>
          <t>ALL</t>
        </is>
      </c>
      <c r="E127" s="57" t="n">
        <v>190161.95</v>
      </c>
      <c r="F127" s="56" t="inlineStr">
        <is>
          <t>Operating Expense</t>
        </is>
      </c>
    </row>
    <row r="128">
      <c r="A128" s="56" t="inlineStr">
        <is>
          <t>Drywall Division Labor - Subcontractors</t>
        </is>
      </c>
      <c r="B128" s="56" t="inlineStr">
        <is>
          <t>FY2025</t>
        </is>
      </c>
      <c r="C128" s="56" t="inlineStr">
        <is>
          <t>2025-12-31</t>
        </is>
      </c>
      <c r="D128" s="56" t="inlineStr">
        <is>
          <t>DW</t>
        </is>
      </c>
      <c r="E128" s="57" t="n">
        <v>697055</v>
      </c>
      <c r="F128" s="56" t="inlineStr">
        <is>
          <t>Operating Expense</t>
        </is>
      </c>
    </row>
    <row r="129">
      <c r="A129" s="56" t="inlineStr">
        <is>
          <t>Drywall Division Supplies Expense</t>
        </is>
      </c>
      <c r="B129" s="56" t="inlineStr">
        <is>
          <t>FY2025</t>
        </is>
      </c>
      <c r="C129" s="56" t="inlineStr">
        <is>
          <t>2025-12-31</t>
        </is>
      </c>
      <c r="D129" s="56" t="inlineStr">
        <is>
          <t>DW</t>
        </is>
      </c>
      <c r="E129" s="57" t="n">
        <v>19211.23</v>
      </c>
      <c r="F129" s="56" t="inlineStr">
        <is>
          <t>Operating Expense</t>
        </is>
      </c>
    </row>
    <row r="130">
      <c r="A130" s="56" t="inlineStr">
        <is>
          <t>Drywall Supply HD Boom Scatter Expense</t>
        </is>
      </c>
      <c r="B130" s="56" t="inlineStr">
        <is>
          <t>FY2025</t>
        </is>
      </c>
      <c r="C130" s="56" t="inlineStr">
        <is>
          <t>2025-12-31</t>
        </is>
      </c>
      <c r="D130" s="56" t="inlineStr">
        <is>
          <t>DW</t>
        </is>
      </c>
      <c r="E130" s="57" t="n">
        <v>14857.55</v>
      </c>
      <c r="F130" s="56" t="inlineStr">
        <is>
          <t>Operating Expense</t>
        </is>
      </c>
    </row>
    <row r="131">
      <c r="A131" s="56" t="inlineStr">
        <is>
          <t>Drywall Supply HD Boom Scatter Labor</t>
        </is>
      </c>
      <c r="B131" s="56" t="inlineStr">
        <is>
          <t>FY2025</t>
        </is>
      </c>
      <c r="C131" s="56" t="inlineStr">
        <is>
          <t>2025-12-31</t>
        </is>
      </c>
      <c r="D131" s="56" t="inlineStr">
        <is>
          <t>DW</t>
        </is>
      </c>
      <c r="E131" s="57" t="n">
        <v>145428.75</v>
      </c>
      <c r="F131" s="56" t="inlineStr">
        <is>
          <t>Operating Expense</t>
        </is>
      </c>
    </row>
    <row r="132">
      <c r="A132" s="56" t="inlineStr">
        <is>
          <t>Drywall Supply HD Boom Scatter Travel</t>
        </is>
      </c>
      <c r="B132" s="56" t="inlineStr">
        <is>
          <t>FY2025</t>
        </is>
      </c>
      <c r="C132" s="56" t="inlineStr">
        <is>
          <t>2025-12-31</t>
        </is>
      </c>
      <c r="D132" s="56" t="inlineStr">
        <is>
          <t>DW</t>
        </is>
      </c>
      <c r="E132" s="57" t="n">
        <v>24614.8</v>
      </c>
      <c r="F132" s="56" t="inlineStr">
        <is>
          <t>Operating Expense</t>
        </is>
      </c>
    </row>
    <row r="133">
      <c r="A133" s="56" t="inlineStr">
        <is>
          <t>Dues &amp; subscriptions</t>
        </is>
      </c>
      <c r="B133" s="56" t="inlineStr">
        <is>
          <t>FY2025</t>
        </is>
      </c>
      <c r="C133" s="56" t="inlineStr">
        <is>
          <t>2025-12-31</t>
        </is>
      </c>
      <c r="D133" s="56" t="inlineStr">
        <is>
          <t>ALL</t>
        </is>
      </c>
      <c r="E133" s="57" t="n">
        <v>5234.38</v>
      </c>
      <c r="F133" s="56" t="inlineStr">
        <is>
          <t>Operating Expense</t>
        </is>
      </c>
    </row>
    <row r="134">
      <c r="A134" s="56" t="inlineStr">
        <is>
          <t>Equipment/Vehicle Rental</t>
        </is>
      </c>
      <c r="B134" s="56" t="inlineStr">
        <is>
          <t>FY2025</t>
        </is>
      </c>
      <c r="C134" s="56" t="inlineStr">
        <is>
          <t>2025-12-31</t>
        </is>
      </c>
      <c r="D134" s="56" t="inlineStr">
        <is>
          <t>ALL</t>
        </is>
      </c>
      <c r="E134" s="57" t="n">
        <v>5868.22</v>
      </c>
      <c r="F134" s="56" t="inlineStr">
        <is>
          <t>Operating Expense</t>
        </is>
      </c>
    </row>
    <row r="135">
      <c r="A135" s="56" t="inlineStr">
        <is>
          <t>Insurance</t>
        </is>
      </c>
      <c r="B135" s="56" t="inlineStr">
        <is>
          <t>FY2025</t>
        </is>
      </c>
      <c r="C135" s="56" t="inlineStr">
        <is>
          <t>2025-12-31</t>
        </is>
      </c>
      <c r="D135" s="56" t="inlineStr">
        <is>
          <t>ALL</t>
        </is>
      </c>
      <c r="E135" s="57" t="n">
        <v>248733.08</v>
      </c>
      <c r="F135" s="56" t="inlineStr">
        <is>
          <t>Operating Expense</t>
        </is>
      </c>
    </row>
    <row r="136">
      <c r="A136" s="56" t="inlineStr">
        <is>
          <t>Interest Paid</t>
        </is>
      </c>
      <c r="B136" s="56" t="inlineStr">
        <is>
          <t>FY2025</t>
        </is>
      </c>
      <c r="C136" s="56" t="inlineStr">
        <is>
          <t>2025-12-31</t>
        </is>
      </c>
      <c r="D136" s="56" t="inlineStr">
        <is>
          <t>ALL</t>
        </is>
      </c>
      <c r="E136" s="57" t="n">
        <v>286637.57</v>
      </c>
      <c r="F136" s="56" t="inlineStr">
        <is>
          <t>Operating Expense</t>
        </is>
      </c>
    </row>
    <row r="137">
      <c r="A137" s="56" t="inlineStr">
        <is>
          <t>Job Supplies</t>
        </is>
      </c>
      <c r="B137" s="56" t="inlineStr">
        <is>
          <t>FY2025</t>
        </is>
      </c>
      <c r="C137" s="56" t="inlineStr">
        <is>
          <t>2025-12-31</t>
        </is>
      </c>
      <c r="D137" s="56" t="inlineStr">
        <is>
          <t>ALL</t>
        </is>
      </c>
      <c r="E137" s="57" t="n">
        <v>32962.99</v>
      </c>
      <c r="F137" s="56" t="inlineStr">
        <is>
          <t>Operating Expense</t>
        </is>
      </c>
    </row>
    <row r="138">
      <c r="A138" s="56" t="inlineStr">
        <is>
          <t>Legal &amp; Professional Services</t>
        </is>
      </c>
      <c r="B138" s="56" t="inlineStr">
        <is>
          <t>FY2025</t>
        </is>
      </c>
      <c r="C138" s="56" t="inlineStr">
        <is>
          <t>2025-12-31</t>
        </is>
      </c>
      <c r="D138" s="56" t="inlineStr">
        <is>
          <t>ALL</t>
        </is>
      </c>
      <c r="E138" s="57" t="n">
        <v>213655.55</v>
      </c>
      <c r="F138" s="56" t="inlineStr">
        <is>
          <t>Operating Expense</t>
        </is>
      </c>
    </row>
    <row r="139">
      <c r="A139" s="56" t="inlineStr">
        <is>
          <t>Meals &amp; Entertainment</t>
        </is>
      </c>
      <c r="B139" s="56" t="inlineStr">
        <is>
          <t>FY2025</t>
        </is>
      </c>
      <c r="C139" s="56" t="inlineStr">
        <is>
          <t>2025-12-31</t>
        </is>
      </c>
      <c r="D139" s="56" t="inlineStr">
        <is>
          <t>ALL</t>
        </is>
      </c>
      <c r="E139" s="57" t="n">
        <v>192274.77</v>
      </c>
      <c r="F139" s="56" t="inlineStr">
        <is>
          <t>Operating Expense</t>
        </is>
      </c>
    </row>
    <row r="140">
      <c r="A140" s="56" t="inlineStr">
        <is>
          <t>Entertainment</t>
        </is>
      </c>
      <c r="B140" s="56" t="inlineStr">
        <is>
          <t>FY2025</t>
        </is>
      </c>
      <c r="C140" s="56" t="inlineStr">
        <is>
          <t>2025-12-31</t>
        </is>
      </c>
      <c r="D140" s="56" t="inlineStr">
        <is>
          <t>ALL</t>
        </is>
      </c>
      <c r="E140" s="57" t="n">
        <v>18665.18</v>
      </c>
      <c r="F140" s="56" t="inlineStr">
        <is>
          <t>Operating Expense</t>
        </is>
      </c>
    </row>
    <row r="141">
      <c r="A141" s="56" t="inlineStr">
        <is>
          <t>Office Supplies &amp; Software</t>
        </is>
      </c>
      <c r="B141" s="56" t="inlineStr">
        <is>
          <t>FY2025</t>
        </is>
      </c>
      <c r="C141" s="56" t="inlineStr">
        <is>
          <t>2025-12-31</t>
        </is>
      </c>
      <c r="D141" s="56" t="inlineStr">
        <is>
          <t>ALL</t>
        </is>
      </c>
      <c r="E141" s="57" t="n">
        <v>62125.49</v>
      </c>
      <c r="F141" s="56" t="inlineStr">
        <is>
          <t>Operating Expense</t>
        </is>
      </c>
    </row>
    <row r="142">
      <c r="A142" s="56" t="inlineStr">
        <is>
          <t>Software Subscription/Use Fee</t>
        </is>
      </c>
      <c r="B142" s="56" t="inlineStr">
        <is>
          <t>FY2025</t>
        </is>
      </c>
      <c r="C142" s="56" t="inlineStr">
        <is>
          <t>2025-12-31</t>
        </is>
      </c>
      <c r="D142" s="56" t="inlineStr">
        <is>
          <t>ALL</t>
        </is>
      </c>
      <c r="E142" s="57" t="n">
        <v>111775.41</v>
      </c>
      <c r="F142" s="56" t="inlineStr">
        <is>
          <t>Operating Expense</t>
        </is>
      </c>
    </row>
    <row r="143">
      <c r="A143" s="56" t="inlineStr">
        <is>
          <t>Other Business Expenses</t>
        </is>
      </c>
      <c r="B143" s="56" t="inlineStr">
        <is>
          <t>FY2025</t>
        </is>
      </c>
      <c r="C143" s="56" t="inlineStr">
        <is>
          <t>2025-12-31</t>
        </is>
      </c>
      <c r="D143" s="56" t="inlineStr">
        <is>
          <t>ALL</t>
        </is>
      </c>
      <c r="E143" s="57" t="n">
        <v>9413.48</v>
      </c>
      <c r="F143" s="56" t="inlineStr">
        <is>
          <t>Operating Expense</t>
        </is>
      </c>
    </row>
    <row r="144">
      <c r="A144" s="56" t="inlineStr">
        <is>
          <t>Outsourced IT Services</t>
        </is>
      </c>
      <c r="B144" s="56" t="inlineStr">
        <is>
          <t>FY2025</t>
        </is>
      </c>
      <c r="C144" s="56" t="inlineStr">
        <is>
          <t>2025-12-31</t>
        </is>
      </c>
      <c r="D144" s="56" t="inlineStr">
        <is>
          <t>ALL</t>
        </is>
      </c>
      <c r="E144" s="57" t="n">
        <v>74239.8</v>
      </c>
      <c r="F144" s="56" t="inlineStr">
        <is>
          <t>Operating Expense</t>
        </is>
      </c>
    </row>
    <row r="145">
      <c r="A145" s="56" t="inlineStr">
        <is>
          <t>Outsourced Safety</t>
        </is>
      </c>
      <c r="B145" s="56" t="inlineStr">
        <is>
          <t>FY2025</t>
        </is>
      </c>
      <c r="C145" s="56" t="inlineStr">
        <is>
          <t>2025-12-31</t>
        </is>
      </c>
      <c r="D145" s="56" t="inlineStr">
        <is>
          <t>ALL</t>
        </is>
      </c>
      <c r="E145" s="57" t="n">
        <v>2775.39</v>
      </c>
      <c r="F145" s="56" t="inlineStr">
        <is>
          <t>Operating Expense</t>
        </is>
      </c>
    </row>
    <row r="146">
      <c r="A146" s="56" t="inlineStr">
        <is>
          <t>Bonus</t>
        </is>
      </c>
      <c r="B146" s="56" t="inlineStr">
        <is>
          <t>FY2025</t>
        </is>
      </c>
      <c r="C146" s="56" t="inlineStr">
        <is>
          <t>2025-12-31</t>
        </is>
      </c>
      <c r="D146" s="56" t="inlineStr">
        <is>
          <t>ALL</t>
        </is>
      </c>
      <c r="E146" s="57" t="n">
        <v>374819.06</v>
      </c>
      <c r="F146" s="56" t="inlineStr">
        <is>
          <t>Operating Expense</t>
        </is>
      </c>
    </row>
    <row r="147">
      <c r="A147" s="56" t="inlineStr">
        <is>
          <t>Commission</t>
        </is>
      </c>
      <c r="B147" s="56" t="inlineStr">
        <is>
          <t>FY2025</t>
        </is>
      </c>
      <c r="C147" s="56" t="inlineStr">
        <is>
          <t>2025-12-31</t>
        </is>
      </c>
      <c r="D147" s="56" t="inlineStr">
        <is>
          <t>ALL</t>
        </is>
      </c>
      <c r="E147" s="57" t="n">
        <v>30018.33</v>
      </c>
      <c r="F147" s="56" t="inlineStr">
        <is>
          <t>Operating Expense</t>
        </is>
      </c>
    </row>
    <row r="148">
      <c r="A148" s="56" t="inlineStr">
        <is>
          <t>Employee Benefits</t>
        </is>
      </c>
      <c r="B148" s="56" t="inlineStr">
        <is>
          <t>FY2025</t>
        </is>
      </c>
      <c r="C148" s="56" t="inlineStr">
        <is>
          <t>2025-12-31</t>
        </is>
      </c>
      <c r="D148" s="56" t="inlineStr">
        <is>
          <t>ALL</t>
        </is>
      </c>
      <c r="E148" s="57" t="n">
        <v>281502.41</v>
      </c>
      <c r="F148" s="56" t="inlineStr">
        <is>
          <t>Operating Expense</t>
        </is>
      </c>
    </row>
    <row r="149">
      <c r="A149" s="56" t="inlineStr">
        <is>
          <t>Health Insurance</t>
        </is>
      </c>
      <c r="B149" s="56" t="inlineStr">
        <is>
          <t>FY2025</t>
        </is>
      </c>
      <c r="C149" s="56" t="inlineStr">
        <is>
          <t>2025-12-31</t>
        </is>
      </c>
      <c r="D149" s="56" t="inlineStr">
        <is>
          <t>ALL</t>
        </is>
      </c>
      <c r="E149" s="57" t="n">
        <v>12490.53</v>
      </c>
      <c r="F149" s="56" t="inlineStr">
        <is>
          <t>Operating Expense</t>
        </is>
      </c>
    </row>
    <row r="150">
      <c r="A150" s="56" t="inlineStr">
        <is>
          <t>Payroll Fees</t>
        </is>
      </c>
      <c r="B150" s="56" t="inlineStr">
        <is>
          <t>FY2025</t>
        </is>
      </c>
      <c r="C150" s="56" t="inlineStr">
        <is>
          <t>2025-12-31</t>
        </is>
      </c>
      <c r="D150" s="56" t="inlineStr">
        <is>
          <t>ALL</t>
        </is>
      </c>
      <c r="E150" s="57" t="n">
        <v>58838.35</v>
      </c>
      <c r="F150" s="56" t="inlineStr">
        <is>
          <t>Operating Expense</t>
        </is>
      </c>
    </row>
    <row r="151">
      <c r="A151" s="56" t="inlineStr">
        <is>
          <t>Taxes</t>
        </is>
      </c>
      <c r="B151" s="56" t="inlineStr">
        <is>
          <t>FY2025</t>
        </is>
      </c>
      <c r="C151" s="56" t="inlineStr">
        <is>
          <t>2025-12-31</t>
        </is>
      </c>
      <c r="D151" s="56" t="inlineStr">
        <is>
          <t>ALL</t>
        </is>
      </c>
      <c r="E151" s="57" t="n">
        <v>395840.67</v>
      </c>
      <c r="F151" s="56" t="inlineStr">
        <is>
          <t>Operating Expense</t>
        </is>
      </c>
    </row>
    <row r="152">
      <c r="A152" s="56" t="inlineStr">
        <is>
          <t>Wages</t>
        </is>
      </c>
      <c r="B152" s="56" t="inlineStr">
        <is>
          <t>FY2025</t>
        </is>
      </c>
      <c r="C152" s="56" t="inlineStr">
        <is>
          <t>2025-12-31</t>
        </is>
      </c>
      <c r="D152" s="56" t="inlineStr">
        <is>
          <t>ALL</t>
        </is>
      </c>
      <c r="E152" s="57" t="n">
        <v>4495102.3</v>
      </c>
      <c r="F152" s="56" t="inlineStr">
        <is>
          <t>Operating Expense</t>
        </is>
      </c>
    </row>
    <row r="153">
      <c r="A153" s="56" t="inlineStr">
        <is>
          <t>Property Tax</t>
        </is>
      </c>
      <c r="B153" s="56" t="inlineStr">
        <is>
          <t>FY2025</t>
        </is>
      </c>
      <c r="C153" s="56" t="inlineStr">
        <is>
          <t>2025-12-31</t>
        </is>
      </c>
      <c r="D153" s="56" t="inlineStr">
        <is>
          <t>ALL</t>
        </is>
      </c>
      <c r="E153" s="57" t="n">
        <v>34572.38</v>
      </c>
      <c r="F153" s="56" t="inlineStr">
        <is>
          <t>Operating Expense</t>
        </is>
      </c>
    </row>
    <row r="154">
      <c r="A154" s="56" t="inlineStr">
        <is>
          <t>Reimbursable Expenses</t>
        </is>
      </c>
      <c r="B154" s="56" t="inlineStr">
        <is>
          <t>FY2025</t>
        </is>
      </c>
      <c r="C154" s="56" t="inlineStr">
        <is>
          <t>2025-12-31</t>
        </is>
      </c>
      <c r="D154" s="56" t="inlineStr">
        <is>
          <t>ALL</t>
        </is>
      </c>
      <c r="E154" s="57" t="n">
        <v>510.9</v>
      </c>
      <c r="F154" s="56" t="inlineStr">
        <is>
          <t>Operating Expense</t>
        </is>
      </c>
    </row>
    <row r="155">
      <c r="A155" s="56" t="inlineStr">
        <is>
          <t>Rent &amp; Lease</t>
        </is>
      </c>
      <c r="B155" s="56" t="inlineStr">
        <is>
          <t>FY2025</t>
        </is>
      </c>
      <c r="C155" s="56" t="inlineStr">
        <is>
          <t>2025-12-31</t>
        </is>
      </c>
      <c r="D155" s="56" t="inlineStr">
        <is>
          <t>ALL</t>
        </is>
      </c>
      <c r="E155" s="57" t="n">
        <v>1089976.37</v>
      </c>
      <c r="F155" s="56" t="inlineStr">
        <is>
          <t>Operating Expense</t>
        </is>
      </c>
    </row>
    <row r="156">
      <c r="A156" s="56" t="inlineStr">
        <is>
          <t>Expenses — Unitemized</t>
        </is>
      </c>
      <c r="B156" s="56" t="inlineStr">
        <is>
          <t>FY2025</t>
        </is>
      </c>
      <c r="C156" s="56" t="inlineStr">
        <is>
          <t>2025-12-31</t>
        </is>
      </c>
      <c r="D156" s="56" t="inlineStr">
        <is>
          <t>ALL</t>
        </is>
      </c>
      <c r="E156" s="57" t="n">
        <v>328196.88</v>
      </c>
      <c r="F156" s="56" t="inlineStr">
        <is>
          <t>Operating Expense</t>
        </is>
      </c>
    </row>
    <row r="157">
      <c r="A157" s="56" t="inlineStr">
        <is>
          <t>Drywall Service Income</t>
        </is>
      </c>
      <c r="B157" s="56" t="inlineStr">
        <is>
          <t>YTD2026</t>
        </is>
      </c>
      <c r="C157" s="56" t="inlineStr">
        <is>
          <t>2026-06-17</t>
        </is>
      </c>
      <c r="D157" s="56" t="inlineStr">
        <is>
          <t>DW</t>
        </is>
      </c>
      <c r="E157" s="57" t="n">
        <v>426214.72</v>
      </c>
      <c r="F157" s="56" t="inlineStr">
        <is>
          <t>Revenue</t>
        </is>
      </c>
    </row>
    <row r="158">
      <c r="A158" s="56" t="inlineStr">
        <is>
          <t>Drywall Division Material Income</t>
        </is>
      </c>
      <c r="B158" s="56" t="inlineStr">
        <is>
          <t>YTD2026</t>
        </is>
      </c>
      <c r="C158" s="56" t="inlineStr">
        <is>
          <t>2026-06-17</t>
        </is>
      </c>
      <c r="D158" s="56" t="inlineStr">
        <is>
          <t>DW</t>
        </is>
      </c>
      <c r="E158" s="57" t="n">
        <v>20720.33</v>
      </c>
      <c r="F158" s="56" t="inlineStr">
        <is>
          <t>Revenue</t>
        </is>
      </c>
    </row>
    <row r="159">
      <c r="A159" s="56" t="inlineStr">
        <is>
          <t>Drywall Supply Arbor Income</t>
        </is>
      </c>
      <c r="B159" s="56" t="inlineStr">
        <is>
          <t>YTD2026</t>
        </is>
      </c>
      <c r="C159" s="56" t="inlineStr">
        <is>
          <t>2026-06-17</t>
        </is>
      </c>
      <c r="D159" s="56" t="inlineStr">
        <is>
          <t>DW</t>
        </is>
      </c>
      <c r="E159" s="57" t="n">
        <v>880039.92</v>
      </c>
      <c r="F159" s="56" t="inlineStr">
        <is>
          <t>Revenue</t>
        </is>
      </c>
    </row>
    <row r="160">
      <c r="A160" s="56" t="inlineStr">
        <is>
          <t>Drywall Supply Pulte Income</t>
        </is>
      </c>
      <c r="B160" s="56" t="inlineStr">
        <is>
          <t>YTD2026</t>
        </is>
      </c>
      <c r="C160" s="56" t="inlineStr">
        <is>
          <t>2026-06-17</t>
        </is>
      </c>
      <c r="D160" s="56" t="inlineStr">
        <is>
          <t>DW</t>
        </is>
      </c>
      <c r="E160" s="57" t="n">
        <v>16826.61</v>
      </c>
      <c r="F160" s="56" t="inlineStr">
        <is>
          <t>Revenue</t>
        </is>
      </c>
    </row>
    <row r="161">
      <c r="A161" s="56" t="inlineStr">
        <is>
          <t>Engineering Project Income</t>
        </is>
      </c>
      <c r="B161" s="56" t="inlineStr">
        <is>
          <t>YTD2026</t>
        </is>
      </c>
      <c r="C161" s="56" t="inlineStr">
        <is>
          <t>2026-06-17</t>
        </is>
      </c>
      <c r="D161" s="56" t="inlineStr">
        <is>
          <t>EN</t>
        </is>
      </c>
      <c r="E161" s="57" t="n">
        <v>396425</v>
      </c>
      <c r="F161" s="56" t="inlineStr">
        <is>
          <t>Revenue</t>
        </is>
      </c>
    </row>
    <row r="162">
      <c r="A162" s="56" t="inlineStr">
        <is>
          <t>Sales</t>
        </is>
      </c>
      <c r="B162" s="56" t="inlineStr">
        <is>
          <t>YTD2026</t>
        </is>
      </c>
      <c r="C162" s="56" t="inlineStr">
        <is>
          <t>2026-06-17</t>
        </is>
      </c>
      <c r="D162" s="56" t="inlineStr">
        <is>
          <t>ALL</t>
        </is>
      </c>
      <c r="E162" s="57" t="n">
        <v>4820</v>
      </c>
      <c r="F162" s="56" t="inlineStr">
        <is>
          <t>Revenue</t>
        </is>
      </c>
    </row>
    <row r="163">
      <c r="A163" s="56" t="inlineStr">
        <is>
          <t>Service/Fee Income</t>
        </is>
      </c>
      <c r="B163" s="56" t="inlineStr">
        <is>
          <t>YTD2026</t>
        </is>
      </c>
      <c r="C163" s="56" t="inlineStr">
        <is>
          <t>2026-06-17</t>
        </is>
      </c>
      <c r="D163" s="56" t="inlineStr">
        <is>
          <t>ALL</t>
        </is>
      </c>
      <c r="E163" s="57" t="n">
        <v>24484720.25</v>
      </c>
      <c r="F163" s="56" t="inlineStr">
        <is>
          <t>Revenue</t>
        </is>
      </c>
    </row>
    <row r="164">
      <c r="A164" s="56" t="inlineStr">
        <is>
          <t>WIP Adj - Net change</t>
        </is>
      </c>
      <c r="B164" s="56" t="inlineStr">
        <is>
          <t>YTD2026</t>
        </is>
      </c>
      <c r="C164" s="56" t="inlineStr">
        <is>
          <t>2026-06-17</t>
        </is>
      </c>
      <c r="D164" s="56" t="inlineStr">
        <is>
          <t>ALL</t>
        </is>
      </c>
      <c r="E164" s="57" t="n">
        <v>2544448.44</v>
      </c>
      <c r="F164" s="56" t="inlineStr">
        <is>
          <t>Revenue</t>
        </is>
      </c>
    </row>
    <row r="165">
      <c r="A165" s="56" t="inlineStr">
        <is>
          <t>Cost of labor - Contractors</t>
        </is>
      </c>
      <c r="B165" s="56" t="inlineStr">
        <is>
          <t>YTD2026</t>
        </is>
      </c>
      <c r="C165" s="56" t="inlineStr">
        <is>
          <t>2026-06-17</t>
        </is>
      </c>
      <c r="D165" s="56" t="inlineStr">
        <is>
          <t>ALL</t>
        </is>
      </c>
      <c r="E165" s="57" t="n">
        <v>7895791.6</v>
      </c>
      <c r="F165" s="56" t="inlineStr">
        <is>
          <t>COGS</t>
        </is>
      </c>
    </row>
    <row r="166">
      <c r="A166" s="56" t="inlineStr">
        <is>
          <t>Cost of labor - Direct Labor</t>
        </is>
      </c>
      <c r="B166" s="56" t="inlineStr">
        <is>
          <t>YTD2026</t>
        </is>
      </c>
      <c r="C166" s="56" t="inlineStr">
        <is>
          <t>2026-06-17</t>
        </is>
      </c>
      <c r="D166" s="56" t="inlineStr">
        <is>
          <t>ALL</t>
        </is>
      </c>
      <c r="E166" s="57" t="n">
        <v>55994.93</v>
      </c>
      <c r="F166" s="56" t="inlineStr">
        <is>
          <t>COGS</t>
        </is>
      </c>
    </row>
    <row r="167">
      <c r="A167" s="56" t="inlineStr">
        <is>
          <t>Drywall Supply External Expense</t>
        </is>
      </c>
      <c r="B167" s="56" t="inlineStr">
        <is>
          <t>YTD2026</t>
        </is>
      </c>
      <c r="C167" s="56" t="inlineStr">
        <is>
          <t>2026-06-17</t>
        </is>
      </c>
      <c r="D167" s="56" t="inlineStr">
        <is>
          <t>DW</t>
        </is>
      </c>
      <c r="E167" s="57" t="n">
        <v>1044464.67</v>
      </c>
      <c r="F167" s="56" t="inlineStr">
        <is>
          <t>COGS</t>
        </is>
      </c>
    </row>
    <row r="168">
      <c r="A168" s="56" t="inlineStr">
        <is>
          <t>Drywall Supply Internal Expense</t>
        </is>
      </c>
      <c r="B168" s="56" t="inlineStr">
        <is>
          <t>YTD2026</t>
        </is>
      </c>
      <c r="C168" s="56" t="inlineStr">
        <is>
          <t>2026-06-17</t>
        </is>
      </c>
      <c r="D168" s="56" t="inlineStr">
        <is>
          <t>DW</t>
        </is>
      </c>
      <c r="E168" s="57" t="n">
        <v>2506052.68</v>
      </c>
      <c r="F168" s="56" t="inlineStr">
        <is>
          <t>COGS</t>
        </is>
      </c>
    </row>
    <row r="169">
      <c r="A169" s="56" t="inlineStr">
        <is>
          <t>Job Site Expenses</t>
        </is>
      </c>
      <c r="B169" s="56" t="inlineStr">
        <is>
          <t>YTD2026</t>
        </is>
      </c>
      <c r="C169" s="56" t="inlineStr">
        <is>
          <t>2026-06-17</t>
        </is>
      </c>
      <c r="D169" s="56" t="inlineStr">
        <is>
          <t>ALL</t>
        </is>
      </c>
      <c r="E169" s="57" t="n">
        <v>6333530.14</v>
      </c>
      <c r="F169" s="56" t="inlineStr">
        <is>
          <t>COGS</t>
        </is>
      </c>
    </row>
    <row r="170">
      <c r="A170" s="56" t="inlineStr">
        <is>
          <t>Drywall Project (Material) Expense - Internal</t>
        </is>
      </c>
      <c r="B170" s="56" t="inlineStr">
        <is>
          <t>YTD2026</t>
        </is>
      </c>
      <c r="C170" s="56" t="inlineStr">
        <is>
          <t>2026-06-17</t>
        </is>
      </c>
      <c r="D170" s="56" t="inlineStr">
        <is>
          <t>DW</t>
        </is>
      </c>
      <c r="E170" s="57" t="n">
        <v>4608.22</v>
      </c>
      <c r="F170" s="56" t="inlineStr">
        <is>
          <t>COGS</t>
        </is>
      </c>
    </row>
    <row r="171">
      <c r="A171" s="56" t="inlineStr">
        <is>
          <t>Equipment Rental</t>
        </is>
      </c>
      <c r="B171" s="56" t="inlineStr">
        <is>
          <t>YTD2026</t>
        </is>
      </c>
      <c r="C171" s="56" t="inlineStr">
        <is>
          <t>2026-06-17</t>
        </is>
      </c>
      <c r="D171" s="56" t="inlineStr">
        <is>
          <t>ALL</t>
        </is>
      </c>
      <c r="E171" s="57" t="n">
        <v>678220.74</v>
      </c>
      <c r="F171" s="56" t="inlineStr">
        <is>
          <t>COGS</t>
        </is>
      </c>
    </row>
    <row r="172">
      <c r="A172" s="56" t="inlineStr">
        <is>
          <t>Per Diem Job Expense</t>
        </is>
      </c>
      <c r="B172" s="56" t="inlineStr">
        <is>
          <t>YTD2026</t>
        </is>
      </c>
      <c r="C172" s="56" t="inlineStr">
        <is>
          <t>2026-06-17</t>
        </is>
      </c>
      <c r="D172" s="56" t="inlineStr">
        <is>
          <t>ALL</t>
        </is>
      </c>
      <c r="E172" s="57" t="n">
        <v>16970</v>
      </c>
      <c r="F172" s="56" t="inlineStr">
        <is>
          <t>COGS</t>
        </is>
      </c>
    </row>
    <row r="173">
      <c r="A173" s="56" t="inlineStr">
        <is>
          <t>Advertising &amp; Marketing</t>
        </is>
      </c>
      <c r="B173" s="56" t="inlineStr">
        <is>
          <t>YTD2026</t>
        </is>
      </c>
      <c r="C173" s="56" t="inlineStr">
        <is>
          <t>2026-06-17</t>
        </is>
      </c>
      <c r="D173" s="56" t="inlineStr">
        <is>
          <t>ALL</t>
        </is>
      </c>
      <c r="E173" s="57" t="n">
        <v>51280.58</v>
      </c>
      <c r="F173" s="56" t="inlineStr">
        <is>
          <t>Operating Expense</t>
        </is>
      </c>
    </row>
    <row r="174">
      <c r="A174" s="56" t="inlineStr">
        <is>
          <t>Ask My Accountant</t>
        </is>
      </c>
      <c r="B174" s="56" t="inlineStr">
        <is>
          <t>YTD2026</t>
        </is>
      </c>
      <c r="C174" s="56" t="inlineStr">
        <is>
          <t>2026-06-17</t>
        </is>
      </c>
      <c r="D174" s="56" t="inlineStr">
        <is>
          <t>ALL</t>
        </is>
      </c>
      <c r="E174" s="57" t="n">
        <v>6860.41</v>
      </c>
      <c r="F174" s="56" t="inlineStr">
        <is>
          <t>Operating Expense</t>
        </is>
      </c>
    </row>
    <row r="175">
      <c r="A175" s="56" t="inlineStr">
        <is>
          <t>Bad Debt</t>
        </is>
      </c>
      <c r="B175" s="56" t="inlineStr">
        <is>
          <t>YTD2026</t>
        </is>
      </c>
      <c r="C175" s="56" t="inlineStr">
        <is>
          <t>2026-06-17</t>
        </is>
      </c>
      <c r="D175" s="56" t="inlineStr">
        <is>
          <t>ALL</t>
        </is>
      </c>
      <c r="E175" s="57" t="n">
        <v>129.56</v>
      </c>
      <c r="F175" s="56" t="inlineStr">
        <is>
          <t>Operating Expense</t>
        </is>
      </c>
    </row>
    <row r="176">
      <c r="A176" s="56" t="inlineStr">
        <is>
          <t>Bank Charges &amp; Fees</t>
        </is>
      </c>
      <c r="B176" s="56" t="inlineStr">
        <is>
          <t>YTD2026</t>
        </is>
      </c>
      <c r="C176" s="56" t="inlineStr">
        <is>
          <t>2026-06-17</t>
        </is>
      </c>
      <c r="D176" s="56" t="inlineStr">
        <is>
          <t>ALL</t>
        </is>
      </c>
      <c r="E176" s="57" t="n">
        <v>1396.51</v>
      </c>
      <c r="F176" s="56" t="inlineStr">
        <is>
          <t>Operating Expense</t>
        </is>
      </c>
    </row>
    <row r="177">
      <c r="A177" s="56" t="inlineStr">
        <is>
          <t>Car &amp; Truck</t>
        </is>
      </c>
      <c r="B177" s="56" t="inlineStr">
        <is>
          <t>YTD2026</t>
        </is>
      </c>
      <c r="C177" s="56" t="inlineStr">
        <is>
          <t>2026-06-17</t>
        </is>
      </c>
      <c r="D177" s="56" t="inlineStr">
        <is>
          <t>ALL</t>
        </is>
      </c>
      <c r="E177" s="57" t="n">
        <v>13052.56</v>
      </c>
      <c r="F177" s="56" t="inlineStr">
        <is>
          <t>Operating Expense</t>
        </is>
      </c>
    </row>
    <row r="178">
      <c r="A178" s="56" t="inlineStr">
        <is>
          <t>DEF - Boom Truck</t>
        </is>
      </c>
      <c r="B178" s="56" t="inlineStr">
        <is>
          <t>YTD2026</t>
        </is>
      </c>
      <c r="C178" s="56" t="inlineStr">
        <is>
          <t>2026-06-17</t>
        </is>
      </c>
      <c r="D178" s="56" t="inlineStr">
        <is>
          <t>ALL</t>
        </is>
      </c>
      <c r="E178" s="57" t="n">
        <v>789.6900000000001</v>
      </c>
      <c r="F178" s="56" t="inlineStr">
        <is>
          <t>Operating Expense</t>
        </is>
      </c>
    </row>
    <row r="179">
      <c r="A179" s="56" t="inlineStr">
        <is>
          <t>Fuel Diesel - Boom Truck</t>
        </is>
      </c>
      <c r="B179" s="56" t="inlineStr">
        <is>
          <t>YTD2026</t>
        </is>
      </c>
      <c r="C179" s="56" t="inlineStr">
        <is>
          <t>2026-06-17</t>
        </is>
      </c>
      <c r="D179" s="56" t="inlineStr">
        <is>
          <t>ALL</t>
        </is>
      </c>
      <c r="E179" s="57" t="n">
        <v>46511.46</v>
      </c>
      <c r="F179" s="56" t="inlineStr">
        <is>
          <t>Operating Expense</t>
        </is>
      </c>
    </row>
    <row r="180">
      <c r="A180" s="56" t="inlineStr">
        <is>
          <t>Fuel Truck - Company Pickup</t>
        </is>
      </c>
      <c r="B180" s="56" t="inlineStr">
        <is>
          <t>YTD2026</t>
        </is>
      </c>
      <c r="C180" s="56" t="inlineStr">
        <is>
          <t>2026-06-17</t>
        </is>
      </c>
      <c r="D180" s="56" t="inlineStr">
        <is>
          <t>ALL</t>
        </is>
      </c>
      <c r="E180" s="57" t="n">
        <v>14864.02</v>
      </c>
      <c r="F180" s="56" t="inlineStr">
        <is>
          <t>Operating Expense</t>
        </is>
      </c>
    </row>
    <row r="181">
      <c r="A181" s="56" t="inlineStr">
        <is>
          <t>Service - Boom Truck</t>
        </is>
      </c>
      <c r="B181" s="56" t="inlineStr">
        <is>
          <t>YTD2026</t>
        </is>
      </c>
      <c r="C181" s="56" t="inlineStr">
        <is>
          <t>2026-06-17</t>
        </is>
      </c>
      <c r="D181" s="56" t="inlineStr">
        <is>
          <t>ALL</t>
        </is>
      </c>
      <c r="E181" s="57" t="n">
        <v>4427.04</v>
      </c>
      <c r="F181" s="56" t="inlineStr">
        <is>
          <t>Operating Expense</t>
        </is>
      </c>
    </row>
    <row r="182">
      <c r="A182" s="56" t="inlineStr">
        <is>
          <t>Service - Boom Truck 1109 Freightliner 16</t>
        </is>
      </c>
      <c r="B182" s="56" t="inlineStr">
        <is>
          <t>YTD2026</t>
        </is>
      </c>
      <c r="C182" s="56" t="inlineStr">
        <is>
          <t>2026-06-17</t>
        </is>
      </c>
      <c r="D182" s="56" t="inlineStr">
        <is>
          <t>ALL</t>
        </is>
      </c>
      <c r="E182" s="57" t="n">
        <v>20089.71</v>
      </c>
      <c r="F182" s="56" t="inlineStr">
        <is>
          <t>Operating Expense</t>
        </is>
      </c>
    </row>
    <row r="183">
      <c r="A183" s="56" t="inlineStr">
        <is>
          <t>Service - Boom Truck 1110 Peterbilt 18</t>
        </is>
      </c>
      <c r="B183" s="56" t="inlineStr">
        <is>
          <t>YTD2026</t>
        </is>
      </c>
      <c r="C183" s="56" t="inlineStr">
        <is>
          <t>2026-06-17</t>
        </is>
      </c>
      <c r="D183" s="56" t="inlineStr">
        <is>
          <t>ALL</t>
        </is>
      </c>
      <c r="E183" s="57" t="n">
        <v>1744.4</v>
      </c>
      <c r="F183" s="56" t="inlineStr">
        <is>
          <t>Operating Expense</t>
        </is>
      </c>
    </row>
    <row r="184">
      <c r="A184" s="56" t="inlineStr">
        <is>
          <t>Service - Boom Truck 1111 Freightliner</t>
        </is>
      </c>
      <c r="B184" s="56" t="inlineStr">
        <is>
          <t>YTD2026</t>
        </is>
      </c>
      <c r="C184" s="56" t="inlineStr">
        <is>
          <t>2026-06-17</t>
        </is>
      </c>
      <c r="D184" s="56" t="inlineStr">
        <is>
          <t>ALL</t>
        </is>
      </c>
      <c r="E184" s="57" t="n">
        <v>4073.21</v>
      </c>
      <c r="F184" s="56" t="inlineStr">
        <is>
          <t>Operating Expense</t>
        </is>
      </c>
    </row>
    <row r="185">
      <c r="A185" s="56" t="inlineStr">
        <is>
          <t>Service - Boom Truck 1112 Peterbilt 17</t>
        </is>
      </c>
      <c r="B185" s="56" t="inlineStr">
        <is>
          <t>YTD2026</t>
        </is>
      </c>
      <c r="C185" s="56" t="inlineStr">
        <is>
          <t>2026-06-17</t>
        </is>
      </c>
      <c r="D185" s="56" t="inlineStr">
        <is>
          <t>ALL</t>
        </is>
      </c>
      <c r="E185" s="57" t="n">
        <v>7459.83</v>
      </c>
      <c r="F185" s="56" t="inlineStr">
        <is>
          <t>Operating Expense</t>
        </is>
      </c>
    </row>
    <row r="186">
      <c r="A186" s="56" t="inlineStr">
        <is>
          <t>Service - Company Truck</t>
        </is>
      </c>
      <c r="B186" s="56" t="inlineStr">
        <is>
          <t>YTD2026</t>
        </is>
      </c>
      <c r="C186" s="56" t="inlineStr">
        <is>
          <t>2026-06-17</t>
        </is>
      </c>
      <c r="D186" s="56" t="inlineStr">
        <is>
          <t>ALL</t>
        </is>
      </c>
      <c r="E186" s="57" t="n">
        <v>18202.24</v>
      </c>
      <c r="F186" s="56" t="inlineStr">
        <is>
          <t>Operating Expense</t>
        </is>
      </c>
    </row>
    <row r="187">
      <c r="A187" s="56" t="inlineStr">
        <is>
          <t>Charitable Contributions</t>
        </is>
      </c>
      <c r="B187" s="56" t="inlineStr">
        <is>
          <t>YTD2026</t>
        </is>
      </c>
      <c r="C187" s="56" t="inlineStr">
        <is>
          <t>2026-06-17</t>
        </is>
      </c>
      <c r="D187" s="56" t="inlineStr">
        <is>
          <t>ALL</t>
        </is>
      </c>
      <c r="E187" s="57" t="n">
        <v>2500</v>
      </c>
      <c r="F187" s="56" t="inlineStr">
        <is>
          <t>Operating Expense</t>
        </is>
      </c>
    </row>
    <row r="188">
      <c r="A188" s="56" t="inlineStr">
        <is>
          <t>Charitable Contributions - Non-Deductible</t>
        </is>
      </c>
      <c r="B188" s="56" t="inlineStr">
        <is>
          <t>YTD2026</t>
        </is>
      </c>
      <c r="C188" s="56" t="inlineStr">
        <is>
          <t>2026-06-17</t>
        </is>
      </c>
      <c r="D188" s="56" t="inlineStr">
        <is>
          <t>ALL</t>
        </is>
      </c>
      <c r="E188" s="57" t="n">
        <v>1000</v>
      </c>
      <c r="F188" s="56" t="inlineStr">
        <is>
          <t>Operating Expense</t>
        </is>
      </c>
    </row>
    <row r="189">
      <c r="A189" s="56" t="inlineStr">
        <is>
          <t>Contractors</t>
        </is>
      </c>
      <c r="B189" s="56" t="inlineStr">
        <is>
          <t>YTD2026</t>
        </is>
      </c>
      <c r="C189" s="56" t="inlineStr">
        <is>
          <t>2026-06-17</t>
        </is>
      </c>
      <c r="D189" s="56" t="inlineStr">
        <is>
          <t>ALL</t>
        </is>
      </c>
      <c r="E189" s="57" t="n">
        <v>20900</v>
      </c>
      <c r="F189" s="56" t="inlineStr">
        <is>
          <t>Operating Expense</t>
        </is>
      </c>
    </row>
    <row r="190">
      <c r="A190" s="56" t="inlineStr">
        <is>
          <t>Depreciation</t>
        </is>
      </c>
      <c r="B190" s="56" t="inlineStr">
        <is>
          <t>YTD2026</t>
        </is>
      </c>
      <c r="C190" s="56" t="inlineStr">
        <is>
          <t>2026-06-17</t>
        </is>
      </c>
      <c r="D190" s="56" t="inlineStr">
        <is>
          <t>ALL</t>
        </is>
      </c>
      <c r="E190" s="57" t="n">
        <v>82317.22</v>
      </c>
      <c r="F190" s="56" t="inlineStr">
        <is>
          <t>Operating Expense</t>
        </is>
      </c>
    </row>
    <row r="191">
      <c r="A191" s="56" t="inlineStr">
        <is>
          <t>Drywall Division Labor - Subcontractors</t>
        </is>
      </c>
      <c r="B191" s="56" t="inlineStr">
        <is>
          <t>YTD2026</t>
        </is>
      </c>
      <c r="C191" s="56" t="inlineStr">
        <is>
          <t>2026-06-17</t>
        </is>
      </c>
      <c r="D191" s="56" t="inlineStr">
        <is>
          <t>DW</t>
        </is>
      </c>
      <c r="E191" s="57" t="n">
        <v>295694.45</v>
      </c>
      <c r="F191" s="56" t="inlineStr">
        <is>
          <t>Operating Expense</t>
        </is>
      </c>
    </row>
    <row r="192">
      <c r="A192" s="56" t="inlineStr">
        <is>
          <t>Drywall Division Supplies Expense</t>
        </is>
      </c>
      <c r="B192" s="56" t="inlineStr">
        <is>
          <t>YTD2026</t>
        </is>
      </c>
      <c r="C192" s="56" t="inlineStr">
        <is>
          <t>2026-06-17</t>
        </is>
      </c>
      <c r="D192" s="56" t="inlineStr">
        <is>
          <t>DW</t>
        </is>
      </c>
      <c r="E192" s="57" t="n">
        <v>1145.07</v>
      </c>
      <c r="F192" s="56" t="inlineStr">
        <is>
          <t>Operating Expense</t>
        </is>
      </c>
    </row>
    <row r="193">
      <c r="A193" s="56" t="inlineStr">
        <is>
          <t>Drywall Supply HD Boom Scatter Labor</t>
        </is>
      </c>
      <c r="B193" s="56" t="inlineStr">
        <is>
          <t>YTD2026</t>
        </is>
      </c>
      <c r="C193" s="56" t="inlineStr">
        <is>
          <t>2026-06-17</t>
        </is>
      </c>
      <c r="D193" s="56" t="inlineStr">
        <is>
          <t>DW</t>
        </is>
      </c>
      <c r="E193" s="57" t="n">
        <v>6750</v>
      </c>
      <c r="F193" s="56" t="inlineStr">
        <is>
          <t>Operating Expense</t>
        </is>
      </c>
    </row>
    <row r="194">
      <c r="A194" s="56" t="inlineStr">
        <is>
          <t>Dues &amp; subscriptions</t>
        </is>
      </c>
      <c r="B194" s="56" t="inlineStr">
        <is>
          <t>YTD2026</t>
        </is>
      </c>
      <c r="C194" s="56" t="inlineStr">
        <is>
          <t>2026-06-17</t>
        </is>
      </c>
      <c r="D194" s="56" t="inlineStr">
        <is>
          <t>ALL</t>
        </is>
      </c>
      <c r="E194" s="57" t="n">
        <v>9937.75</v>
      </c>
      <c r="F194" s="56" t="inlineStr">
        <is>
          <t>Operating Expense</t>
        </is>
      </c>
    </row>
    <row r="195">
      <c r="A195" s="56" t="inlineStr">
        <is>
          <t>Equipment/Vehicle Rental</t>
        </is>
      </c>
      <c r="B195" s="56" t="inlineStr">
        <is>
          <t>YTD2026</t>
        </is>
      </c>
      <c r="C195" s="56" t="inlineStr">
        <is>
          <t>2026-06-17</t>
        </is>
      </c>
      <c r="D195" s="56" t="inlineStr">
        <is>
          <t>ALL</t>
        </is>
      </c>
      <c r="E195" s="57" t="n">
        <v>38424.43</v>
      </c>
      <c r="F195" s="56" t="inlineStr">
        <is>
          <t>Operating Expense</t>
        </is>
      </c>
    </row>
    <row r="196">
      <c r="A196" s="56" t="inlineStr">
        <is>
          <t>Insurance</t>
        </is>
      </c>
      <c r="B196" s="56" t="inlineStr">
        <is>
          <t>YTD2026</t>
        </is>
      </c>
      <c r="C196" s="56" t="inlineStr">
        <is>
          <t>2026-06-17</t>
        </is>
      </c>
      <c r="D196" s="56" t="inlineStr">
        <is>
          <t>ALL</t>
        </is>
      </c>
      <c r="E196" s="57" t="n">
        <v>67365.99000000001</v>
      </c>
      <c r="F196" s="56" t="inlineStr">
        <is>
          <t>Operating Expense</t>
        </is>
      </c>
    </row>
    <row r="197">
      <c r="A197" s="56" t="inlineStr">
        <is>
          <t>Interest Paid</t>
        </is>
      </c>
      <c r="B197" s="56" t="inlineStr">
        <is>
          <t>YTD2026</t>
        </is>
      </c>
      <c r="C197" s="56" t="inlineStr">
        <is>
          <t>2026-06-17</t>
        </is>
      </c>
      <c r="D197" s="56" t="inlineStr">
        <is>
          <t>ALL</t>
        </is>
      </c>
      <c r="E197" s="57" t="n">
        <v>121195.1</v>
      </c>
      <c r="F197" s="56" t="inlineStr">
        <is>
          <t>Operating Expense</t>
        </is>
      </c>
    </row>
    <row r="198">
      <c r="A198" s="56" t="inlineStr">
        <is>
          <t>Job Supplies</t>
        </is>
      </c>
      <c r="B198" s="56" t="inlineStr">
        <is>
          <t>YTD2026</t>
        </is>
      </c>
      <c r="C198" s="56" t="inlineStr">
        <is>
          <t>2026-06-17</t>
        </is>
      </c>
      <c r="D198" s="56" t="inlineStr">
        <is>
          <t>ALL</t>
        </is>
      </c>
      <c r="E198" s="57" t="n">
        <v>10135.83</v>
      </c>
      <c r="F198" s="56" t="inlineStr">
        <is>
          <t>Operating Expense</t>
        </is>
      </c>
    </row>
    <row r="199">
      <c r="A199" s="56" t="inlineStr">
        <is>
          <t>Legal &amp; Professional Services</t>
        </is>
      </c>
      <c r="B199" s="56" t="inlineStr">
        <is>
          <t>YTD2026</t>
        </is>
      </c>
      <c r="C199" s="56" t="inlineStr">
        <is>
          <t>2026-06-17</t>
        </is>
      </c>
      <c r="D199" s="56" t="inlineStr">
        <is>
          <t>ALL</t>
        </is>
      </c>
      <c r="E199" s="57" t="n">
        <v>61725.77</v>
      </c>
      <c r="F199" s="56" t="inlineStr">
        <is>
          <t>Operating Expense</t>
        </is>
      </c>
    </row>
    <row r="200">
      <c r="A200" s="56" t="inlineStr">
        <is>
          <t>Meals &amp; Entertainment</t>
        </is>
      </c>
      <c r="B200" s="56" t="inlineStr">
        <is>
          <t>YTD2026</t>
        </is>
      </c>
      <c r="C200" s="56" t="inlineStr">
        <is>
          <t>2026-06-17</t>
        </is>
      </c>
      <c r="D200" s="56" t="inlineStr">
        <is>
          <t>ALL</t>
        </is>
      </c>
      <c r="E200" s="57" t="n">
        <v>51854.83</v>
      </c>
      <c r="F200" s="56" t="inlineStr">
        <is>
          <t>Operating Expense</t>
        </is>
      </c>
    </row>
    <row r="201">
      <c r="A201" s="56" t="inlineStr">
        <is>
          <t>Entertainment</t>
        </is>
      </c>
      <c r="B201" s="56" t="inlineStr">
        <is>
          <t>YTD2026</t>
        </is>
      </c>
      <c r="C201" s="56" t="inlineStr">
        <is>
          <t>2026-06-17</t>
        </is>
      </c>
      <c r="D201" s="56" t="inlineStr">
        <is>
          <t>ALL</t>
        </is>
      </c>
      <c r="E201" s="57" t="n">
        <v>39782.22</v>
      </c>
      <c r="F201" s="56" t="inlineStr">
        <is>
          <t>Operating Expense</t>
        </is>
      </c>
    </row>
    <row r="202">
      <c r="A202" s="56" t="inlineStr">
        <is>
          <t>Meals</t>
        </is>
      </c>
      <c r="B202" s="56" t="inlineStr">
        <is>
          <t>YTD2026</t>
        </is>
      </c>
      <c r="C202" s="56" t="inlineStr">
        <is>
          <t>2026-06-17</t>
        </is>
      </c>
      <c r="D202" s="56" t="inlineStr">
        <is>
          <t>ALL</t>
        </is>
      </c>
      <c r="E202" s="57" t="n">
        <v>9826.07</v>
      </c>
      <c r="F202" s="56" t="inlineStr">
        <is>
          <t>Operating Expense</t>
        </is>
      </c>
    </row>
    <row r="203">
      <c r="A203" s="56" t="inlineStr">
        <is>
          <t>Office Supplies &amp; Software</t>
        </is>
      </c>
      <c r="B203" s="56" t="inlineStr">
        <is>
          <t>YTD2026</t>
        </is>
      </c>
      <c r="C203" s="56" t="inlineStr">
        <is>
          <t>2026-06-17</t>
        </is>
      </c>
      <c r="D203" s="56" t="inlineStr">
        <is>
          <t>ALL</t>
        </is>
      </c>
      <c r="E203" s="57" t="n">
        <v>69745.94</v>
      </c>
      <c r="F203" s="56" t="inlineStr">
        <is>
          <t>Operating Expense</t>
        </is>
      </c>
    </row>
    <row r="204">
      <c r="A204" s="56" t="inlineStr">
        <is>
          <t>Software Subscription/Use Fee</t>
        </is>
      </c>
      <c r="B204" s="56" t="inlineStr">
        <is>
          <t>YTD2026</t>
        </is>
      </c>
      <c r="C204" s="56" t="inlineStr">
        <is>
          <t>2026-06-17</t>
        </is>
      </c>
      <c r="D204" s="56" t="inlineStr">
        <is>
          <t>ALL</t>
        </is>
      </c>
      <c r="E204" s="57" t="n">
        <v>18150.82</v>
      </c>
      <c r="F204" s="56" t="inlineStr">
        <is>
          <t>Operating Expense</t>
        </is>
      </c>
    </row>
    <row r="205">
      <c r="A205" s="56" t="inlineStr">
        <is>
          <t>Other Business Expenses</t>
        </is>
      </c>
      <c r="B205" s="56" t="inlineStr">
        <is>
          <t>YTD2026</t>
        </is>
      </c>
      <c r="C205" s="56" t="inlineStr">
        <is>
          <t>2026-06-17</t>
        </is>
      </c>
      <c r="D205" s="56" t="inlineStr">
        <is>
          <t>ALL</t>
        </is>
      </c>
      <c r="E205" s="57" t="n">
        <v>672</v>
      </c>
      <c r="F205" s="56" t="inlineStr">
        <is>
          <t>Operating Expense</t>
        </is>
      </c>
    </row>
    <row r="206">
      <c r="A206" s="56" t="inlineStr">
        <is>
          <t>Outsourced IT Services</t>
        </is>
      </c>
      <c r="B206" s="56" t="inlineStr">
        <is>
          <t>YTD2026</t>
        </is>
      </c>
      <c r="C206" s="56" t="inlineStr">
        <is>
          <t>2026-06-17</t>
        </is>
      </c>
      <c r="D206" s="56" t="inlineStr">
        <is>
          <t>ALL</t>
        </is>
      </c>
      <c r="E206" s="57" t="n">
        <v>30498.71</v>
      </c>
      <c r="F206" s="56" t="inlineStr">
        <is>
          <t>Operating Expense</t>
        </is>
      </c>
    </row>
    <row r="207">
      <c r="A207" s="56" t="inlineStr">
        <is>
          <t>Outsourced Safety</t>
        </is>
      </c>
      <c r="B207" s="56" t="inlineStr">
        <is>
          <t>YTD2026</t>
        </is>
      </c>
      <c r="C207" s="56" t="inlineStr">
        <is>
          <t>2026-06-17</t>
        </is>
      </c>
      <c r="D207" s="56" t="inlineStr">
        <is>
          <t>ALL</t>
        </is>
      </c>
      <c r="E207" s="57" t="n">
        <v>3690.86</v>
      </c>
      <c r="F207" s="56" t="inlineStr">
        <is>
          <t>Operating Expense</t>
        </is>
      </c>
    </row>
    <row r="208">
      <c r="A208" s="56" t="inlineStr">
        <is>
          <t>Bonus Accrual Expense</t>
        </is>
      </c>
      <c r="B208" s="56" t="inlineStr">
        <is>
          <t>YTD2026</t>
        </is>
      </c>
      <c r="C208" s="56" t="inlineStr">
        <is>
          <t>2026-06-17</t>
        </is>
      </c>
      <c r="D208" s="56" t="inlineStr">
        <is>
          <t>ALL</t>
        </is>
      </c>
      <c r="E208" s="57" t="n">
        <v>280000</v>
      </c>
      <c r="F208" s="56" t="inlineStr">
        <is>
          <t>Operating Expense</t>
        </is>
      </c>
    </row>
    <row r="209">
      <c r="A209" s="56" t="inlineStr">
        <is>
          <t>Commission</t>
        </is>
      </c>
      <c r="B209" s="56" t="inlineStr">
        <is>
          <t>YTD2026</t>
        </is>
      </c>
      <c r="C209" s="56" t="inlineStr">
        <is>
          <t>2026-06-17</t>
        </is>
      </c>
      <c r="D209" s="56" t="inlineStr">
        <is>
          <t>ALL</t>
        </is>
      </c>
      <c r="E209" s="57" t="n">
        <v>-36779.33</v>
      </c>
      <c r="F209" s="56" t="inlineStr">
        <is>
          <t>Operating Expense</t>
        </is>
      </c>
    </row>
    <row r="210">
      <c r="A210" s="56" t="inlineStr">
        <is>
          <t>Misc / Spot Bonus Expense</t>
        </is>
      </c>
      <c r="B210" s="56" t="inlineStr">
        <is>
          <t>YTD2026</t>
        </is>
      </c>
      <c r="C210" s="56" t="inlineStr">
        <is>
          <t>2026-06-17</t>
        </is>
      </c>
      <c r="D210" s="56" t="inlineStr">
        <is>
          <t>ALL</t>
        </is>
      </c>
      <c r="E210" s="57" t="n">
        <v>18413.44</v>
      </c>
      <c r="F210" s="56" t="inlineStr">
        <is>
          <t>Operating Expense</t>
        </is>
      </c>
    </row>
    <row r="211">
      <c r="A211" s="56" t="inlineStr">
        <is>
          <t>Wage Accrual</t>
        </is>
      </c>
      <c r="B211" s="56" t="inlineStr">
        <is>
          <t>YTD2026</t>
        </is>
      </c>
      <c r="C211" s="56" t="inlineStr">
        <is>
          <t>2026-06-17</t>
        </is>
      </c>
      <c r="D211" s="56" t="inlineStr">
        <is>
          <t>ALL</t>
        </is>
      </c>
      <c r="E211" s="57" t="n">
        <v>55000</v>
      </c>
      <c r="F211" s="56" t="inlineStr">
        <is>
          <t>Operating Expense</t>
        </is>
      </c>
    </row>
    <row r="212">
      <c r="A212" s="56" t="inlineStr">
        <is>
          <t>Employee Benefits</t>
        </is>
      </c>
      <c r="B212" s="56" t="inlineStr">
        <is>
          <t>YTD2026</t>
        </is>
      </c>
      <c r="C212" s="56" t="inlineStr">
        <is>
          <t>2026-06-17</t>
        </is>
      </c>
      <c r="D212" s="56" t="inlineStr">
        <is>
          <t>ALL</t>
        </is>
      </c>
      <c r="E212" s="57" t="n">
        <v>105098.32</v>
      </c>
      <c r="F212" s="56" t="inlineStr">
        <is>
          <t>Operating Expense</t>
        </is>
      </c>
    </row>
    <row r="213">
      <c r="A213" s="56" t="inlineStr">
        <is>
          <t>Health Insurance</t>
        </is>
      </c>
      <c r="B213" s="56" t="inlineStr">
        <is>
          <t>YTD2026</t>
        </is>
      </c>
      <c r="C213" s="56" t="inlineStr">
        <is>
          <t>2026-06-17</t>
        </is>
      </c>
      <c r="D213" s="56" t="inlineStr">
        <is>
          <t>ALL</t>
        </is>
      </c>
      <c r="E213" s="57" t="n">
        <v>7586.33</v>
      </c>
      <c r="F213" s="56" t="inlineStr">
        <is>
          <t>Operating Expense</t>
        </is>
      </c>
    </row>
    <row r="214">
      <c r="A214" s="56" t="inlineStr">
        <is>
          <t>Payroll Fees</t>
        </is>
      </c>
      <c r="B214" s="56" t="inlineStr">
        <is>
          <t>YTD2026</t>
        </is>
      </c>
      <c r="C214" s="56" t="inlineStr">
        <is>
          <t>2026-06-17</t>
        </is>
      </c>
      <c r="D214" s="56" t="inlineStr">
        <is>
          <t>ALL</t>
        </is>
      </c>
      <c r="E214" s="57" t="n">
        <v>22819.3</v>
      </c>
      <c r="F214" s="56" t="inlineStr">
        <is>
          <t>Operating Expense</t>
        </is>
      </c>
    </row>
    <row r="215">
      <c r="A215" s="56" t="inlineStr">
        <is>
          <t>Taxes</t>
        </is>
      </c>
      <c r="B215" s="56" t="inlineStr">
        <is>
          <t>YTD2026</t>
        </is>
      </c>
      <c r="C215" s="56" t="inlineStr">
        <is>
          <t>2026-06-17</t>
        </is>
      </c>
      <c r="D215" s="56" t="inlineStr">
        <is>
          <t>ALL</t>
        </is>
      </c>
      <c r="E215" s="57" t="n">
        <v>178252.15</v>
      </c>
      <c r="F215" s="56" t="inlineStr">
        <is>
          <t>Operating Expense</t>
        </is>
      </c>
    </row>
    <row r="216">
      <c r="A216" s="56" t="inlineStr">
        <is>
          <t>Wages</t>
        </is>
      </c>
      <c r="B216" s="56" t="inlineStr">
        <is>
          <t>YTD2026</t>
        </is>
      </c>
      <c r="C216" s="56" t="inlineStr">
        <is>
          <t>2026-06-17</t>
        </is>
      </c>
      <c r="D216" s="56" t="inlineStr">
        <is>
          <t>ALL</t>
        </is>
      </c>
      <c r="E216" s="57" t="n">
        <v>2023303.48</v>
      </c>
      <c r="F216" s="56" t="inlineStr">
        <is>
          <t>Operating Expense</t>
        </is>
      </c>
    </row>
    <row r="217">
      <c r="A217" s="56" t="inlineStr">
        <is>
          <t>Property Tax</t>
        </is>
      </c>
      <c r="B217" s="56" t="inlineStr">
        <is>
          <t>YTD2026</t>
        </is>
      </c>
      <c r="C217" s="56" t="inlineStr">
        <is>
          <t>2026-06-17</t>
        </is>
      </c>
      <c r="D217" s="56" t="inlineStr">
        <is>
          <t>ALL</t>
        </is>
      </c>
      <c r="E217" s="57" t="n">
        <v>2415.99</v>
      </c>
      <c r="F217" s="56" t="inlineStr">
        <is>
          <t>Operating Expense</t>
        </is>
      </c>
    </row>
    <row r="218">
      <c r="A218" s="56" t="inlineStr">
        <is>
          <t>Rent &amp; Lease</t>
        </is>
      </c>
      <c r="B218" s="56" t="inlineStr">
        <is>
          <t>YTD2026</t>
        </is>
      </c>
      <c r="C218" s="56" t="inlineStr">
        <is>
          <t>2026-06-17</t>
        </is>
      </c>
      <c r="D218" s="56" t="inlineStr">
        <is>
          <t>ALL</t>
        </is>
      </c>
      <c r="E218" s="57" t="n">
        <v>730466.97</v>
      </c>
      <c r="F218" s="56" t="inlineStr">
        <is>
          <t>Operating Expense</t>
        </is>
      </c>
    </row>
    <row r="219">
      <c r="A219" s="56" t="inlineStr">
        <is>
          <t>Repairs &amp; Maintenance</t>
        </is>
      </c>
      <c r="B219" s="56" t="inlineStr">
        <is>
          <t>YTD2026</t>
        </is>
      </c>
      <c r="C219" s="56" t="inlineStr">
        <is>
          <t>2026-06-17</t>
        </is>
      </c>
      <c r="D219" s="56" t="inlineStr">
        <is>
          <t>ALL</t>
        </is>
      </c>
      <c r="E219" s="57" t="n">
        <v>67548.41</v>
      </c>
      <c r="F219" s="56" t="inlineStr">
        <is>
          <t>Operating Expense</t>
        </is>
      </c>
    </row>
    <row r="220">
      <c r="A220" s="56" t="inlineStr">
        <is>
          <t>Small Tools &amp; Equipment</t>
        </is>
      </c>
      <c r="B220" s="56" t="inlineStr">
        <is>
          <t>YTD2026</t>
        </is>
      </c>
      <c r="C220" s="56" t="inlineStr">
        <is>
          <t>2026-06-17</t>
        </is>
      </c>
      <c r="D220" s="56" t="inlineStr">
        <is>
          <t>ALL</t>
        </is>
      </c>
      <c r="E220" s="57" t="n">
        <v>8304.620000000001</v>
      </c>
      <c r="F220" s="56" t="inlineStr">
        <is>
          <t>Operating Expense</t>
        </is>
      </c>
    </row>
    <row r="221">
      <c r="A221" s="56" t="inlineStr">
        <is>
          <t>Taxes &amp; Licenses</t>
        </is>
      </c>
      <c r="B221" s="56" t="inlineStr">
        <is>
          <t>YTD2026</t>
        </is>
      </c>
      <c r="C221" s="56" t="inlineStr">
        <is>
          <t>2026-06-17</t>
        </is>
      </c>
      <c r="D221" s="56" t="inlineStr">
        <is>
          <t>ALL</t>
        </is>
      </c>
      <c r="E221" s="57" t="n">
        <v>32442.25</v>
      </c>
      <c r="F221" s="56" t="inlineStr">
        <is>
          <t>Operating Expense</t>
        </is>
      </c>
    </row>
    <row r="222">
      <c r="A222" s="56" t="inlineStr">
        <is>
          <t>Training &amp; Education</t>
        </is>
      </c>
      <c r="B222" s="56" t="inlineStr">
        <is>
          <t>YTD2026</t>
        </is>
      </c>
      <c r="C222" s="56" t="inlineStr">
        <is>
          <t>2026-06-17</t>
        </is>
      </c>
      <c r="D222" s="56" t="inlineStr">
        <is>
          <t>ALL</t>
        </is>
      </c>
      <c r="E222" s="57" t="n">
        <v>8981.1</v>
      </c>
      <c r="F222" s="56" t="inlineStr">
        <is>
          <t>Operating Expense</t>
        </is>
      </c>
    </row>
    <row r="223">
      <c r="A223" s="56" t="inlineStr">
        <is>
          <t>Travel</t>
        </is>
      </c>
      <c r="B223" s="56" t="inlineStr">
        <is>
          <t>YTD2026</t>
        </is>
      </c>
      <c r="C223" s="56" t="inlineStr">
        <is>
          <t>2026-06-17</t>
        </is>
      </c>
      <c r="D223" s="56" t="inlineStr">
        <is>
          <t>ALL</t>
        </is>
      </c>
      <c r="E223" s="57" t="n">
        <v>83545.36</v>
      </c>
      <c r="F223" s="56" t="inlineStr">
        <is>
          <t>Operating Expense</t>
        </is>
      </c>
    </row>
    <row r="224">
      <c r="A224" s="56" t="inlineStr">
        <is>
          <t>Travel - Fuel</t>
        </is>
      </c>
      <c r="B224" s="56" t="inlineStr">
        <is>
          <t>YTD2026</t>
        </is>
      </c>
      <c r="C224" s="56" t="inlineStr">
        <is>
          <t>2026-06-17</t>
        </is>
      </c>
      <c r="D224" s="56" t="inlineStr">
        <is>
          <t>ALL</t>
        </is>
      </c>
      <c r="E224" s="57" t="n">
        <v>854.75</v>
      </c>
      <c r="F224" s="56" t="inlineStr">
        <is>
          <t>Operating Expense</t>
        </is>
      </c>
    </row>
    <row r="225">
      <c r="A225" s="56" t="inlineStr">
        <is>
          <t>Travel - Meals</t>
        </is>
      </c>
      <c r="B225" s="56" t="inlineStr">
        <is>
          <t>YTD2026</t>
        </is>
      </c>
      <c r="C225" s="56" t="inlineStr">
        <is>
          <t>2026-06-17</t>
        </is>
      </c>
      <c r="D225" s="56" t="inlineStr">
        <is>
          <t>ALL</t>
        </is>
      </c>
      <c r="E225" s="57" t="n">
        <v>4474.73</v>
      </c>
      <c r="F225" s="56" t="inlineStr">
        <is>
          <t>Operating Expense</t>
        </is>
      </c>
    </row>
    <row r="226">
      <c r="A226" s="56" t="inlineStr">
        <is>
          <t>Uncategorized Expense</t>
        </is>
      </c>
      <c r="B226" s="56" t="inlineStr">
        <is>
          <t>YTD2026</t>
        </is>
      </c>
      <c r="C226" s="56" t="inlineStr">
        <is>
          <t>2026-06-17</t>
        </is>
      </c>
      <c r="D226" s="56" t="inlineStr">
        <is>
          <t>ALL</t>
        </is>
      </c>
      <c r="E226" s="57" t="n">
        <v>263.49</v>
      </c>
      <c r="F226" s="56" t="inlineStr">
        <is>
          <t>Operating Expense</t>
        </is>
      </c>
    </row>
    <row r="227">
      <c r="A227" s="56" t="inlineStr">
        <is>
          <t>Utilities</t>
        </is>
      </c>
      <c r="B227" s="56" t="inlineStr">
        <is>
          <t>YTD2026</t>
        </is>
      </c>
      <c r="C227" s="56" t="inlineStr">
        <is>
          <t>2026-06-17</t>
        </is>
      </c>
      <c r="D227" s="56" t="inlineStr">
        <is>
          <t>ALL</t>
        </is>
      </c>
      <c r="E227" s="57" t="n">
        <v>45546.25</v>
      </c>
      <c r="F227" s="56" t="inlineStr">
        <is>
          <t>Operating Expense</t>
        </is>
      </c>
    </row>
    <row r="228">
      <c r="A228" s="56" t="inlineStr">
        <is>
          <t>Credit Card Rewards</t>
        </is>
      </c>
      <c r="B228" s="56" t="inlineStr">
        <is>
          <t>YTD2026</t>
        </is>
      </c>
      <c r="C228" s="56" t="inlineStr">
        <is>
          <t>2026-06-17</t>
        </is>
      </c>
      <c r="D228" s="56" t="inlineStr">
        <is>
          <t>ALL</t>
        </is>
      </c>
      <c r="E228" s="57" t="n">
        <v>1236.4</v>
      </c>
      <c r="F228" s="56" t="inlineStr">
        <is>
          <t>Other Income</t>
        </is>
      </c>
    </row>
    <row r="229">
      <c r="A229" s="56" t="inlineStr">
        <is>
          <t>Interest Earned</t>
        </is>
      </c>
      <c r="B229" s="56" t="inlineStr">
        <is>
          <t>YTD2026</t>
        </is>
      </c>
      <c r="C229" s="56" t="inlineStr">
        <is>
          <t>2026-06-17</t>
        </is>
      </c>
      <c r="D229" s="56" t="inlineStr">
        <is>
          <t>ALL</t>
        </is>
      </c>
      <c r="E229" s="57" t="n">
        <v>0.09</v>
      </c>
      <c r="F229" s="56" t="inlineStr">
        <is>
          <t>Other Income</t>
        </is>
      </c>
    </row>
    <row r="230">
      <c r="A230" s="56" t="inlineStr">
        <is>
          <t>Other Income</t>
        </is>
      </c>
      <c r="B230" s="56" t="inlineStr">
        <is>
          <t>YTD2026</t>
        </is>
      </c>
      <c r="C230" s="56" t="inlineStr">
        <is>
          <t>2026-06-17</t>
        </is>
      </c>
      <c r="D230" s="56" t="inlineStr">
        <is>
          <t>ALL</t>
        </is>
      </c>
      <c r="E230" s="57" t="n">
        <v>318.41</v>
      </c>
      <c r="F230" s="56" t="inlineStr">
        <is>
          <t>Other Income</t>
        </is>
      </c>
    </row>
    <row r="231">
      <c r="A231" s="56" t="inlineStr">
        <is>
          <t>Vendor Rebate Income</t>
        </is>
      </c>
      <c r="B231" s="56" t="inlineStr">
        <is>
          <t>YTD2026</t>
        </is>
      </c>
      <c r="C231" s="56" t="inlineStr">
        <is>
          <t>2026-06-17</t>
        </is>
      </c>
      <c r="D231" s="56" t="inlineStr">
        <is>
          <t>ALL</t>
        </is>
      </c>
      <c r="E231" s="57" t="n">
        <v>53642.01</v>
      </c>
      <c r="F231" s="56" t="inlineStr">
        <is>
          <t>Other Income</t>
        </is>
      </c>
    </row>
    <row r="232">
      <c r="A232" s="56" t="inlineStr">
        <is>
          <t>Gain or Loss on Assets</t>
        </is>
      </c>
      <c r="B232" s="56" t="inlineStr">
        <is>
          <t>YTD2026</t>
        </is>
      </c>
      <c r="C232" s="56" t="inlineStr">
        <is>
          <t>2026-06-17</t>
        </is>
      </c>
      <c r="D232" s="56" t="inlineStr">
        <is>
          <t>ALL</t>
        </is>
      </c>
      <c r="E232" s="57" t="n">
        <v>180850.51</v>
      </c>
      <c r="F232" s="56" t="inlineStr">
        <is>
          <t>Other Expense</t>
        </is>
      </c>
    </row>
    <row r="234">
      <c r="A234" s="54" t="inlineStr">
        <is>
          <t>tMonthly   —   QuickBooks Online — monthly P&amp;L   —   as of 2026-06-17</t>
        </is>
      </c>
    </row>
    <row r="235">
      <c r="A235" s="55" t="inlineStr">
        <is>
          <t>MonthEnd</t>
        </is>
      </c>
      <c r="B235" s="55" t="inlineStr">
        <is>
          <t>Revenue</t>
        </is>
      </c>
      <c r="C235" s="55" t="inlineStr">
        <is>
          <t>COGS</t>
        </is>
      </c>
      <c r="D235" s="55" t="inlineStr">
        <is>
          <t>GrossProfit</t>
        </is>
      </c>
      <c r="E235" s="55" t="inlineStr">
        <is>
          <t>OpEx</t>
        </is>
      </c>
      <c r="F235" s="55" t="inlineStr">
        <is>
          <t>NetIncome</t>
        </is>
      </c>
      <c r="G235" s="55" t="inlineStr">
        <is>
          <t>GrossMarginPct</t>
        </is>
      </c>
      <c r="H235" s="55" t="inlineStr">
        <is>
          <t>NetMarginPct</t>
        </is>
      </c>
    </row>
    <row r="236">
      <c r="A236" s="56" t="inlineStr">
        <is>
          <t>2025-01-31</t>
        </is>
      </c>
      <c r="B236" s="57" t="n">
        <v>2041295.53</v>
      </c>
      <c r="C236" s="57" t="n">
        <v>1705779.19</v>
      </c>
      <c r="D236" s="57" t="n">
        <v>335516.34</v>
      </c>
      <c r="E236" s="57" t="n">
        <v>917633.4300000001</v>
      </c>
      <c r="F236" s="57" t="n">
        <v>-582117</v>
      </c>
      <c r="G236" s="58" t="n">
        <v>0.1644</v>
      </c>
      <c r="H236" s="58" t="n">
        <v>-0.2852</v>
      </c>
    </row>
    <row r="237">
      <c r="A237" s="56" t="inlineStr">
        <is>
          <t>2025-04-30</t>
        </is>
      </c>
      <c r="B237" s="57" t="n">
        <v>2424157.48</v>
      </c>
      <c r="C237" s="57" t="n">
        <v>1668995.34</v>
      </c>
      <c r="D237" s="57" t="n">
        <v>755162.14</v>
      </c>
      <c r="E237" s="57" t="n">
        <v>836162.72</v>
      </c>
      <c r="F237" s="57" t="n">
        <v>-69968.27</v>
      </c>
      <c r="G237" s="58" t="n">
        <v>0.3115</v>
      </c>
      <c r="H237" s="58" t="n">
        <v>-0.0289</v>
      </c>
    </row>
    <row r="238">
      <c r="A238" s="56" t="inlineStr">
        <is>
          <t>2026-01-31</t>
        </is>
      </c>
      <c r="B238" s="57" t="n">
        <v>4471974.17</v>
      </c>
      <c r="C238" s="57" t="n">
        <v>3167525.69</v>
      </c>
      <c r="D238" s="57" t="n">
        <v>1304448.48</v>
      </c>
      <c r="E238" s="57" t="n">
        <v>937191.25</v>
      </c>
      <c r="F238" s="57" t="n">
        <v>186406.72</v>
      </c>
      <c r="G238" s="58" t="n">
        <v>0.2917</v>
      </c>
      <c r="H238" s="58" t="n">
        <v>0.0417</v>
      </c>
    </row>
    <row r="239">
      <c r="A239" s="56" t="inlineStr">
        <is>
          <t>2026-02-28</t>
        </is>
      </c>
      <c r="B239" s="57" t="n">
        <v>4949310.29</v>
      </c>
      <c r="C239" s="57" t="n">
        <v>3687884.25</v>
      </c>
      <c r="D239" s="57" t="n">
        <v>1261426.04</v>
      </c>
      <c r="E239" s="57" t="n">
        <v>794070.1800000001</v>
      </c>
      <c r="F239" s="57" t="n">
        <v>467881.55</v>
      </c>
      <c r="G239" s="58" t="n">
        <v>0.2549</v>
      </c>
      <c r="H239" s="58" t="n">
        <v>0.0945</v>
      </c>
    </row>
    <row r="240">
      <c r="A240" s="56" t="inlineStr">
        <is>
          <t>2026-03-31</t>
        </is>
      </c>
      <c r="B240" s="57" t="n">
        <v>5290349.77</v>
      </c>
      <c r="C240" s="57" t="n">
        <v>3616852.68</v>
      </c>
      <c r="D240" s="57" t="n">
        <v>1673497.09</v>
      </c>
      <c r="E240" s="57" t="n">
        <v>897079.72</v>
      </c>
      <c r="F240" s="57" t="n">
        <v>790908.5600000001</v>
      </c>
      <c r="G240" s="58" t="n">
        <v>0.3163</v>
      </c>
      <c r="H240" s="58" t="n">
        <v>0.1495</v>
      </c>
    </row>
    <row r="241">
      <c r="A241" s="56" t="inlineStr">
        <is>
          <t>2026-04-30</t>
        </is>
      </c>
      <c r="B241" s="57" t="n">
        <v>4593904.49</v>
      </c>
      <c r="C241" s="57" t="n">
        <v>3242912.67</v>
      </c>
      <c r="D241" s="57" t="n">
        <v>1350991.82</v>
      </c>
      <c r="E241" s="57" t="n">
        <v>713341.59</v>
      </c>
      <c r="F241" s="57" t="n">
        <v>677429.8100000001</v>
      </c>
      <c r="G241" s="58" t="n">
        <v>0.2941</v>
      </c>
      <c r="H241" s="58" t="n">
        <v>0.1475</v>
      </c>
    </row>
    <row r="242">
      <c r="A242" s="56" t="inlineStr">
        <is>
          <t>2026-05-31</t>
        </is>
      </c>
      <c r="B242" s="57" t="n">
        <v>5042110.58</v>
      </c>
      <c r="C242" s="57" t="n">
        <v>3317835.45</v>
      </c>
      <c r="D242" s="57" t="n">
        <v>1724275.13</v>
      </c>
      <c r="E242" s="57" t="n">
        <v>518231.9</v>
      </c>
      <c r="F242" s="57" t="n">
        <v>1206135.01</v>
      </c>
      <c r="G242" s="58" t="n">
        <v>0.342</v>
      </c>
      <c r="H242" s="58" t="n">
        <v>0.2392</v>
      </c>
    </row>
    <row r="244">
      <c r="A244" s="54" t="inlineStr">
        <is>
          <t>tWIP   —   Knowify — Jobs / AJR   —   as of 2026-06-17</t>
        </is>
      </c>
    </row>
    <row r="245">
      <c r="A245" s="55" t="inlineStr">
        <is>
          <t>SnapshotDate</t>
        </is>
      </c>
      <c r="B245" s="55" t="inlineStr">
        <is>
          <t>ProjectId</t>
        </is>
      </c>
      <c r="C245" s="55" t="inlineStr">
        <is>
          <t>Job</t>
        </is>
      </c>
      <c r="D245" s="55" t="inlineStr">
        <is>
          <t>DivKey</t>
        </is>
      </c>
      <c r="E245" s="55" t="inlineStr">
        <is>
          <t>PMName</t>
        </is>
      </c>
      <c r="F245" s="55" t="inlineStr">
        <is>
          <t>Customer</t>
        </is>
      </c>
      <c r="G245" s="55" t="inlineStr">
        <is>
          <t>Status</t>
        </is>
      </c>
      <c r="H245" s="55" t="inlineStr">
        <is>
          <t>ContractTotal</t>
        </is>
      </c>
      <c r="I245" s="55" t="inlineStr">
        <is>
          <t>ChangeOrders</t>
        </is>
      </c>
      <c r="J245" s="55" t="inlineStr">
        <is>
          <t>Invoiced</t>
        </is>
      </c>
      <c r="K245" s="55" t="inlineStr">
        <is>
          <t>PaymentsInvoices</t>
        </is>
      </c>
      <c r="L245" s="55" t="inlineStr">
        <is>
          <t>BudgetTotal</t>
        </is>
      </c>
      <c r="M245" s="55" t="inlineStr">
        <is>
          <t>ActualCost</t>
        </is>
      </c>
      <c r="N245" s="55" t="inlineStr">
        <is>
          <t>PctComplete</t>
        </is>
      </c>
      <c r="O245" s="55" t="inlineStr">
        <is>
          <t>EarnedRevenue</t>
        </is>
      </c>
      <c r="P245" s="55" t="inlineStr">
        <is>
          <t>WIPNet</t>
        </is>
      </c>
      <c r="Q245" s="55" t="inlineStr">
        <is>
          <t>KnowifyWIP</t>
        </is>
      </c>
      <c r="R245" s="55" t="inlineStr">
        <is>
          <t>Overbilled</t>
        </is>
      </c>
      <c r="S245" s="55" t="inlineStr">
        <is>
          <t>Underbilled</t>
        </is>
      </c>
      <c r="T245" s="55" t="inlineStr">
        <is>
          <t>ProfitAmount</t>
        </is>
      </c>
      <c r="U245" s="55" t="inlineStr">
        <is>
          <t>ProfitPct</t>
        </is>
      </c>
      <c r="V245" s="55" t="inlineStr">
        <is>
          <t>ProjectedProfit</t>
        </is>
      </c>
      <c r="W245" s="55" t="inlineStr">
        <is>
          <t>ProjectedProfitPct</t>
        </is>
      </c>
      <c r="X245" s="55" t="inlineStr">
        <is>
          <t>EstMarginPct</t>
        </is>
      </c>
      <c r="Y245" s="55" t="inlineStr">
        <is>
          <t>ProfitFadePct</t>
        </is>
      </c>
      <c r="Z245" s="55" t="inlineStr">
        <is>
          <t>Retainage</t>
        </is>
      </c>
      <c r="AA245" s="55" t="inlineStr">
        <is>
          <t>OpenAR</t>
        </is>
      </c>
      <c r="AB245" s="55" t="inlineStr">
        <is>
          <t>HasBudget</t>
        </is>
      </c>
      <c r="AC245" s="55" t="inlineStr">
        <is>
          <t>Managed</t>
        </is>
      </c>
      <c r="AD245" s="55" t="inlineStr">
        <is>
          <t>MaterialsActual</t>
        </is>
      </c>
      <c r="AE245" s="55" t="inlineStr">
        <is>
          <t>SubsActual</t>
        </is>
      </c>
      <c r="AF245" s="55" t="inlineStr">
        <is>
          <t>EquipmentActual</t>
        </is>
      </c>
      <c r="AG245" s="55" t="inlineStr">
        <is>
          <t>MiscActual</t>
        </is>
      </c>
      <c r="AH245" s="55" t="inlineStr">
        <is>
          <t>LaborCommitted</t>
        </is>
      </c>
    </row>
    <row r="246">
      <c r="A246" s="56" t="inlineStr">
        <is>
          <t>2026-06-17</t>
        </is>
      </c>
      <c r="B246" s="56" t="inlineStr">
        <is>
          <t>2902164</t>
        </is>
      </c>
      <c r="C246" s="56" t="inlineStr">
        <is>
          <t>DS.2026.2440 Liberty Assisted Living 0612</t>
        </is>
      </c>
      <c r="D246" s="56" t="inlineStr">
        <is>
          <t>UN</t>
        </is>
      </c>
      <c r="E246" s="56" t="inlineStr">
        <is>
          <t>(Unassigned)</t>
        </is>
      </c>
      <c r="F246" s="56" t="inlineStr">
        <is>
          <t>Flores Drywall and Remodeling LLC</t>
        </is>
      </c>
      <c r="G246" s="56" t="inlineStr">
        <is>
          <t>ACTIVE</t>
        </is>
      </c>
      <c r="H246" s="57" t="n">
        <v>8481.92</v>
      </c>
      <c r="I246" s="57" t="n">
        <v>0</v>
      </c>
      <c r="J246" s="57" t="n">
        <v>8481.92</v>
      </c>
      <c r="K246" s="57" t="n">
        <v>0</v>
      </c>
      <c r="L246" s="57" t="n">
        <v>0</v>
      </c>
      <c r="M246" s="57" t="n">
        <v>7188.44</v>
      </c>
      <c r="N246" s="58" t="n">
        <v>0</v>
      </c>
      <c r="O246" s="57" t="n">
        <v>0</v>
      </c>
      <c r="P246" s="57" t="n">
        <v>-8481.92</v>
      </c>
      <c r="Q246" s="57" t="n">
        <v>0</v>
      </c>
      <c r="R246" s="57" t="n">
        <v>8481.92</v>
      </c>
      <c r="S246" s="57" t="n">
        <v>0</v>
      </c>
      <c r="T246" s="57" t="n">
        <v>1293.48</v>
      </c>
      <c r="U246" s="58" t="n">
        <v>0.1525</v>
      </c>
      <c r="V246" s="57" t="n">
        <v>8481.92</v>
      </c>
      <c r="W246" s="58" t="n">
        <v>1</v>
      </c>
      <c r="X246" s="58" t="n">
        <v>0</v>
      </c>
      <c r="Y246" s="58" t="n">
        <v>0</v>
      </c>
      <c r="Z246" s="57" t="n">
        <v>0</v>
      </c>
      <c r="AA246" s="57" t="n">
        <v>8481.92</v>
      </c>
      <c r="AB246" s="56" t="inlineStr">
        <is>
          <t>FALSE</t>
        </is>
      </c>
      <c r="AC246" s="56" t="inlineStr">
        <is>
          <t>FALSE</t>
        </is>
      </c>
      <c r="AD246" s="57" t="n">
        <v>7188.44</v>
      </c>
      <c r="AE246" s="57" t="n">
        <v>0</v>
      </c>
      <c r="AF246" s="57" t="n">
        <v>0</v>
      </c>
      <c r="AG246" s="57" t="n">
        <v>0</v>
      </c>
      <c r="AH246" s="57" t="n">
        <v>0</v>
      </c>
    </row>
    <row r="247">
      <c r="A247" s="56" t="inlineStr">
        <is>
          <t>2026-06-17</t>
        </is>
      </c>
      <c r="B247" s="56" t="inlineStr">
        <is>
          <t>2894730</t>
        </is>
      </c>
      <c r="C247" s="56" t="inlineStr">
        <is>
          <t>2026.1059 Westfield Community Schools</t>
        </is>
      </c>
      <c r="D247" s="56" t="inlineStr">
        <is>
          <t>UN</t>
        </is>
      </c>
      <c r="E247" s="56" t="inlineStr">
        <is>
          <t>Dustin Hurt</t>
        </is>
      </c>
      <c r="F247" s="56" t="inlineStr">
        <is>
          <t>LTB Construction, Inc.</t>
        </is>
      </c>
      <c r="G247" s="56" t="inlineStr">
        <is>
          <t>ACTIVE</t>
        </is>
      </c>
      <c r="H247" s="57" t="n">
        <v>5000</v>
      </c>
      <c r="I247" s="57" t="n">
        <v>0</v>
      </c>
      <c r="J247" s="57" t="n">
        <v>0</v>
      </c>
      <c r="K247" s="57" t="n">
        <v>0</v>
      </c>
      <c r="L247" s="57" t="n">
        <v>0</v>
      </c>
      <c r="M247" s="57" t="n">
        <v>0</v>
      </c>
      <c r="N247" s="58" t="n">
        <v>0</v>
      </c>
      <c r="O247" s="57" t="n">
        <v>0</v>
      </c>
      <c r="P247" s="57" t="n">
        <v>0</v>
      </c>
      <c r="Q247" s="57" t="n">
        <v>0</v>
      </c>
      <c r="R247" s="57" t="n">
        <v>0</v>
      </c>
      <c r="S247" s="57" t="n">
        <v>0</v>
      </c>
      <c r="T247" s="57" t="n">
        <v>0</v>
      </c>
      <c r="U247" s="58" t="n">
        <v>0</v>
      </c>
      <c r="V247" s="57" t="n">
        <v>5000</v>
      </c>
      <c r="W247" s="58" t="n">
        <v>1</v>
      </c>
      <c r="X247" s="58" t="n">
        <v>0</v>
      </c>
      <c r="Y247" s="58" t="n">
        <v>0</v>
      </c>
      <c r="Z247" s="57" t="n">
        <v>0</v>
      </c>
      <c r="AA247" s="57" t="n">
        <v>0</v>
      </c>
      <c r="AB247" s="56" t="inlineStr">
        <is>
          <t>FALSE</t>
        </is>
      </c>
      <c r="AC247" s="56" t="inlineStr">
        <is>
          <t>FALSE</t>
        </is>
      </c>
      <c r="AD247" s="57" t="n">
        <v>0</v>
      </c>
      <c r="AE247" s="57" t="n">
        <v>0</v>
      </c>
      <c r="AF247" s="57" t="n">
        <v>0</v>
      </c>
      <c r="AG247" s="57" t="n">
        <v>0</v>
      </c>
      <c r="AH247" s="57" t="n">
        <v>0</v>
      </c>
    </row>
    <row r="248">
      <c r="A248" s="56" t="inlineStr">
        <is>
          <t>2026-06-17</t>
        </is>
      </c>
      <c r="B248" s="56" t="inlineStr">
        <is>
          <t>2893583</t>
        </is>
      </c>
      <c r="C248" s="56" t="inlineStr">
        <is>
          <t>2026.1058 Patch McCordsville Building 1</t>
        </is>
      </c>
      <c r="D248" s="56" t="inlineStr">
        <is>
          <t>UN</t>
        </is>
      </c>
      <c r="E248" s="56" t="inlineStr">
        <is>
          <t>Spencer Anderson</t>
        </is>
      </c>
      <c r="F248" s="56" t="inlineStr">
        <is>
          <t>Patch Development</t>
        </is>
      </c>
      <c r="G248" s="56" t="inlineStr">
        <is>
          <t>ACTIVE</t>
        </is>
      </c>
      <c r="H248" s="57" t="n">
        <v>211750</v>
      </c>
      <c r="I248" s="57" t="n">
        <v>0</v>
      </c>
      <c r="J248" s="57" t="n">
        <v>0</v>
      </c>
      <c r="K248" s="57" t="n">
        <v>0</v>
      </c>
      <c r="L248" s="57" t="n">
        <v>0</v>
      </c>
      <c r="M248" s="57" t="n">
        <v>0</v>
      </c>
      <c r="N248" s="58" t="n">
        <v>0</v>
      </c>
      <c r="O248" s="57" t="n">
        <v>0</v>
      </c>
      <c r="P248" s="57" t="n">
        <v>0</v>
      </c>
      <c r="Q248" s="57" t="n">
        <v>0</v>
      </c>
      <c r="R248" s="57" t="n">
        <v>0</v>
      </c>
      <c r="S248" s="57" t="n">
        <v>0</v>
      </c>
      <c r="T248" s="57" t="n">
        <v>0</v>
      </c>
      <c r="U248" s="58" t="n">
        <v>0</v>
      </c>
      <c r="V248" s="57" t="n">
        <v>211750</v>
      </c>
      <c r="W248" s="58" t="n">
        <v>1</v>
      </c>
      <c r="X248" s="58" t="n">
        <v>0</v>
      </c>
      <c r="Y248" s="58" t="n">
        <v>0</v>
      </c>
      <c r="Z248" s="57" t="n">
        <v>0</v>
      </c>
      <c r="AA248" s="57" t="n">
        <v>0</v>
      </c>
      <c r="AB248" s="56" t="inlineStr">
        <is>
          <t>FALSE</t>
        </is>
      </c>
      <c r="AC248" s="56" t="inlineStr">
        <is>
          <t>FALSE</t>
        </is>
      </c>
      <c r="AD248" s="57" t="n">
        <v>0</v>
      </c>
      <c r="AE248" s="57" t="n">
        <v>0</v>
      </c>
      <c r="AF248" s="57" t="n">
        <v>0</v>
      </c>
      <c r="AG248" s="57" t="n">
        <v>0</v>
      </c>
      <c r="AH248" s="57" t="n">
        <v>0</v>
      </c>
    </row>
    <row r="249">
      <c r="A249" s="56" t="inlineStr">
        <is>
          <t>2026-06-17</t>
        </is>
      </c>
      <c r="B249" s="56" t="inlineStr">
        <is>
          <t>2889499</t>
        </is>
      </c>
      <c r="C249" s="56" t="inlineStr">
        <is>
          <t>DS.2026.2439 2335 Treesdale Circle</t>
        </is>
      </c>
      <c r="D249" s="56" t="inlineStr">
        <is>
          <t>DW</t>
        </is>
      </c>
      <c r="E249" s="56" t="inlineStr">
        <is>
          <t>(Unassigned)</t>
        </is>
      </c>
      <c r="F249" s="56" t="inlineStr">
        <is>
          <t>Precision Dry Wall</t>
        </is>
      </c>
      <c r="G249" s="56" t="inlineStr">
        <is>
          <t>ACTIVE</t>
        </is>
      </c>
      <c r="H249" s="57" t="n">
        <v>527.3099999999999</v>
      </c>
      <c r="I249" s="57" t="n">
        <v>0</v>
      </c>
      <c r="J249" s="57" t="n">
        <v>527.3099999999999</v>
      </c>
      <c r="K249" s="57" t="n">
        <v>0</v>
      </c>
      <c r="L249" s="57" t="n">
        <v>0</v>
      </c>
      <c r="M249" s="57" t="n">
        <v>378.63</v>
      </c>
      <c r="N249" s="58" t="n">
        <v>0</v>
      </c>
      <c r="O249" s="57" t="n">
        <v>0</v>
      </c>
      <c r="P249" s="57" t="n">
        <v>-527.3099999999999</v>
      </c>
      <c r="Q249" s="57" t="n">
        <v>0</v>
      </c>
      <c r="R249" s="57" t="n">
        <v>527.3099999999999</v>
      </c>
      <c r="S249" s="57" t="n">
        <v>0</v>
      </c>
      <c r="T249" s="57" t="n">
        <v>148.68</v>
      </c>
      <c r="U249" s="58" t="n">
        <v>0.282</v>
      </c>
      <c r="V249" s="57" t="n">
        <v>527.3099999999999</v>
      </c>
      <c r="W249" s="58" t="n">
        <v>1</v>
      </c>
      <c r="X249" s="58" t="n">
        <v>0</v>
      </c>
      <c r="Y249" s="58" t="n">
        <v>0</v>
      </c>
      <c r="Z249" s="57" t="n">
        <v>0</v>
      </c>
      <c r="AA249" s="57" t="n">
        <v>527.3099999999999</v>
      </c>
      <c r="AB249" s="56" t="inlineStr">
        <is>
          <t>FALSE</t>
        </is>
      </c>
      <c r="AC249" s="56" t="inlineStr">
        <is>
          <t>FALSE</t>
        </is>
      </c>
      <c r="AD249" s="57" t="n">
        <v>378.63</v>
      </c>
      <c r="AE249" s="57" t="n">
        <v>0</v>
      </c>
      <c r="AF249" s="57" t="n">
        <v>0</v>
      </c>
      <c r="AG249" s="57" t="n">
        <v>0</v>
      </c>
      <c r="AH249" s="57" t="n">
        <v>0</v>
      </c>
    </row>
    <row r="250">
      <c r="A250" s="56" t="inlineStr">
        <is>
          <t>2026-06-17</t>
        </is>
      </c>
      <c r="B250" s="56" t="inlineStr">
        <is>
          <t>2888259</t>
        </is>
      </c>
      <c r="C250" s="56" t="inlineStr">
        <is>
          <t>DS.2026.2438 10806 McPherson St</t>
        </is>
      </c>
      <c r="D250" s="56" t="inlineStr">
        <is>
          <t>DW</t>
        </is>
      </c>
      <c r="E250" s="56" t="inlineStr">
        <is>
          <t>(Unassigned)</t>
        </is>
      </c>
      <c r="F250" s="56" t="inlineStr">
        <is>
          <t>Precision Dry Wall</t>
        </is>
      </c>
      <c r="G250" s="56" t="inlineStr">
        <is>
          <t>ACTIVE</t>
        </is>
      </c>
      <c r="H250" s="57" t="n">
        <v>3124.93</v>
      </c>
      <c r="I250" s="57" t="n">
        <v>0</v>
      </c>
      <c r="J250" s="57" t="n">
        <v>3124.93</v>
      </c>
      <c r="K250" s="57" t="n">
        <v>0</v>
      </c>
      <c r="L250" s="57" t="n">
        <v>0</v>
      </c>
      <c r="M250" s="57" t="n">
        <v>1833.96</v>
      </c>
      <c r="N250" s="58" t="n">
        <v>0</v>
      </c>
      <c r="O250" s="57" t="n">
        <v>0</v>
      </c>
      <c r="P250" s="57" t="n">
        <v>-3124.93</v>
      </c>
      <c r="Q250" s="57" t="n">
        <v>0</v>
      </c>
      <c r="R250" s="57" t="n">
        <v>3124.93</v>
      </c>
      <c r="S250" s="57" t="n">
        <v>0</v>
      </c>
      <c r="T250" s="57" t="n">
        <v>1290.97</v>
      </c>
      <c r="U250" s="58" t="n">
        <v>0.4131</v>
      </c>
      <c r="V250" s="57" t="n">
        <v>3124.93</v>
      </c>
      <c r="W250" s="58" t="n">
        <v>1</v>
      </c>
      <c r="X250" s="58" t="n">
        <v>0</v>
      </c>
      <c r="Y250" s="58" t="n">
        <v>0</v>
      </c>
      <c r="Z250" s="57" t="n">
        <v>0</v>
      </c>
      <c r="AA250" s="57" t="n">
        <v>3124.93</v>
      </c>
      <c r="AB250" s="56" t="inlineStr">
        <is>
          <t>FALSE</t>
        </is>
      </c>
      <c r="AC250" s="56" t="inlineStr">
        <is>
          <t>FALSE</t>
        </is>
      </c>
      <c r="AD250" s="57" t="n">
        <v>1833.96</v>
      </c>
      <c r="AE250" s="57" t="n">
        <v>0</v>
      </c>
      <c r="AF250" s="57" t="n">
        <v>0</v>
      </c>
      <c r="AG250" s="57" t="n">
        <v>0</v>
      </c>
      <c r="AH250" s="57" t="n">
        <v>0</v>
      </c>
    </row>
    <row r="251">
      <c r="A251" s="56" t="inlineStr">
        <is>
          <t>2026-06-17</t>
        </is>
      </c>
      <c r="B251" s="56" t="inlineStr">
        <is>
          <t>2888192</t>
        </is>
      </c>
      <c r="C251" s="56" t="inlineStr">
        <is>
          <t>DS.2026.2437 970 Starkey Ave</t>
        </is>
      </c>
      <c r="D251" s="56" t="inlineStr">
        <is>
          <t>DW</t>
        </is>
      </c>
      <c r="E251" s="56" t="inlineStr">
        <is>
          <t>(Unassigned)</t>
        </is>
      </c>
      <c r="F251" s="56" t="inlineStr">
        <is>
          <t>Precision Dry Wall</t>
        </is>
      </c>
      <c r="G251" s="56" t="inlineStr">
        <is>
          <t>ACTIVE</t>
        </is>
      </c>
      <c r="H251" s="57" t="n">
        <v>8372.52</v>
      </c>
      <c r="I251" s="57" t="n">
        <v>0</v>
      </c>
      <c r="J251" s="57" t="n">
        <v>8372.52</v>
      </c>
      <c r="K251" s="57" t="n">
        <v>0</v>
      </c>
      <c r="L251" s="57" t="n">
        <v>0</v>
      </c>
      <c r="M251" s="57" t="n">
        <v>5495.96</v>
      </c>
      <c r="N251" s="58" t="n">
        <v>0</v>
      </c>
      <c r="O251" s="57" t="n">
        <v>0</v>
      </c>
      <c r="P251" s="57" t="n">
        <v>-8372.52</v>
      </c>
      <c r="Q251" s="57" t="n">
        <v>0</v>
      </c>
      <c r="R251" s="57" t="n">
        <v>8372.52</v>
      </c>
      <c r="S251" s="57" t="n">
        <v>0</v>
      </c>
      <c r="T251" s="57" t="n">
        <v>2876.56</v>
      </c>
      <c r="U251" s="58" t="n">
        <v>0.3436</v>
      </c>
      <c r="V251" s="57" t="n">
        <v>8372.52</v>
      </c>
      <c r="W251" s="58" t="n">
        <v>1</v>
      </c>
      <c r="X251" s="58" t="n">
        <v>0</v>
      </c>
      <c r="Y251" s="58" t="n">
        <v>0</v>
      </c>
      <c r="Z251" s="57" t="n">
        <v>0</v>
      </c>
      <c r="AA251" s="57" t="n">
        <v>8372.52</v>
      </c>
      <c r="AB251" s="56" t="inlineStr">
        <is>
          <t>FALSE</t>
        </is>
      </c>
      <c r="AC251" s="56" t="inlineStr">
        <is>
          <t>FALSE</t>
        </is>
      </c>
      <c r="AD251" s="57" t="n">
        <v>5495.96</v>
      </c>
      <c r="AE251" s="57" t="n">
        <v>0</v>
      </c>
      <c r="AF251" s="57" t="n">
        <v>0</v>
      </c>
      <c r="AG251" s="57" t="n">
        <v>0</v>
      </c>
      <c r="AH251" s="57" t="n">
        <v>0</v>
      </c>
    </row>
    <row r="252">
      <c r="A252" s="56" t="inlineStr">
        <is>
          <t>2026-06-17</t>
        </is>
      </c>
      <c r="B252" s="56" t="inlineStr">
        <is>
          <t>2887165</t>
        </is>
      </c>
      <c r="C252" s="56" t="inlineStr">
        <is>
          <t>MDG Warehouse Demising Wall</t>
        </is>
      </c>
      <c r="D252" s="56" t="inlineStr">
        <is>
          <t>UN</t>
        </is>
      </c>
      <c r="E252" s="56" t="inlineStr">
        <is>
          <t>(Unassigned)</t>
        </is>
      </c>
      <c r="F252" s="56" t="inlineStr">
        <is>
          <t>MDG Real Estate LLC</t>
        </is>
      </c>
      <c r="G252" s="56" t="inlineStr">
        <is>
          <t>ACTIVE</t>
        </is>
      </c>
      <c r="H252" s="57" t="n">
        <v>75000</v>
      </c>
      <c r="I252" s="57" t="n">
        <v>0</v>
      </c>
      <c r="J252" s="57" t="n">
        <v>0</v>
      </c>
      <c r="K252" s="57" t="n">
        <v>0</v>
      </c>
      <c r="L252" s="57" t="n">
        <v>0</v>
      </c>
      <c r="M252" s="57" t="n">
        <v>6847.14</v>
      </c>
      <c r="N252" s="58" t="n">
        <v>0</v>
      </c>
      <c r="O252" s="57" t="n">
        <v>0</v>
      </c>
      <c r="P252" s="57" t="n">
        <v>0</v>
      </c>
      <c r="Q252" s="57" t="n">
        <v>0</v>
      </c>
      <c r="R252" s="57" t="n">
        <v>0</v>
      </c>
      <c r="S252" s="57" t="n">
        <v>0</v>
      </c>
      <c r="T252" s="57" t="n">
        <v>-6847.14</v>
      </c>
      <c r="U252" s="58" t="n">
        <v>0</v>
      </c>
      <c r="V252" s="57" t="n">
        <v>75000</v>
      </c>
      <c r="W252" s="58" t="n">
        <v>1</v>
      </c>
      <c r="X252" s="58" t="n">
        <v>0</v>
      </c>
      <c r="Y252" s="58" t="n">
        <v>0</v>
      </c>
      <c r="Z252" s="57" t="n">
        <v>0</v>
      </c>
      <c r="AA252" s="57" t="n">
        <v>0</v>
      </c>
      <c r="AB252" s="56" t="inlineStr">
        <is>
          <t>FALSE</t>
        </is>
      </c>
      <c r="AC252" s="56" t="inlineStr">
        <is>
          <t>FALSE</t>
        </is>
      </c>
      <c r="AD252" s="57" t="n">
        <v>5640.46</v>
      </c>
      <c r="AE252" s="57" t="n">
        <v>1206.68</v>
      </c>
      <c r="AF252" s="57" t="n">
        <v>0</v>
      </c>
      <c r="AG252" s="57" t="n">
        <v>0</v>
      </c>
      <c r="AH252" s="57" t="n">
        <v>0</v>
      </c>
    </row>
    <row r="253">
      <c r="A253" s="56" t="inlineStr">
        <is>
          <t>2026-06-17</t>
        </is>
      </c>
      <c r="B253" s="56" t="inlineStr">
        <is>
          <t>2887151</t>
        </is>
      </c>
      <c r="C253" s="56" t="inlineStr">
        <is>
          <t>DS.2026.2436 25 Harper Estates</t>
        </is>
      </c>
      <c r="D253" s="56" t="inlineStr">
        <is>
          <t>DW</t>
        </is>
      </c>
      <c r="E253" s="56" t="inlineStr">
        <is>
          <t>(Unassigned)</t>
        </is>
      </c>
      <c r="F253" s="56" t="inlineStr">
        <is>
          <t>Flores Drywall and Remodeling LLC</t>
        </is>
      </c>
      <c r="G253" s="56" t="inlineStr">
        <is>
          <t>ACTIVE</t>
        </is>
      </c>
      <c r="H253" s="57" t="n">
        <v>5768.6</v>
      </c>
      <c r="I253" s="57" t="n">
        <v>0</v>
      </c>
      <c r="J253" s="57" t="n">
        <v>5768.6</v>
      </c>
      <c r="K253" s="57" t="n">
        <v>0</v>
      </c>
      <c r="L253" s="57" t="n">
        <v>0</v>
      </c>
      <c r="M253" s="57" t="n">
        <v>4226.3</v>
      </c>
      <c r="N253" s="58" t="n">
        <v>0</v>
      </c>
      <c r="O253" s="57" t="n">
        <v>0</v>
      </c>
      <c r="P253" s="57" t="n">
        <v>-5768.6</v>
      </c>
      <c r="Q253" s="57" t="n">
        <v>0</v>
      </c>
      <c r="R253" s="57" t="n">
        <v>5768.6</v>
      </c>
      <c r="S253" s="57" t="n">
        <v>0</v>
      </c>
      <c r="T253" s="57" t="n">
        <v>1542.3</v>
      </c>
      <c r="U253" s="58" t="n">
        <v>0.2674</v>
      </c>
      <c r="V253" s="57" t="n">
        <v>5768.6</v>
      </c>
      <c r="W253" s="58" t="n">
        <v>1</v>
      </c>
      <c r="X253" s="58" t="n">
        <v>0</v>
      </c>
      <c r="Y253" s="58" t="n">
        <v>0</v>
      </c>
      <c r="Z253" s="57" t="n">
        <v>0</v>
      </c>
      <c r="AA253" s="57" t="n">
        <v>5768.6</v>
      </c>
      <c r="AB253" s="56" t="inlineStr">
        <is>
          <t>FALSE</t>
        </is>
      </c>
      <c r="AC253" s="56" t="inlineStr">
        <is>
          <t>FALSE</t>
        </is>
      </c>
      <c r="AD253" s="57" t="n">
        <v>4226.3</v>
      </c>
      <c r="AE253" s="57" t="n">
        <v>0</v>
      </c>
      <c r="AF253" s="57" t="n">
        <v>0</v>
      </c>
      <c r="AG253" s="57" t="n">
        <v>0</v>
      </c>
      <c r="AH253" s="57" t="n">
        <v>0</v>
      </c>
    </row>
    <row r="254">
      <c r="A254" s="56" t="inlineStr">
        <is>
          <t>2026-06-17</t>
        </is>
      </c>
      <c r="B254" s="56" t="inlineStr">
        <is>
          <t>2887141</t>
        </is>
      </c>
      <c r="C254" s="56" t="inlineStr">
        <is>
          <t>DS.2026.2435 21 Harper Estates</t>
        </is>
      </c>
      <c r="D254" s="56" t="inlineStr">
        <is>
          <t>DW</t>
        </is>
      </c>
      <c r="E254" s="56" t="inlineStr">
        <is>
          <t>(Unassigned)</t>
        </is>
      </c>
      <c r="F254" s="56" t="inlineStr">
        <is>
          <t>Flores Drywall and Remodeling LLC</t>
        </is>
      </c>
      <c r="G254" s="56" t="inlineStr">
        <is>
          <t>ACTIVE</t>
        </is>
      </c>
      <c r="H254" s="57" t="n">
        <v>6176</v>
      </c>
      <c r="I254" s="57" t="n">
        <v>0</v>
      </c>
      <c r="J254" s="57" t="n">
        <v>6176</v>
      </c>
      <c r="K254" s="57" t="n">
        <v>0</v>
      </c>
      <c r="L254" s="57" t="n">
        <v>0</v>
      </c>
      <c r="M254" s="57" t="n">
        <v>4487.52</v>
      </c>
      <c r="N254" s="58" t="n">
        <v>0</v>
      </c>
      <c r="O254" s="57" t="n">
        <v>0</v>
      </c>
      <c r="P254" s="57" t="n">
        <v>-6176</v>
      </c>
      <c r="Q254" s="57" t="n">
        <v>0</v>
      </c>
      <c r="R254" s="57" t="n">
        <v>6176</v>
      </c>
      <c r="S254" s="57" t="n">
        <v>0</v>
      </c>
      <c r="T254" s="57" t="n">
        <v>1688.48</v>
      </c>
      <c r="U254" s="58" t="n">
        <v>0.2734</v>
      </c>
      <c r="V254" s="57" t="n">
        <v>6176</v>
      </c>
      <c r="W254" s="58" t="n">
        <v>1</v>
      </c>
      <c r="X254" s="58" t="n">
        <v>0</v>
      </c>
      <c r="Y254" s="58" t="n">
        <v>0</v>
      </c>
      <c r="Z254" s="57" t="n">
        <v>0</v>
      </c>
      <c r="AA254" s="57" t="n">
        <v>6176</v>
      </c>
      <c r="AB254" s="56" t="inlineStr">
        <is>
          <t>FALSE</t>
        </is>
      </c>
      <c r="AC254" s="56" t="inlineStr">
        <is>
          <t>FALSE</t>
        </is>
      </c>
      <c r="AD254" s="57" t="n">
        <v>4487.52</v>
      </c>
      <c r="AE254" s="57" t="n">
        <v>0</v>
      </c>
      <c r="AF254" s="57" t="n">
        <v>0</v>
      </c>
      <c r="AG254" s="57" t="n">
        <v>0</v>
      </c>
      <c r="AH254" s="57" t="n">
        <v>0</v>
      </c>
    </row>
    <row r="255">
      <c r="A255" s="56" t="inlineStr">
        <is>
          <t>2026-06-17</t>
        </is>
      </c>
      <c r="B255" s="56" t="inlineStr">
        <is>
          <t>2887107</t>
        </is>
      </c>
      <c r="C255" s="56" t="inlineStr">
        <is>
          <t>DS.2026.2434 19 Harper Estates</t>
        </is>
      </c>
      <c r="D255" s="56" t="inlineStr">
        <is>
          <t>DW</t>
        </is>
      </c>
      <c r="E255" s="56" t="inlineStr">
        <is>
          <t>(Unassigned)</t>
        </is>
      </c>
      <c r="F255" s="56" t="inlineStr">
        <is>
          <t>Flores Drywall and Remodeling LLC</t>
        </is>
      </c>
      <c r="G255" s="56" t="inlineStr">
        <is>
          <t>ACTIVE</t>
        </is>
      </c>
      <c r="H255" s="57" t="n">
        <v>6043.1</v>
      </c>
      <c r="I255" s="57" t="n">
        <v>0</v>
      </c>
      <c r="J255" s="57" t="n">
        <v>6043.1</v>
      </c>
      <c r="K255" s="57" t="n">
        <v>0</v>
      </c>
      <c r="L255" s="57" t="n">
        <v>0</v>
      </c>
      <c r="M255" s="57" t="n">
        <v>4392.06</v>
      </c>
      <c r="N255" s="58" t="n">
        <v>0</v>
      </c>
      <c r="O255" s="57" t="n">
        <v>0</v>
      </c>
      <c r="P255" s="57" t="n">
        <v>-6043.1</v>
      </c>
      <c r="Q255" s="57" t="n">
        <v>0</v>
      </c>
      <c r="R255" s="57" t="n">
        <v>6043.1</v>
      </c>
      <c r="S255" s="57" t="n">
        <v>0</v>
      </c>
      <c r="T255" s="57" t="n">
        <v>1651.04</v>
      </c>
      <c r="U255" s="58" t="n">
        <v>0.2732</v>
      </c>
      <c r="V255" s="57" t="n">
        <v>6043.1</v>
      </c>
      <c r="W255" s="58" t="n">
        <v>1</v>
      </c>
      <c r="X255" s="58" t="n">
        <v>0</v>
      </c>
      <c r="Y255" s="58" t="n">
        <v>0</v>
      </c>
      <c r="Z255" s="57" t="n">
        <v>0</v>
      </c>
      <c r="AA255" s="57" t="n">
        <v>6043.1</v>
      </c>
      <c r="AB255" s="56" t="inlineStr">
        <is>
          <t>FALSE</t>
        </is>
      </c>
      <c r="AC255" s="56" t="inlineStr">
        <is>
          <t>FALSE</t>
        </is>
      </c>
      <c r="AD255" s="57" t="n">
        <v>4392.06</v>
      </c>
      <c r="AE255" s="57" t="n">
        <v>0</v>
      </c>
      <c r="AF255" s="57" t="n">
        <v>0</v>
      </c>
      <c r="AG255" s="57" t="n">
        <v>0</v>
      </c>
      <c r="AH255" s="57" t="n">
        <v>0</v>
      </c>
    </row>
    <row r="256">
      <c r="A256" s="56" t="inlineStr">
        <is>
          <t>2026-06-17</t>
        </is>
      </c>
      <c r="B256" s="56" t="inlineStr">
        <is>
          <t>2872036</t>
        </is>
      </c>
      <c r="C256" s="56" t="inlineStr">
        <is>
          <t>DS.2026.2433 Liberty Assisted Living 0529</t>
        </is>
      </c>
      <c r="D256" s="56" t="inlineStr">
        <is>
          <t>DW</t>
        </is>
      </c>
      <c r="E256" s="56" t="inlineStr">
        <is>
          <t>(Unassigned)</t>
        </is>
      </c>
      <c r="F256" s="56" t="inlineStr">
        <is>
          <t>Flores Drywall and Remodeling LLC</t>
        </is>
      </c>
      <c r="G256" s="56" t="inlineStr">
        <is>
          <t>ACTIVE</t>
        </is>
      </c>
      <c r="H256" s="57" t="n">
        <v>9607.6</v>
      </c>
      <c r="I256" s="57" t="n">
        <v>0</v>
      </c>
      <c r="J256" s="57" t="n">
        <v>9607.6</v>
      </c>
      <c r="K256" s="57" t="n">
        <v>0</v>
      </c>
      <c r="L256" s="57" t="n">
        <v>0</v>
      </c>
      <c r="M256" s="57" t="n">
        <v>7386.98</v>
      </c>
      <c r="N256" s="58" t="n">
        <v>0</v>
      </c>
      <c r="O256" s="57" t="n">
        <v>0</v>
      </c>
      <c r="P256" s="57" t="n">
        <v>-9607.6</v>
      </c>
      <c r="Q256" s="57" t="n">
        <v>0</v>
      </c>
      <c r="R256" s="57" t="n">
        <v>9607.6</v>
      </c>
      <c r="S256" s="57" t="n">
        <v>0</v>
      </c>
      <c r="T256" s="57" t="n">
        <v>2220.62</v>
      </c>
      <c r="U256" s="58" t="n">
        <v>0.2311</v>
      </c>
      <c r="V256" s="57" t="n">
        <v>9607.6</v>
      </c>
      <c r="W256" s="58" t="n">
        <v>1</v>
      </c>
      <c r="X256" s="58" t="n">
        <v>0</v>
      </c>
      <c r="Y256" s="58" t="n">
        <v>0</v>
      </c>
      <c r="Z256" s="57" t="n">
        <v>0</v>
      </c>
      <c r="AA256" s="57" t="n">
        <v>9607.6</v>
      </c>
      <c r="AB256" s="56" t="inlineStr">
        <is>
          <t>FALSE</t>
        </is>
      </c>
      <c r="AC256" s="56" t="inlineStr">
        <is>
          <t>FALSE</t>
        </is>
      </c>
      <c r="AD256" s="57" t="n">
        <v>7386.98</v>
      </c>
      <c r="AE256" s="57" t="n">
        <v>0</v>
      </c>
      <c r="AF256" s="57" t="n">
        <v>0</v>
      </c>
      <c r="AG256" s="57" t="n">
        <v>0</v>
      </c>
      <c r="AH256" s="57" t="n">
        <v>0</v>
      </c>
    </row>
    <row r="257">
      <c r="A257" s="56" t="inlineStr">
        <is>
          <t>2026-06-17</t>
        </is>
      </c>
      <c r="B257" s="56" t="inlineStr">
        <is>
          <t>2872017</t>
        </is>
      </c>
      <c r="C257" s="56" t="inlineStr">
        <is>
          <t>DS.2026.2432 Liberty Assisted LIving 0528</t>
        </is>
      </c>
      <c r="D257" s="56" t="inlineStr">
        <is>
          <t>DW</t>
        </is>
      </c>
      <c r="E257" s="56" t="inlineStr">
        <is>
          <t>(Unassigned)</t>
        </is>
      </c>
      <c r="F257" s="56" t="inlineStr">
        <is>
          <t>Flores Drywall and Remodeling LLC</t>
        </is>
      </c>
      <c r="G257" s="56" t="inlineStr">
        <is>
          <t>ACTIVE</t>
        </is>
      </c>
      <c r="H257" s="57" t="n">
        <v>12455.2</v>
      </c>
      <c r="I257" s="57" t="n">
        <v>0</v>
      </c>
      <c r="J257" s="57" t="n">
        <v>12455.2</v>
      </c>
      <c r="K257" s="57" t="n">
        <v>0</v>
      </c>
      <c r="L257" s="57" t="n">
        <v>0</v>
      </c>
      <c r="M257" s="57" t="n">
        <v>8760.959999999999</v>
      </c>
      <c r="N257" s="58" t="n">
        <v>0</v>
      </c>
      <c r="O257" s="57" t="n">
        <v>0</v>
      </c>
      <c r="P257" s="57" t="n">
        <v>-12455.2</v>
      </c>
      <c r="Q257" s="57" t="n">
        <v>0</v>
      </c>
      <c r="R257" s="57" t="n">
        <v>12455.2</v>
      </c>
      <c r="S257" s="57" t="n">
        <v>0</v>
      </c>
      <c r="T257" s="57" t="n">
        <v>3694.24</v>
      </c>
      <c r="U257" s="58" t="n">
        <v>0.2966</v>
      </c>
      <c r="V257" s="57" t="n">
        <v>12455.2</v>
      </c>
      <c r="W257" s="58" t="n">
        <v>1</v>
      </c>
      <c r="X257" s="58" t="n">
        <v>0</v>
      </c>
      <c r="Y257" s="58" t="n">
        <v>0</v>
      </c>
      <c r="Z257" s="57" t="n">
        <v>0</v>
      </c>
      <c r="AA257" s="57" t="n">
        <v>12455.2</v>
      </c>
      <c r="AB257" s="56" t="inlineStr">
        <is>
          <t>FALSE</t>
        </is>
      </c>
      <c r="AC257" s="56" t="inlineStr">
        <is>
          <t>FALSE</t>
        </is>
      </c>
      <c r="AD257" s="57" t="n">
        <v>8760.959999999999</v>
      </c>
      <c r="AE257" s="57" t="n">
        <v>0</v>
      </c>
      <c r="AF257" s="57" t="n">
        <v>0</v>
      </c>
      <c r="AG257" s="57" t="n">
        <v>0</v>
      </c>
      <c r="AH257" s="57" t="n">
        <v>0</v>
      </c>
    </row>
    <row r="258">
      <c r="A258" s="56" t="inlineStr">
        <is>
          <t>2026-06-17</t>
        </is>
      </c>
      <c r="B258" s="56" t="inlineStr">
        <is>
          <t>2872004</t>
        </is>
      </c>
      <c r="C258" s="56" t="inlineStr">
        <is>
          <t>DS.2026.2431 123 Centre Place</t>
        </is>
      </c>
      <c r="D258" s="56" t="inlineStr">
        <is>
          <t>DW</t>
        </is>
      </c>
      <c r="E258" s="56" t="inlineStr">
        <is>
          <t>(Unassigned)</t>
        </is>
      </c>
      <c r="F258" s="56" t="inlineStr">
        <is>
          <t>Flores Drywall and Remodeling LLC</t>
        </is>
      </c>
      <c r="G258" s="56" t="inlineStr">
        <is>
          <t>ACTIVE</t>
        </is>
      </c>
      <c r="H258" s="57" t="n">
        <v>3188.13</v>
      </c>
      <c r="I258" s="57" t="n">
        <v>0</v>
      </c>
      <c r="J258" s="57" t="n">
        <v>3188.13</v>
      </c>
      <c r="K258" s="57" t="n">
        <v>0</v>
      </c>
      <c r="L258" s="57" t="n">
        <v>0</v>
      </c>
      <c r="M258" s="57" t="n">
        <v>2336.22</v>
      </c>
      <c r="N258" s="58" t="n">
        <v>0</v>
      </c>
      <c r="O258" s="57" t="n">
        <v>0</v>
      </c>
      <c r="P258" s="57" t="n">
        <v>-3188.13</v>
      </c>
      <c r="Q258" s="57" t="n">
        <v>0</v>
      </c>
      <c r="R258" s="57" t="n">
        <v>3188.13</v>
      </c>
      <c r="S258" s="57" t="n">
        <v>0</v>
      </c>
      <c r="T258" s="57" t="n">
        <v>851.91</v>
      </c>
      <c r="U258" s="58" t="n">
        <v>0.2672</v>
      </c>
      <c r="V258" s="57" t="n">
        <v>3188.13</v>
      </c>
      <c r="W258" s="58" t="n">
        <v>1</v>
      </c>
      <c r="X258" s="58" t="n">
        <v>0</v>
      </c>
      <c r="Y258" s="58" t="n">
        <v>0</v>
      </c>
      <c r="Z258" s="57" t="n">
        <v>0</v>
      </c>
      <c r="AA258" s="57" t="n">
        <v>3188.13</v>
      </c>
      <c r="AB258" s="56" t="inlineStr">
        <is>
          <t>FALSE</t>
        </is>
      </c>
      <c r="AC258" s="56" t="inlineStr">
        <is>
          <t>FALSE</t>
        </is>
      </c>
      <c r="AD258" s="57" t="n">
        <v>2336.22</v>
      </c>
      <c r="AE258" s="57" t="n">
        <v>0</v>
      </c>
      <c r="AF258" s="57" t="n">
        <v>0</v>
      </c>
      <c r="AG258" s="57" t="n">
        <v>0</v>
      </c>
      <c r="AH258" s="57" t="n">
        <v>0</v>
      </c>
    </row>
    <row r="259">
      <c r="A259" s="56" t="inlineStr">
        <is>
          <t>2026-06-17</t>
        </is>
      </c>
      <c r="B259" s="56" t="inlineStr">
        <is>
          <t>2871958</t>
        </is>
      </c>
      <c r="C259" s="56" t="inlineStr">
        <is>
          <t>DS.2026.2430 119 Centre Place</t>
        </is>
      </c>
      <c r="D259" s="56" t="inlineStr">
        <is>
          <t>DW</t>
        </is>
      </c>
      <c r="E259" s="56" t="inlineStr">
        <is>
          <t>(Unassigned)</t>
        </is>
      </c>
      <c r="F259" s="56" t="inlineStr">
        <is>
          <t>Flores Drywall and Remodeling LLC</t>
        </is>
      </c>
      <c r="G259" s="56" t="inlineStr">
        <is>
          <t>ACTIVE</t>
        </is>
      </c>
      <c r="H259" s="57" t="n">
        <v>3188.13</v>
      </c>
      <c r="I259" s="57" t="n">
        <v>0</v>
      </c>
      <c r="J259" s="57" t="n">
        <v>3188.13</v>
      </c>
      <c r="K259" s="57" t="n">
        <v>0</v>
      </c>
      <c r="L259" s="57" t="n">
        <v>0</v>
      </c>
      <c r="M259" s="57" t="n">
        <v>2336.22</v>
      </c>
      <c r="N259" s="58" t="n">
        <v>0</v>
      </c>
      <c r="O259" s="57" t="n">
        <v>0</v>
      </c>
      <c r="P259" s="57" t="n">
        <v>-3188.13</v>
      </c>
      <c r="Q259" s="57" t="n">
        <v>0</v>
      </c>
      <c r="R259" s="57" t="n">
        <v>3188.13</v>
      </c>
      <c r="S259" s="57" t="n">
        <v>0</v>
      </c>
      <c r="T259" s="57" t="n">
        <v>851.91</v>
      </c>
      <c r="U259" s="58" t="n">
        <v>0.2672</v>
      </c>
      <c r="V259" s="57" t="n">
        <v>3188.13</v>
      </c>
      <c r="W259" s="58" t="n">
        <v>1</v>
      </c>
      <c r="X259" s="58" t="n">
        <v>0</v>
      </c>
      <c r="Y259" s="58" t="n">
        <v>0</v>
      </c>
      <c r="Z259" s="57" t="n">
        <v>0</v>
      </c>
      <c r="AA259" s="57" t="n">
        <v>3188.13</v>
      </c>
      <c r="AB259" s="56" t="inlineStr">
        <is>
          <t>FALSE</t>
        </is>
      </c>
      <c r="AC259" s="56" t="inlineStr">
        <is>
          <t>FALSE</t>
        </is>
      </c>
      <c r="AD259" s="57" t="n">
        <v>2336.22</v>
      </c>
      <c r="AE259" s="57" t="n">
        <v>0</v>
      </c>
      <c r="AF259" s="57" t="n">
        <v>0</v>
      </c>
      <c r="AG259" s="57" t="n">
        <v>0</v>
      </c>
      <c r="AH259" s="57" t="n">
        <v>0</v>
      </c>
    </row>
    <row r="260">
      <c r="A260" s="56" t="inlineStr">
        <is>
          <t>2026-06-17</t>
        </is>
      </c>
      <c r="B260" s="56" t="inlineStr">
        <is>
          <t>2871926</t>
        </is>
      </c>
      <c r="C260" s="56" t="inlineStr">
        <is>
          <t>DS.2026.2429 108 Centre Place</t>
        </is>
      </c>
      <c r="D260" s="56" t="inlineStr">
        <is>
          <t>DW</t>
        </is>
      </c>
      <c r="E260" s="56" t="inlineStr">
        <is>
          <t>(Unassigned)</t>
        </is>
      </c>
      <c r="F260" s="56" t="inlineStr">
        <is>
          <t>Flores Drywall and Remodeling LLC</t>
        </is>
      </c>
      <c r="G260" s="56" t="inlineStr">
        <is>
          <t>ACTIVE</t>
        </is>
      </c>
      <c r="H260" s="57" t="n">
        <v>3468.6</v>
      </c>
      <c r="I260" s="57" t="n">
        <v>0</v>
      </c>
      <c r="J260" s="57" t="n">
        <v>3468.6</v>
      </c>
      <c r="K260" s="57" t="n">
        <v>0</v>
      </c>
      <c r="L260" s="57" t="n">
        <v>0</v>
      </c>
      <c r="M260" s="57" t="n">
        <v>2537.94</v>
      </c>
      <c r="N260" s="58" t="n">
        <v>0</v>
      </c>
      <c r="O260" s="57" t="n">
        <v>0</v>
      </c>
      <c r="P260" s="57" t="n">
        <v>-3468.6</v>
      </c>
      <c r="Q260" s="57" t="n">
        <v>0</v>
      </c>
      <c r="R260" s="57" t="n">
        <v>3468.6</v>
      </c>
      <c r="S260" s="57" t="n">
        <v>0</v>
      </c>
      <c r="T260" s="57" t="n">
        <v>930.66</v>
      </c>
      <c r="U260" s="58" t="n">
        <v>0.2683</v>
      </c>
      <c r="V260" s="57" t="n">
        <v>3468.6</v>
      </c>
      <c r="W260" s="58" t="n">
        <v>1</v>
      </c>
      <c r="X260" s="58" t="n">
        <v>0</v>
      </c>
      <c r="Y260" s="58" t="n">
        <v>0</v>
      </c>
      <c r="Z260" s="57" t="n">
        <v>0</v>
      </c>
      <c r="AA260" s="57" t="n">
        <v>3468.6</v>
      </c>
      <c r="AB260" s="56" t="inlineStr">
        <is>
          <t>FALSE</t>
        </is>
      </c>
      <c r="AC260" s="56" t="inlineStr">
        <is>
          <t>FALSE</t>
        </is>
      </c>
      <c r="AD260" s="57" t="n">
        <v>2537.94</v>
      </c>
      <c r="AE260" s="57" t="n">
        <v>0</v>
      </c>
      <c r="AF260" s="57" t="n">
        <v>0</v>
      </c>
      <c r="AG260" s="57" t="n">
        <v>0</v>
      </c>
      <c r="AH260" s="57" t="n">
        <v>0</v>
      </c>
    </row>
    <row r="261">
      <c r="A261" s="56" t="inlineStr">
        <is>
          <t>2026-06-17</t>
        </is>
      </c>
      <c r="B261" s="56" t="inlineStr">
        <is>
          <t>2871859</t>
        </is>
      </c>
      <c r="C261" s="56" t="inlineStr">
        <is>
          <t>DS.2026.2428 9 Centre Place</t>
        </is>
      </c>
      <c r="D261" s="56" t="inlineStr">
        <is>
          <t>DW</t>
        </is>
      </c>
      <c r="E261" s="56" t="inlineStr">
        <is>
          <t>(Unassigned)</t>
        </is>
      </c>
      <c r="F261" s="56" t="inlineStr">
        <is>
          <t>Flores Drywall and Remodeling LLC</t>
        </is>
      </c>
      <c r="G261" s="56" t="inlineStr">
        <is>
          <t>ACTIVE</t>
        </is>
      </c>
      <c r="H261" s="57" t="n">
        <v>4637.64</v>
      </c>
      <c r="I261" s="57" t="n">
        <v>0</v>
      </c>
      <c r="J261" s="57" t="n">
        <v>4637.64</v>
      </c>
      <c r="K261" s="57" t="n">
        <v>0</v>
      </c>
      <c r="L261" s="57" t="n">
        <v>0</v>
      </c>
      <c r="M261" s="57" t="n">
        <v>3598.89</v>
      </c>
      <c r="N261" s="58" t="n">
        <v>0</v>
      </c>
      <c r="O261" s="57" t="n">
        <v>0</v>
      </c>
      <c r="P261" s="57" t="n">
        <v>-4637.64</v>
      </c>
      <c r="Q261" s="57" t="n">
        <v>0</v>
      </c>
      <c r="R261" s="57" t="n">
        <v>4637.64</v>
      </c>
      <c r="S261" s="57" t="n">
        <v>0</v>
      </c>
      <c r="T261" s="57" t="n">
        <v>1038.75</v>
      </c>
      <c r="U261" s="58" t="n">
        <v>0.224</v>
      </c>
      <c r="V261" s="57" t="n">
        <v>4637.64</v>
      </c>
      <c r="W261" s="58" t="n">
        <v>1</v>
      </c>
      <c r="X261" s="58" t="n">
        <v>0</v>
      </c>
      <c r="Y261" s="58" t="n">
        <v>0</v>
      </c>
      <c r="Z261" s="57" t="n">
        <v>0</v>
      </c>
      <c r="AA261" s="57" t="n">
        <v>4637.64</v>
      </c>
      <c r="AB261" s="56" t="inlineStr">
        <is>
          <t>FALSE</t>
        </is>
      </c>
      <c r="AC261" s="56" t="inlineStr">
        <is>
          <t>FALSE</t>
        </is>
      </c>
      <c r="AD261" s="57" t="n">
        <v>3598.89</v>
      </c>
      <c r="AE261" s="57" t="n">
        <v>0</v>
      </c>
      <c r="AF261" s="57" t="n">
        <v>0</v>
      </c>
      <c r="AG261" s="57" t="n">
        <v>0</v>
      </c>
      <c r="AH261" s="57" t="n">
        <v>0</v>
      </c>
    </row>
    <row r="262">
      <c r="A262" s="56" t="inlineStr">
        <is>
          <t>2026-06-17</t>
        </is>
      </c>
      <c r="B262" s="56" t="inlineStr">
        <is>
          <t>2863766</t>
        </is>
      </c>
      <c r="C262" s="56" t="inlineStr">
        <is>
          <t>DS.2026.2427 Dapp Garage</t>
        </is>
      </c>
      <c r="D262" s="56" t="inlineStr">
        <is>
          <t>DW</t>
        </is>
      </c>
      <c r="E262" s="56" t="inlineStr">
        <is>
          <t>(Unassigned)</t>
        </is>
      </c>
      <c r="F262" s="56" t="inlineStr">
        <is>
          <t>Flores Drywall and Remodeling LLC</t>
        </is>
      </c>
      <c r="G262" s="56" t="inlineStr">
        <is>
          <t>ACTIVE</t>
        </is>
      </c>
      <c r="H262" s="57" t="n">
        <v>1892.4</v>
      </c>
      <c r="I262" s="57" t="n">
        <v>0</v>
      </c>
      <c r="J262" s="57" t="n">
        <v>1892.4</v>
      </c>
      <c r="K262" s="57" t="n">
        <v>0</v>
      </c>
      <c r="L262" s="57" t="n">
        <v>0</v>
      </c>
      <c r="M262" s="57" t="n">
        <v>1278.6</v>
      </c>
      <c r="N262" s="58" t="n">
        <v>0</v>
      </c>
      <c r="O262" s="57" t="n">
        <v>0</v>
      </c>
      <c r="P262" s="57" t="n">
        <v>-1892.4</v>
      </c>
      <c r="Q262" s="57" t="n">
        <v>0</v>
      </c>
      <c r="R262" s="57" t="n">
        <v>1892.4</v>
      </c>
      <c r="S262" s="57" t="n">
        <v>0</v>
      </c>
      <c r="T262" s="57" t="n">
        <v>613.8</v>
      </c>
      <c r="U262" s="58" t="n">
        <v>0.3244</v>
      </c>
      <c r="V262" s="57" t="n">
        <v>1892.4</v>
      </c>
      <c r="W262" s="58" t="n">
        <v>1</v>
      </c>
      <c r="X262" s="58" t="n">
        <v>0</v>
      </c>
      <c r="Y262" s="58" t="n">
        <v>0</v>
      </c>
      <c r="Z262" s="57" t="n">
        <v>0</v>
      </c>
      <c r="AA262" s="57" t="n">
        <v>1892.4</v>
      </c>
      <c r="AB262" s="56" t="inlineStr">
        <is>
          <t>FALSE</t>
        </is>
      </c>
      <c r="AC262" s="56" t="inlineStr">
        <is>
          <t>FALSE</t>
        </is>
      </c>
      <c r="AD262" s="57" t="n">
        <v>1278.6</v>
      </c>
      <c r="AE262" s="57" t="n">
        <v>0</v>
      </c>
      <c r="AF262" s="57" t="n">
        <v>0</v>
      </c>
      <c r="AG262" s="57" t="n">
        <v>0</v>
      </c>
      <c r="AH262" s="57" t="n">
        <v>0</v>
      </c>
    </row>
    <row r="263">
      <c r="A263" s="56" t="inlineStr">
        <is>
          <t>2026-06-17</t>
        </is>
      </c>
      <c r="B263" s="56" t="inlineStr">
        <is>
          <t>2863755</t>
        </is>
      </c>
      <c r="C263" s="56" t="inlineStr">
        <is>
          <t>DS.2026.2426 121 Centre Place</t>
        </is>
      </c>
      <c r="D263" s="56" t="inlineStr">
        <is>
          <t>DW</t>
        </is>
      </c>
      <c r="E263" s="56" t="inlineStr">
        <is>
          <t>(Unassigned)</t>
        </is>
      </c>
      <c r="F263" s="56" t="inlineStr">
        <is>
          <t>Flores Drywall and Remodeling LLC</t>
        </is>
      </c>
      <c r="G263" s="56" t="inlineStr">
        <is>
          <t>ACTIVE</t>
        </is>
      </c>
      <c r="H263" s="57" t="n">
        <v>5159.58</v>
      </c>
      <c r="I263" s="57" t="n">
        <v>0</v>
      </c>
      <c r="J263" s="57" t="n">
        <v>5159.58</v>
      </c>
      <c r="K263" s="57" t="n">
        <v>0</v>
      </c>
      <c r="L263" s="57" t="n">
        <v>0</v>
      </c>
      <c r="M263" s="57" t="n">
        <v>3802.57</v>
      </c>
      <c r="N263" s="58" t="n">
        <v>0</v>
      </c>
      <c r="O263" s="57" t="n">
        <v>0</v>
      </c>
      <c r="P263" s="57" t="n">
        <v>-5159.58</v>
      </c>
      <c r="Q263" s="57" t="n">
        <v>0</v>
      </c>
      <c r="R263" s="57" t="n">
        <v>5159.58</v>
      </c>
      <c r="S263" s="57" t="n">
        <v>0</v>
      </c>
      <c r="T263" s="57" t="n">
        <v>1357.01</v>
      </c>
      <c r="U263" s="58" t="n">
        <v>0.263</v>
      </c>
      <c r="V263" s="57" t="n">
        <v>5159.58</v>
      </c>
      <c r="W263" s="58" t="n">
        <v>1</v>
      </c>
      <c r="X263" s="58" t="n">
        <v>0</v>
      </c>
      <c r="Y263" s="58" t="n">
        <v>0</v>
      </c>
      <c r="Z263" s="57" t="n">
        <v>0</v>
      </c>
      <c r="AA263" s="57" t="n">
        <v>5159.58</v>
      </c>
      <c r="AB263" s="56" t="inlineStr">
        <is>
          <t>FALSE</t>
        </is>
      </c>
      <c r="AC263" s="56" t="inlineStr">
        <is>
          <t>FALSE</t>
        </is>
      </c>
      <c r="AD263" s="57" t="n">
        <v>3802.57</v>
      </c>
      <c r="AE263" s="57" t="n">
        <v>0</v>
      </c>
      <c r="AF263" s="57" t="n">
        <v>0</v>
      </c>
      <c r="AG263" s="57" t="n">
        <v>0</v>
      </c>
      <c r="AH263" s="57" t="n">
        <v>0</v>
      </c>
    </row>
    <row r="264">
      <c r="A264" s="56" t="inlineStr">
        <is>
          <t>2026-06-17</t>
        </is>
      </c>
      <c r="B264" s="56" t="inlineStr">
        <is>
          <t>2863752</t>
        </is>
      </c>
      <c r="C264" s="56" t="inlineStr">
        <is>
          <t>DS.2026.2425 14 Parks</t>
        </is>
      </c>
      <c r="D264" s="56" t="inlineStr">
        <is>
          <t>DW</t>
        </is>
      </c>
      <c r="E264" s="56" t="inlineStr">
        <is>
          <t>(Unassigned)</t>
        </is>
      </c>
      <c r="F264" s="56" t="inlineStr">
        <is>
          <t>Flores Drywall and Remodeling LLC</t>
        </is>
      </c>
      <c r="G264" s="56" t="inlineStr">
        <is>
          <t>ACTIVE</t>
        </is>
      </c>
      <c r="H264" s="57" t="n">
        <v>5159.58</v>
      </c>
      <c r="I264" s="57" t="n">
        <v>0</v>
      </c>
      <c r="J264" s="57" t="n">
        <v>5159.58</v>
      </c>
      <c r="K264" s="57" t="n">
        <v>0</v>
      </c>
      <c r="L264" s="57" t="n">
        <v>0</v>
      </c>
      <c r="M264" s="57" t="n">
        <v>3802.57</v>
      </c>
      <c r="N264" s="58" t="n">
        <v>0</v>
      </c>
      <c r="O264" s="57" t="n">
        <v>0</v>
      </c>
      <c r="P264" s="57" t="n">
        <v>-5159.58</v>
      </c>
      <c r="Q264" s="57" t="n">
        <v>0</v>
      </c>
      <c r="R264" s="57" t="n">
        <v>5159.58</v>
      </c>
      <c r="S264" s="57" t="n">
        <v>0</v>
      </c>
      <c r="T264" s="57" t="n">
        <v>1357.01</v>
      </c>
      <c r="U264" s="58" t="n">
        <v>0.263</v>
      </c>
      <c r="V264" s="57" t="n">
        <v>5159.58</v>
      </c>
      <c r="W264" s="58" t="n">
        <v>1</v>
      </c>
      <c r="X264" s="58" t="n">
        <v>0</v>
      </c>
      <c r="Y264" s="58" t="n">
        <v>0</v>
      </c>
      <c r="Z264" s="57" t="n">
        <v>0</v>
      </c>
      <c r="AA264" s="57" t="n">
        <v>5159.58</v>
      </c>
      <c r="AB264" s="56" t="inlineStr">
        <is>
          <t>FALSE</t>
        </is>
      </c>
      <c r="AC264" s="56" t="inlineStr">
        <is>
          <t>FALSE</t>
        </is>
      </c>
      <c r="AD264" s="57" t="n">
        <v>3802.57</v>
      </c>
      <c r="AE264" s="57" t="n">
        <v>0</v>
      </c>
      <c r="AF264" s="57" t="n">
        <v>0</v>
      </c>
      <c r="AG264" s="57" t="n">
        <v>0</v>
      </c>
      <c r="AH264" s="57" t="n">
        <v>0</v>
      </c>
    </row>
    <row r="265">
      <c r="A265" s="56" t="inlineStr">
        <is>
          <t>2026-06-17</t>
        </is>
      </c>
      <c r="B265" s="56" t="inlineStr">
        <is>
          <t>2863728</t>
        </is>
      </c>
      <c r="C265" s="56" t="inlineStr">
        <is>
          <t>DS.2026.2424 10566 Coppergate</t>
        </is>
      </c>
      <c r="D265" s="56" t="inlineStr">
        <is>
          <t>DW</t>
        </is>
      </c>
      <c r="E265" s="56" t="inlineStr">
        <is>
          <t>(Unassigned)</t>
        </is>
      </c>
      <c r="F265" s="56" t="inlineStr">
        <is>
          <t>Precision Dry Wall</t>
        </is>
      </c>
      <c r="G265" s="56" t="inlineStr">
        <is>
          <t>ACTIVE</t>
        </is>
      </c>
      <c r="H265" s="57" t="n">
        <v>3628.78</v>
      </c>
      <c r="I265" s="57" t="n">
        <v>0</v>
      </c>
      <c r="J265" s="57" t="n">
        <v>3628.78</v>
      </c>
      <c r="K265" s="57" t="n">
        <v>0</v>
      </c>
      <c r="L265" s="57" t="n">
        <v>0</v>
      </c>
      <c r="M265" s="57" t="n">
        <v>2212.54</v>
      </c>
      <c r="N265" s="58" t="n">
        <v>0</v>
      </c>
      <c r="O265" s="57" t="n">
        <v>0</v>
      </c>
      <c r="P265" s="57" t="n">
        <v>-3628.78</v>
      </c>
      <c r="Q265" s="57" t="n">
        <v>0</v>
      </c>
      <c r="R265" s="57" t="n">
        <v>3628.78</v>
      </c>
      <c r="S265" s="57" t="n">
        <v>0</v>
      </c>
      <c r="T265" s="57" t="n">
        <v>1416.24</v>
      </c>
      <c r="U265" s="58" t="n">
        <v>0.3903</v>
      </c>
      <c r="V265" s="57" t="n">
        <v>3628.78</v>
      </c>
      <c r="W265" s="58" t="n">
        <v>1</v>
      </c>
      <c r="X265" s="58" t="n">
        <v>0</v>
      </c>
      <c r="Y265" s="58" t="n">
        <v>0</v>
      </c>
      <c r="Z265" s="57" t="n">
        <v>0</v>
      </c>
      <c r="AA265" s="57" t="n">
        <v>3628.78</v>
      </c>
      <c r="AB265" s="56" t="inlineStr">
        <is>
          <t>FALSE</t>
        </is>
      </c>
      <c r="AC265" s="56" t="inlineStr">
        <is>
          <t>FALSE</t>
        </is>
      </c>
      <c r="AD265" s="57" t="n">
        <v>2212.54</v>
      </c>
      <c r="AE265" s="57" t="n">
        <v>0</v>
      </c>
      <c r="AF265" s="57" t="n">
        <v>0</v>
      </c>
      <c r="AG265" s="57" t="n">
        <v>0</v>
      </c>
      <c r="AH265" s="57" t="n">
        <v>0</v>
      </c>
    </row>
    <row r="266">
      <c r="A266" s="56" t="inlineStr">
        <is>
          <t>2026-06-17</t>
        </is>
      </c>
      <c r="B266" s="56" t="inlineStr">
        <is>
          <t>2863715</t>
        </is>
      </c>
      <c r="C266" s="56" t="inlineStr">
        <is>
          <t>DS.2026.2423 10816 McPherson St</t>
        </is>
      </c>
      <c r="D266" s="56" t="inlineStr">
        <is>
          <t>DW</t>
        </is>
      </c>
      <c r="E266" s="56" t="inlineStr">
        <is>
          <t>(Unassigned)</t>
        </is>
      </c>
      <c r="F266" s="56" t="inlineStr">
        <is>
          <t>Precision Dry Wall</t>
        </is>
      </c>
      <c r="G266" s="56" t="inlineStr">
        <is>
          <t>ACTIVE</t>
        </is>
      </c>
      <c r="H266" s="57" t="n">
        <v>2440.48</v>
      </c>
      <c r="I266" s="57" t="n">
        <v>0</v>
      </c>
      <c r="J266" s="57" t="n">
        <v>2440.48</v>
      </c>
      <c r="K266" s="57" t="n">
        <v>0</v>
      </c>
      <c r="L266" s="57" t="n">
        <v>0</v>
      </c>
      <c r="M266" s="57" t="n">
        <v>1410.6</v>
      </c>
      <c r="N266" s="58" t="n">
        <v>0</v>
      </c>
      <c r="O266" s="57" t="n">
        <v>0</v>
      </c>
      <c r="P266" s="57" t="n">
        <v>-2440.48</v>
      </c>
      <c r="Q266" s="57" t="n">
        <v>0</v>
      </c>
      <c r="R266" s="57" t="n">
        <v>2440.48</v>
      </c>
      <c r="S266" s="57" t="n">
        <v>0</v>
      </c>
      <c r="T266" s="57" t="n">
        <v>1029.88</v>
      </c>
      <c r="U266" s="58" t="n">
        <v>0.422</v>
      </c>
      <c r="V266" s="57" t="n">
        <v>2440.48</v>
      </c>
      <c r="W266" s="58" t="n">
        <v>1</v>
      </c>
      <c r="X266" s="58" t="n">
        <v>0</v>
      </c>
      <c r="Y266" s="58" t="n">
        <v>0</v>
      </c>
      <c r="Z266" s="57" t="n">
        <v>0</v>
      </c>
      <c r="AA266" s="57" t="n">
        <v>2440.48</v>
      </c>
      <c r="AB266" s="56" t="inlineStr">
        <is>
          <t>FALSE</t>
        </is>
      </c>
      <c r="AC266" s="56" t="inlineStr">
        <is>
          <t>FALSE</t>
        </is>
      </c>
      <c r="AD266" s="57" t="n">
        <v>1410.6</v>
      </c>
      <c r="AE266" s="57" t="n">
        <v>0</v>
      </c>
      <c r="AF266" s="57" t="n">
        <v>0</v>
      </c>
      <c r="AG266" s="57" t="n">
        <v>0</v>
      </c>
      <c r="AH266" s="57" t="n">
        <v>0</v>
      </c>
    </row>
    <row r="267">
      <c r="A267" s="56" t="inlineStr">
        <is>
          <t>2026-06-17</t>
        </is>
      </c>
      <c r="B267" s="56" t="inlineStr">
        <is>
          <t>2863703</t>
        </is>
      </c>
      <c r="C267" s="56" t="inlineStr">
        <is>
          <t>DS.2026.2422 10814 McPherson St</t>
        </is>
      </c>
      <c r="D267" s="56" t="inlineStr">
        <is>
          <t>DW</t>
        </is>
      </c>
      <c r="E267" s="56" t="inlineStr">
        <is>
          <t>(Unassigned)</t>
        </is>
      </c>
      <c r="F267" s="56" t="inlineStr">
        <is>
          <t>Precision Dry Wall</t>
        </is>
      </c>
      <c r="G267" s="56" t="inlineStr">
        <is>
          <t>ACTIVE</t>
        </is>
      </c>
      <c r="H267" s="57" t="n">
        <v>2440.48</v>
      </c>
      <c r="I267" s="57" t="n">
        <v>0</v>
      </c>
      <c r="J267" s="57" t="n">
        <v>2440.48</v>
      </c>
      <c r="K267" s="57" t="n">
        <v>0</v>
      </c>
      <c r="L267" s="57" t="n">
        <v>0</v>
      </c>
      <c r="M267" s="57" t="n">
        <v>1410.6</v>
      </c>
      <c r="N267" s="58" t="n">
        <v>0</v>
      </c>
      <c r="O267" s="57" t="n">
        <v>0</v>
      </c>
      <c r="P267" s="57" t="n">
        <v>-2440.48</v>
      </c>
      <c r="Q267" s="57" t="n">
        <v>0</v>
      </c>
      <c r="R267" s="57" t="n">
        <v>2440.48</v>
      </c>
      <c r="S267" s="57" t="n">
        <v>0</v>
      </c>
      <c r="T267" s="57" t="n">
        <v>1029.88</v>
      </c>
      <c r="U267" s="58" t="n">
        <v>0.422</v>
      </c>
      <c r="V267" s="57" t="n">
        <v>2440.48</v>
      </c>
      <c r="W267" s="58" t="n">
        <v>1</v>
      </c>
      <c r="X267" s="58" t="n">
        <v>0</v>
      </c>
      <c r="Y267" s="58" t="n">
        <v>0</v>
      </c>
      <c r="Z267" s="57" t="n">
        <v>0</v>
      </c>
      <c r="AA267" s="57" t="n">
        <v>2440.48</v>
      </c>
      <c r="AB267" s="56" t="inlineStr">
        <is>
          <t>FALSE</t>
        </is>
      </c>
      <c r="AC267" s="56" t="inlineStr">
        <is>
          <t>FALSE</t>
        </is>
      </c>
      <c r="AD267" s="57" t="n">
        <v>1410.6</v>
      </c>
      <c r="AE267" s="57" t="n">
        <v>0</v>
      </c>
      <c r="AF267" s="57" t="n">
        <v>0</v>
      </c>
      <c r="AG267" s="57" t="n">
        <v>0</v>
      </c>
      <c r="AH267" s="57" t="n">
        <v>0</v>
      </c>
    </row>
    <row r="268">
      <c r="A268" s="56" t="inlineStr">
        <is>
          <t>2026-06-17</t>
        </is>
      </c>
      <c r="B268" s="56" t="inlineStr">
        <is>
          <t>2863678</t>
        </is>
      </c>
      <c r="C268" s="56" t="inlineStr">
        <is>
          <t>DS.2026.2421 Flores Ohio Job</t>
        </is>
      </c>
      <c r="D268" s="56" t="inlineStr">
        <is>
          <t>DW</t>
        </is>
      </c>
      <c r="E268" s="56" t="inlineStr">
        <is>
          <t>(Unassigned)</t>
        </is>
      </c>
      <c r="F268" s="56" t="inlineStr">
        <is>
          <t>Flores Drywall and Remodeling LLC</t>
        </is>
      </c>
      <c r="G268" s="56" t="inlineStr">
        <is>
          <t>ACTIVE</t>
        </is>
      </c>
      <c r="H268" s="57" t="n">
        <v>8624.08</v>
      </c>
      <c r="I268" s="57" t="n">
        <v>0</v>
      </c>
      <c r="J268" s="57" t="n">
        <v>8624.08</v>
      </c>
      <c r="K268" s="57" t="n">
        <v>0</v>
      </c>
      <c r="L268" s="57" t="n">
        <v>0</v>
      </c>
      <c r="M268" s="57" t="n">
        <v>6153</v>
      </c>
      <c r="N268" s="58" t="n">
        <v>0</v>
      </c>
      <c r="O268" s="57" t="n">
        <v>0</v>
      </c>
      <c r="P268" s="57" t="n">
        <v>-8624.08</v>
      </c>
      <c r="Q268" s="57" t="n">
        <v>0</v>
      </c>
      <c r="R268" s="57" t="n">
        <v>8624.08</v>
      </c>
      <c r="S268" s="57" t="n">
        <v>0</v>
      </c>
      <c r="T268" s="57" t="n">
        <v>2471.08</v>
      </c>
      <c r="U268" s="58" t="n">
        <v>0.2865</v>
      </c>
      <c r="V268" s="57" t="n">
        <v>8624.08</v>
      </c>
      <c r="W268" s="58" t="n">
        <v>1</v>
      </c>
      <c r="X268" s="58" t="n">
        <v>0</v>
      </c>
      <c r="Y268" s="58" t="n">
        <v>0</v>
      </c>
      <c r="Z268" s="57" t="n">
        <v>0</v>
      </c>
      <c r="AA268" s="57" t="n">
        <v>8624.08</v>
      </c>
      <c r="AB268" s="56" t="inlineStr">
        <is>
          <t>FALSE</t>
        </is>
      </c>
      <c r="AC268" s="56" t="inlineStr">
        <is>
          <t>FALSE</t>
        </is>
      </c>
      <c r="AD268" s="57" t="n">
        <v>6153</v>
      </c>
      <c r="AE268" s="57" t="n">
        <v>0</v>
      </c>
      <c r="AF268" s="57" t="n">
        <v>0</v>
      </c>
      <c r="AG268" s="57" t="n">
        <v>0</v>
      </c>
      <c r="AH268" s="57" t="n">
        <v>0</v>
      </c>
    </row>
    <row r="269">
      <c r="A269" s="56" t="inlineStr">
        <is>
          <t>2026-06-17</t>
        </is>
      </c>
      <c r="B269" s="56" t="inlineStr">
        <is>
          <t>2852408</t>
        </is>
      </c>
      <c r="C269" s="56" t="inlineStr">
        <is>
          <t>DS.2026.2420 7508 Central Ave</t>
        </is>
      </c>
      <c r="D269" s="56" t="inlineStr">
        <is>
          <t>DW</t>
        </is>
      </c>
      <c r="E269" s="56" t="inlineStr">
        <is>
          <t>(Unassigned)</t>
        </is>
      </c>
      <c r="F269" s="56" t="inlineStr">
        <is>
          <t>Precision Dry Wall</t>
        </is>
      </c>
      <c r="G269" s="56" t="inlineStr">
        <is>
          <t>ACTIVE</t>
        </is>
      </c>
      <c r="H269" s="57" t="n">
        <v>4040.48</v>
      </c>
      <c r="I269" s="57" t="n">
        <v>0</v>
      </c>
      <c r="J269" s="57" t="n">
        <v>4040.48</v>
      </c>
      <c r="K269" s="57" t="n">
        <v>0</v>
      </c>
      <c r="L269" s="57" t="n">
        <v>0</v>
      </c>
      <c r="M269" s="57" t="n">
        <v>2427.56</v>
      </c>
      <c r="N269" s="58" t="n">
        <v>0</v>
      </c>
      <c r="O269" s="57" t="n">
        <v>0</v>
      </c>
      <c r="P269" s="57" t="n">
        <v>-4040.48</v>
      </c>
      <c r="Q269" s="57" t="n">
        <v>0</v>
      </c>
      <c r="R269" s="57" t="n">
        <v>4040.48</v>
      </c>
      <c r="S269" s="57" t="n">
        <v>0</v>
      </c>
      <c r="T269" s="57" t="n">
        <v>1612.92</v>
      </c>
      <c r="U269" s="58" t="n">
        <v>0.3992</v>
      </c>
      <c r="V269" s="57" t="n">
        <v>4040.48</v>
      </c>
      <c r="W269" s="58" t="n">
        <v>1</v>
      </c>
      <c r="X269" s="58" t="n">
        <v>0</v>
      </c>
      <c r="Y269" s="58" t="n">
        <v>0</v>
      </c>
      <c r="Z269" s="57" t="n">
        <v>0</v>
      </c>
      <c r="AA269" s="57" t="n">
        <v>4040.48</v>
      </c>
      <c r="AB269" s="56" t="inlineStr">
        <is>
          <t>FALSE</t>
        </is>
      </c>
      <c r="AC269" s="56" t="inlineStr">
        <is>
          <t>FALSE</t>
        </is>
      </c>
      <c r="AD269" s="57" t="n">
        <v>2427.56</v>
      </c>
      <c r="AE269" s="57" t="n">
        <v>0</v>
      </c>
      <c r="AF269" s="57" t="n">
        <v>0</v>
      </c>
      <c r="AG269" s="57" t="n">
        <v>0</v>
      </c>
      <c r="AH269" s="57" t="n">
        <v>0</v>
      </c>
    </row>
    <row r="270">
      <c r="A270" s="56" t="inlineStr">
        <is>
          <t>2026-06-17</t>
        </is>
      </c>
      <c r="B270" s="56" t="inlineStr">
        <is>
          <t>2852375</t>
        </is>
      </c>
      <c r="C270" s="56" t="inlineStr">
        <is>
          <t>DS.2026.2419 120 Centre Place</t>
        </is>
      </c>
      <c r="D270" s="56" t="inlineStr">
        <is>
          <t>DW</t>
        </is>
      </c>
      <c r="E270" s="56" t="inlineStr">
        <is>
          <t>(Unassigned)</t>
        </is>
      </c>
      <c r="F270" s="56" t="inlineStr">
        <is>
          <t>Flores Drywall and Remodeling LLC</t>
        </is>
      </c>
      <c r="G270" s="56" t="inlineStr">
        <is>
          <t>ACTIVE</t>
        </is>
      </c>
      <c r="H270" s="57" t="n">
        <v>3804.32</v>
      </c>
      <c r="I270" s="57" t="n">
        <v>0</v>
      </c>
      <c r="J270" s="57" t="n">
        <v>3804.32</v>
      </c>
      <c r="K270" s="57" t="n">
        <v>0</v>
      </c>
      <c r="L270" s="57" t="n">
        <v>0</v>
      </c>
      <c r="M270" s="57" t="n">
        <v>3804.32</v>
      </c>
      <c r="N270" s="58" t="n">
        <v>0</v>
      </c>
      <c r="O270" s="57" t="n">
        <v>0</v>
      </c>
      <c r="P270" s="57" t="n">
        <v>-3804.32</v>
      </c>
      <c r="Q270" s="57" t="n">
        <v>0</v>
      </c>
      <c r="R270" s="57" t="n">
        <v>3804.32</v>
      </c>
      <c r="S270" s="57" t="n">
        <v>0</v>
      </c>
      <c r="T270" s="57" t="n">
        <v>0</v>
      </c>
      <c r="U270" s="58" t="n">
        <v>0</v>
      </c>
      <c r="V270" s="57" t="n">
        <v>3804.32</v>
      </c>
      <c r="W270" s="58" t="n">
        <v>1</v>
      </c>
      <c r="X270" s="58" t="n">
        <v>0</v>
      </c>
      <c r="Y270" s="58" t="n">
        <v>0</v>
      </c>
      <c r="Z270" s="57" t="n">
        <v>0</v>
      </c>
      <c r="AA270" s="57" t="n">
        <v>3804.32</v>
      </c>
      <c r="AB270" s="56" t="inlineStr">
        <is>
          <t>FALSE</t>
        </is>
      </c>
      <c r="AC270" s="56" t="inlineStr">
        <is>
          <t>FALSE</t>
        </is>
      </c>
      <c r="AD270" s="57" t="n">
        <v>3804.32</v>
      </c>
      <c r="AE270" s="57" t="n">
        <v>0</v>
      </c>
      <c r="AF270" s="57" t="n">
        <v>0</v>
      </c>
      <c r="AG270" s="57" t="n">
        <v>0</v>
      </c>
      <c r="AH270" s="57" t="n">
        <v>0</v>
      </c>
    </row>
    <row r="271">
      <c r="A271" s="56" t="inlineStr">
        <is>
          <t>2026-06-17</t>
        </is>
      </c>
      <c r="B271" s="56" t="inlineStr">
        <is>
          <t>2844284</t>
        </is>
      </c>
      <c r="C271" s="56" t="inlineStr">
        <is>
          <t>DS.2026.2418 118 Centre Place</t>
        </is>
      </c>
      <c r="D271" s="56" t="inlineStr">
        <is>
          <t>DW</t>
        </is>
      </c>
      <c r="E271" s="56" t="inlineStr">
        <is>
          <t>(Unassigned)</t>
        </is>
      </c>
      <c r="F271" s="56" t="inlineStr">
        <is>
          <t>Flores Drywall and Remodeling LLC</t>
        </is>
      </c>
      <c r="G271" s="56" t="inlineStr">
        <is>
          <t>ACTIVE</t>
        </is>
      </c>
      <c r="H271" s="57" t="n">
        <v>5159.58</v>
      </c>
      <c r="I271" s="57" t="n">
        <v>0</v>
      </c>
      <c r="J271" s="57" t="n">
        <v>5159.58</v>
      </c>
      <c r="K271" s="57" t="n">
        <v>0</v>
      </c>
      <c r="L271" s="57" t="n">
        <v>0</v>
      </c>
      <c r="M271" s="57" t="n">
        <v>3802.57</v>
      </c>
      <c r="N271" s="58" t="n">
        <v>0</v>
      </c>
      <c r="O271" s="57" t="n">
        <v>0</v>
      </c>
      <c r="P271" s="57" t="n">
        <v>-5159.58</v>
      </c>
      <c r="Q271" s="57" t="n">
        <v>0</v>
      </c>
      <c r="R271" s="57" t="n">
        <v>5159.58</v>
      </c>
      <c r="S271" s="57" t="n">
        <v>0</v>
      </c>
      <c r="T271" s="57" t="n">
        <v>1357.01</v>
      </c>
      <c r="U271" s="58" t="n">
        <v>0.263</v>
      </c>
      <c r="V271" s="57" t="n">
        <v>5159.58</v>
      </c>
      <c r="W271" s="58" t="n">
        <v>1</v>
      </c>
      <c r="X271" s="58" t="n">
        <v>0</v>
      </c>
      <c r="Y271" s="58" t="n">
        <v>0</v>
      </c>
      <c r="Z271" s="57" t="n">
        <v>0</v>
      </c>
      <c r="AA271" s="57" t="n">
        <v>5159.58</v>
      </c>
      <c r="AB271" s="56" t="inlineStr">
        <is>
          <t>FALSE</t>
        </is>
      </c>
      <c r="AC271" s="56" t="inlineStr">
        <is>
          <t>FALSE</t>
        </is>
      </c>
      <c r="AD271" s="57" t="n">
        <v>3802.57</v>
      </c>
      <c r="AE271" s="57" t="n">
        <v>0</v>
      </c>
      <c r="AF271" s="57" t="n">
        <v>0</v>
      </c>
      <c r="AG271" s="57" t="n">
        <v>0</v>
      </c>
      <c r="AH271" s="57" t="n">
        <v>0</v>
      </c>
    </row>
    <row r="272">
      <c r="A272" s="56" t="inlineStr">
        <is>
          <t>2026-06-17</t>
        </is>
      </c>
      <c r="B272" s="56" t="inlineStr">
        <is>
          <t>2844272</t>
        </is>
      </c>
      <c r="C272" s="56" t="inlineStr">
        <is>
          <t>DS.2026.2417 117 Centre Place</t>
        </is>
      </c>
      <c r="D272" s="56" t="inlineStr">
        <is>
          <t>DW</t>
        </is>
      </c>
      <c r="E272" s="56" t="inlineStr">
        <is>
          <t>(Unassigned)</t>
        </is>
      </c>
      <c r="F272" s="56" t="inlineStr">
        <is>
          <t>Flores Drywall and Remodeling LLC</t>
        </is>
      </c>
      <c r="G272" s="56" t="inlineStr">
        <is>
          <t>ACTIVE</t>
        </is>
      </c>
      <c r="H272" s="57" t="n">
        <v>3804.32</v>
      </c>
      <c r="I272" s="57" t="n">
        <v>0</v>
      </c>
      <c r="J272" s="57" t="n">
        <v>3804.32</v>
      </c>
      <c r="K272" s="57" t="n">
        <v>0</v>
      </c>
      <c r="L272" s="57" t="n">
        <v>0</v>
      </c>
      <c r="M272" s="57" t="n">
        <v>2778.55</v>
      </c>
      <c r="N272" s="58" t="n">
        <v>0</v>
      </c>
      <c r="O272" s="57" t="n">
        <v>0</v>
      </c>
      <c r="P272" s="57" t="n">
        <v>-3804.32</v>
      </c>
      <c r="Q272" s="57" t="n">
        <v>0</v>
      </c>
      <c r="R272" s="57" t="n">
        <v>3804.32</v>
      </c>
      <c r="S272" s="57" t="n">
        <v>0</v>
      </c>
      <c r="T272" s="57" t="n">
        <v>1025.77</v>
      </c>
      <c r="U272" s="58" t="n">
        <v>0.2696</v>
      </c>
      <c r="V272" s="57" t="n">
        <v>3804.32</v>
      </c>
      <c r="W272" s="58" t="n">
        <v>1</v>
      </c>
      <c r="X272" s="58" t="n">
        <v>0</v>
      </c>
      <c r="Y272" s="58" t="n">
        <v>0</v>
      </c>
      <c r="Z272" s="57" t="n">
        <v>0</v>
      </c>
      <c r="AA272" s="57" t="n">
        <v>3804.32</v>
      </c>
      <c r="AB272" s="56" t="inlineStr">
        <is>
          <t>FALSE</t>
        </is>
      </c>
      <c r="AC272" s="56" t="inlineStr">
        <is>
          <t>FALSE</t>
        </is>
      </c>
      <c r="AD272" s="57" t="n">
        <v>2778.55</v>
      </c>
      <c r="AE272" s="57" t="n">
        <v>0</v>
      </c>
      <c r="AF272" s="57" t="n">
        <v>0</v>
      </c>
      <c r="AG272" s="57" t="n">
        <v>0</v>
      </c>
      <c r="AH272" s="57" t="n">
        <v>0</v>
      </c>
    </row>
    <row r="273">
      <c r="A273" s="56" t="inlineStr">
        <is>
          <t>2026-06-17</t>
        </is>
      </c>
      <c r="B273" s="56" t="inlineStr">
        <is>
          <t>2844253</t>
        </is>
      </c>
      <c r="C273" s="56" t="inlineStr">
        <is>
          <t>DS.2026.2416 52 Centre Place</t>
        </is>
      </c>
      <c r="D273" s="56" t="inlineStr">
        <is>
          <t>DW</t>
        </is>
      </c>
      <c r="E273" s="56" t="inlineStr">
        <is>
          <t>(Unassigned)</t>
        </is>
      </c>
      <c r="F273" s="56" t="inlineStr">
        <is>
          <t>Flores Drywall and Remodeling LLC</t>
        </is>
      </c>
      <c r="G273" s="56" t="inlineStr">
        <is>
          <t>ACTIVE</t>
        </is>
      </c>
      <c r="H273" s="57" t="n">
        <v>5159.58</v>
      </c>
      <c r="I273" s="57" t="n">
        <v>0</v>
      </c>
      <c r="J273" s="57" t="n">
        <v>5159.58</v>
      </c>
      <c r="K273" s="57" t="n">
        <v>0</v>
      </c>
      <c r="L273" s="57" t="n">
        <v>0</v>
      </c>
      <c r="M273" s="57" t="n">
        <v>3802.57</v>
      </c>
      <c r="N273" s="58" t="n">
        <v>0</v>
      </c>
      <c r="O273" s="57" t="n">
        <v>0</v>
      </c>
      <c r="P273" s="57" t="n">
        <v>-5159.58</v>
      </c>
      <c r="Q273" s="57" t="n">
        <v>0</v>
      </c>
      <c r="R273" s="57" t="n">
        <v>5159.58</v>
      </c>
      <c r="S273" s="57" t="n">
        <v>0</v>
      </c>
      <c r="T273" s="57" t="n">
        <v>1357.01</v>
      </c>
      <c r="U273" s="58" t="n">
        <v>0.263</v>
      </c>
      <c r="V273" s="57" t="n">
        <v>5159.58</v>
      </c>
      <c r="W273" s="58" t="n">
        <v>1</v>
      </c>
      <c r="X273" s="58" t="n">
        <v>0</v>
      </c>
      <c r="Y273" s="58" t="n">
        <v>0</v>
      </c>
      <c r="Z273" s="57" t="n">
        <v>0</v>
      </c>
      <c r="AA273" s="57" t="n">
        <v>5159.58</v>
      </c>
      <c r="AB273" s="56" t="inlineStr">
        <is>
          <t>FALSE</t>
        </is>
      </c>
      <c r="AC273" s="56" t="inlineStr">
        <is>
          <t>FALSE</t>
        </is>
      </c>
      <c r="AD273" s="57" t="n">
        <v>3802.57</v>
      </c>
      <c r="AE273" s="57" t="n">
        <v>0</v>
      </c>
      <c r="AF273" s="57" t="n">
        <v>0</v>
      </c>
      <c r="AG273" s="57" t="n">
        <v>0</v>
      </c>
      <c r="AH273" s="57" t="n">
        <v>0</v>
      </c>
    </row>
    <row r="274">
      <c r="A274" s="56" t="inlineStr">
        <is>
          <t>2026-06-17</t>
        </is>
      </c>
      <c r="B274" s="56" t="inlineStr">
        <is>
          <t>2844241</t>
        </is>
      </c>
      <c r="C274" s="56" t="inlineStr">
        <is>
          <t>DS.2026.2415 10826 McPherson St</t>
        </is>
      </c>
      <c r="D274" s="56" t="inlineStr">
        <is>
          <t>DW</t>
        </is>
      </c>
      <c r="E274" s="56" t="inlineStr">
        <is>
          <t>(Unassigned)</t>
        </is>
      </c>
      <c r="F274" s="56" t="inlineStr">
        <is>
          <t>Precision Dry Wall</t>
        </is>
      </c>
      <c r="G274" s="56" t="inlineStr">
        <is>
          <t>ACTIVE</t>
        </is>
      </c>
      <c r="H274" s="57" t="n">
        <v>2440.48</v>
      </c>
      <c r="I274" s="57" t="n">
        <v>0</v>
      </c>
      <c r="J274" s="57" t="n">
        <v>2440.48</v>
      </c>
      <c r="K274" s="57" t="n">
        <v>0</v>
      </c>
      <c r="L274" s="57" t="n">
        <v>0</v>
      </c>
      <c r="M274" s="57" t="n">
        <v>1410.6</v>
      </c>
      <c r="N274" s="58" t="n">
        <v>0</v>
      </c>
      <c r="O274" s="57" t="n">
        <v>0</v>
      </c>
      <c r="P274" s="57" t="n">
        <v>-2440.48</v>
      </c>
      <c r="Q274" s="57" t="n">
        <v>0</v>
      </c>
      <c r="R274" s="57" t="n">
        <v>2440.48</v>
      </c>
      <c r="S274" s="57" t="n">
        <v>0</v>
      </c>
      <c r="T274" s="57" t="n">
        <v>1029.88</v>
      </c>
      <c r="U274" s="58" t="n">
        <v>0.422</v>
      </c>
      <c r="V274" s="57" t="n">
        <v>2440.48</v>
      </c>
      <c r="W274" s="58" t="n">
        <v>1</v>
      </c>
      <c r="X274" s="58" t="n">
        <v>0</v>
      </c>
      <c r="Y274" s="58" t="n">
        <v>0</v>
      </c>
      <c r="Z274" s="57" t="n">
        <v>0</v>
      </c>
      <c r="AA274" s="57" t="n">
        <v>2440.48</v>
      </c>
      <c r="AB274" s="56" t="inlineStr">
        <is>
          <t>FALSE</t>
        </is>
      </c>
      <c r="AC274" s="56" t="inlineStr">
        <is>
          <t>FALSE</t>
        </is>
      </c>
      <c r="AD274" s="57" t="n">
        <v>1410.6</v>
      </c>
      <c r="AE274" s="57" t="n">
        <v>0</v>
      </c>
      <c r="AF274" s="57" t="n">
        <v>0</v>
      </c>
      <c r="AG274" s="57" t="n">
        <v>0</v>
      </c>
      <c r="AH274" s="57" t="n">
        <v>0</v>
      </c>
    </row>
    <row r="275">
      <c r="A275" s="56" t="inlineStr">
        <is>
          <t>2026-06-17</t>
        </is>
      </c>
      <c r="B275" s="56" t="inlineStr">
        <is>
          <t>2844222</t>
        </is>
      </c>
      <c r="C275" s="56" t="inlineStr">
        <is>
          <t>DS.2026.2414 10824 McPherson St</t>
        </is>
      </c>
      <c r="D275" s="56" t="inlineStr">
        <is>
          <t>DW</t>
        </is>
      </c>
      <c r="E275" s="56" t="inlineStr">
        <is>
          <t>(Unassigned)</t>
        </is>
      </c>
      <c r="F275" s="56" t="inlineStr">
        <is>
          <t>Precision Dry Wall</t>
        </is>
      </c>
      <c r="G275" s="56" t="inlineStr">
        <is>
          <t>ACTIVE</t>
        </is>
      </c>
      <c r="H275" s="57" t="n">
        <v>2440.48</v>
      </c>
      <c r="I275" s="57" t="n">
        <v>0</v>
      </c>
      <c r="J275" s="57" t="n">
        <v>2440.48</v>
      </c>
      <c r="K275" s="57" t="n">
        <v>0</v>
      </c>
      <c r="L275" s="57" t="n">
        <v>0</v>
      </c>
      <c r="M275" s="57" t="n">
        <v>1410.6</v>
      </c>
      <c r="N275" s="58" t="n">
        <v>0</v>
      </c>
      <c r="O275" s="57" t="n">
        <v>0</v>
      </c>
      <c r="P275" s="57" t="n">
        <v>-2440.48</v>
      </c>
      <c r="Q275" s="57" t="n">
        <v>0</v>
      </c>
      <c r="R275" s="57" t="n">
        <v>2440.48</v>
      </c>
      <c r="S275" s="57" t="n">
        <v>0</v>
      </c>
      <c r="T275" s="57" t="n">
        <v>1029.88</v>
      </c>
      <c r="U275" s="58" t="n">
        <v>0.422</v>
      </c>
      <c r="V275" s="57" t="n">
        <v>2440.48</v>
      </c>
      <c r="W275" s="58" t="n">
        <v>1</v>
      </c>
      <c r="X275" s="58" t="n">
        <v>0</v>
      </c>
      <c r="Y275" s="58" t="n">
        <v>0</v>
      </c>
      <c r="Z275" s="57" t="n">
        <v>0</v>
      </c>
      <c r="AA275" s="57" t="n">
        <v>2440.48</v>
      </c>
      <c r="AB275" s="56" t="inlineStr">
        <is>
          <t>FALSE</t>
        </is>
      </c>
      <c r="AC275" s="56" t="inlineStr">
        <is>
          <t>FALSE</t>
        </is>
      </c>
      <c r="AD275" s="57" t="n">
        <v>1410.6</v>
      </c>
      <c r="AE275" s="57" t="n">
        <v>0</v>
      </c>
      <c r="AF275" s="57" t="n">
        <v>0</v>
      </c>
      <c r="AG275" s="57" t="n">
        <v>0</v>
      </c>
      <c r="AH275" s="57" t="n">
        <v>0</v>
      </c>
    </row>
    <row r="276">
      <c r="A276" s="56" t="inlineStr">
        <is>
          <t>2026-06-17</t>
        </is>
      </c>
      <c r="B276" s="56" t="inlineStr">
        <is>
          <t>2834059</t>
        </is>
      </c>
      <c r="C276" s="56" t="inlineStr">
        <is>
          <t>DS.2026.2413 Precision Pickup 0501</t>
        </is>
      </c>
      <c r="D276" s="56" t="inlineStr">
        <is>
          <t>DW</t>
        </is>
      </c>
      <c r="E276" s="56" t="inlineStr">
        <is>
          <t>(Unassigned)</t>
        </is>
      </c>
      <c r="F276" s="56" t="inlineStr">
        <is>
          <t>Precision Dry Wall</t>
        </is>
      </c>
      <c r="G276" s="56" t="inlineStr">
        <is>
          <t>ACTIVE</t>
        </is>
      </c>
      <c r="H276" s="57" t="n">
        <v>1025.01</v>
      </c>
      <c r="I276" s="57" t="n">
        <v>0</v>
      </c>
      <c r="J276" s="57" t="n">
        <v>1025.01</v>
      </c>
      <c r="K276" s="57" t="n">
        <v>0</v>
      </c>
      <c r="L276" s="57" t="n">
        <v>0</v>
      </c>
      <c r="M276" s="57" t="n">
        <v>735.21</v>
      </c>
      <c r="N276" s="58" t="n">
        <v>0</v>
      </c>
      <c r="O276" s="57" t="n">
        <v>0</v>
      </c>
      <c r="P276" s="57" t="n">
        <v>-1025.01</v>
      </c>
      <c r="Q276" s="57" t="n">
        <v>0</v>
      </c>
      <c r="R276" s="57" t="n">
        <v>1025.01</v>
      </c>
      <c r="S276" s="57" t="n">
        <v>0</v>
      </c>
      <c r="T276" s="57" t="n">
        <v>289.8</v>
      </c>
      <c r="U276" s="58" t="n">
        <v>0.2827</v>
      </c>
      <c r="V276" s="57" t="n">
        <v>1025.01</v>
      </c>
      <c r="W276" s="58" t="n">
        <v>1</v>
      </c>
      <c r="X276" s="58" t="n">
        <v>0</v>
      </c>
      <c r="Y276" s="58" t="n">
        <v>0</v>
      </c>
      <c r="Z276" s="57" t="n">
        <v>0</v>
      </c>
      <c r="AA276" s="57" t="n">
        <v>1025.01</v>
      </c>
      <c r="AB276" s="56" t="inlineStr">
        <is>
          <t>FALSE</t>
        </is>
      </c>
      <c r="AC276" s="56" t="inlineStr">
        <is>
          <t>FALSE</t>
        </is>
      </c>
      <c r="AD276" s="57" t="n">
        <v>735.21</v>
      </c>
      <c r="AE276" s="57" t="n">
        <v>0</v>
      </c>
      <c r="AF276" s="57" t="n">
        <v>0</v>
      </c>
      <c r="AG276" s="57" t="n">
        <v>0</v>
      </c>
      <c r="AH276" s="57" t="n">
        <v>0</v>
      </c>
    </row>
    <row r="277">
      <c r="A277" s="56" t="inlineStr">
        <is>
          <t>2026-06-17</t>
        </is>
      </c>
      <c r="B277" s="56" t="inlineStr">
        <is>
          <t>2834016</t>
        </is>
      </c>
      <c r="C277" s="56" t="inlineStr">
        <is>
          <t>DS.2026.2412 10732 Heaven Cove Way</t>
        </is>
      </c>
      <c r="D277" s="56" t="inlineStr">
        <is>
          <t>DW</t>
        </is>
      </c>
      <c r="E277" s="56" t="inlineStr">
        <is>
          <t>(Unassigned)</t>
        </is>
      </c>
      <c r="F277" s="56" t="inlineStr">
        <is>
          <t>Precision Dry Wall</t>
        </is>
      </c>
      <c r="G277" s="56" t="inlineStr">
        <is>
          <t>ACTIVE</t>
        </is>
      </c>
      <c r="H277" s="57" t="n">
        <v>9353.41</v>
      </c>
      <c r="I277" s="57" t="n">
        <v>0</v>
      </c>
      <c r="J277" s="57" t="n">
        <v>9353.41</v>
      </c>
      <c r="K277" s="57" t="n">
        <v>0</v>
      </c>
      <c r="L277" s="57" t="n">
        <v>0</v>
      </c>
      <c r="M277" s="57" t="n">
        <v>6102.17</v>
      </c>
      <c r="N277" s="58" t="n">
        <v>0</v>
      </c>
      <c r="O277" s="57" t="n">
        <v>0</v>
      </c>
      <c r="P277" s="57" t="n">
        <v>-9353.41</v>
      </c>
      <c r="Q277" s="57" t="n">
        <v>0</v>
      </c>
      <c r="R277" s="57" t="n">
        <v>9353.41</v>
      </c>
      <c r="S277" s="57" t="n">
        <v>0</v>
      </c>
      <c r="T277" s="57" t="n">
        <v>3251.24</v>
      </c>
      <c r="U277" s="58" t="n">
        <v>0.3476</v>
      </c>
      <c r="V277" s="57" t="n">
        <v>9353.41</v>
      </c>
      <c r="W277" s="58" t="n">
        <v>1</v>
      </c>
      <c r="X277" s="58" t="n">
        <v>0</v>
      </c>
      <c r="Y277" s="58" t="n">
        <v>0</v>
      </c>
      <c r="Z277" s="57" t="n">
        <v>0</v>
      </c>
      <c r="AA277" s="57" t="n">
        <v>9353.41</v>
      </c>
      <c r="AB277" s="56" t="inlineStr">
        <is>
          <t>FALSE</t>
        </is>
      </c>
      <c r="AC277" s="56" t="inlineStr">
        <is>
          <t>FALSE</t>
        </is>
      </c>
      <c r="AD277" s="57" t="n">
        <v>6102.17</v>
      </c>
      <c r="AE277" s="57" t="n">
        <v>0</v>
      </c>
      <c r="AF277" s="57" t="n">
        <v>0</v>
      </c>
      <c r="AG277" s="57" t="n">
        <v>0</v>
      </c>
      <c r="AH277" s="57" t="n">
        <v>0</v>
      </c>
    </row>
    <row r="278">
      <c r="A278" s="56" t="inlineStr">
        <is>
          <t>2026-06-17</t>
        </is>
      </c>
      <c r="B278" s="56" t="inlineStr">
        <is>
          <t>2818141</t>
        </is>
      </c>
      <c r="C278" s="56" t="inlineStr">
        <is>
          <t>DS.2026.2411 Clark Remodel</t>
        </is>
      </c>
      <c r="D278" s="56" t="inlineStr">
        <is>
          <t>DW</t>
        </is>
      </c>
      <c r="E278" s="56" t="inlineStr">
        <is>
          <t>(Unassigned)</t>
        </is>
      </c>
      <c r="F278" s="56" t="inlineStr">
        <is>
          <t>Flores Drywall and Remodeling LLC</t>
        </is>
      </c>
      <c r="G278" s="56" t="inlineStr">
        <is>
          <t>ACTIVE</t>
        </is>
      </c>
      <c r="H278" s="57" t="n">
        <v>3518.56</v>
      </c>
      <c r="I278" s="57" t="n">
        <v>0</v>
      </c>
      <c r="J278" s="57" t="n">
        <v>3518.56</v>
      </c>
      <c r="K278" s="57" t="n">
        <v>3764.86</v>
      </c>
      <c r="L278" s="57" t="n">
        <v>0</v>
      </c>
      <c r="M278" s="57" t="n">
        <v>2632.94</v>
      </c>
      <c r="N278" s="58" t="n">
        <v>0</v>
      </c>
      <c r="O278" s="57" t="n">
        <v>0</v>
      </c>
      <c r="P278" s="57" t="n">
        <v>-3518.56</v>
      </c>
      <c r="Q278" s="57" t="n">
        <v>0</v>
      </c>
      <c r="R278" s="57" t="n">
        <v>3518.56</v>
      </c>
      <c r="S278" s="57" t="n">
        <v>0</v>
      </c>
      <c r="T278" s="57" t="n">
        <v>885.62</v>
      </c>
      <c r="U278" s="58" t="n">
        <v>0.2517</v>
      </c>
      <c r="V278" s="57" t="n">
        <v>3518.56</v>
      </c>
      <c r="W278" s="58" t="n">
        <v>1</v>
      </c>
      <c r="X278" s="58" t="n">
        <v>0</v>
      </c>
      <c r="Y278" s="58" t="n">
        <v>0</v>
      </c>
      <c r="Z278" s="57" t="n">
        <v>0</v>
      </c>
      <c r="AA278" s="57" t="n">
        <v>-246.3</v>
      </c>
      <c r="AB278" s="56" t="inlineStr">
        <is>
          <t>FALSE</t>
        </is>
      </c>
      <c r="AC278" s="56" t="inlineStr">
        <is>
          <t>FALSE</t>
        </is>
      </c>
      <c r="AD278" s="57" t="n">
        <v>2632.94</v>
      </c>
      <c r="AE278" s="57" t="n">
        <v>0</v>
      </c>
      <c r="AF278" s="57" t="n">
        <v>0</v>
      </c>
      <c r="AG278" s="57" t="n">
        <v>0</v>
      </c>
      <c r="AH278" s="57" t="n">
        <v>0</v>
      </c>
    </row>
    <row r="279">
      <c r="A279" s="56" t="inlineStr">
        <is>
          <t>2026-06-17</t>
        </is>
      </c>
      <c r="B279" s="56" t="inlineStr">
        <is>
          <t>2803284</t>
        </is>
      </c>
      <c r="C279" s="56" t="inlineStr">
        <is>
          <t>2026.1053 Lot 32 Vacant TI</t>
        </is>
      </c>
      <c r="D279" s="56" t="inlineStr">
        <is>
          <t>TI</t>
        </is>
      </c>
      <c r="E279" s="56" t="inlineStr">
        <is>
          <t>Spencer Anderson</t>
        </is>
      </c>
      <c r="F279" s="56" t="inlineStr">
        <is>
          <t>Holladay Construction Group</t>
        </is>
      </c>
      <c r="G279" s="56" t="inlineStr">
        <is>
          <t>ACTIVE</t>
        </is>
      </c>
      <c r="H279" s="57" t="n">
        <v>126210</v>
      </c>
      <c r="I279" s="57" t="n">
        <v>0</v>
      </c>
      <c r="J279" s="57" t="n">
        <v>0</v>
      </c>
      <c r="K279" s="57" t="n">
        <v>0</v>
      </c>
      <c r="L279" s="57" t="n">
        <v>68244</v>
      </c>
      <c r="M279" s="57" t="n">
        <v>24185.09</v>
      </c>
      <c r="N279" s="58" t="n">
        <v>0.3544</v>
      </c>
      <c r="O279" s="57" t="n">
        <v>44728.82</v>
      </c>
      <c r="P279" s="57" t="n">
        <v>44728.82</v>
      </c>
      <c r="Q279" s="57" t="n">
        <v>44727.74</v>
      </c>
      <c r="R279" s="57" t="n">
        <v>0</v>
      </c>
      <c r="S279" s="57" t="n">
        <v>44728.82</v>
      </c>
      <c r="T279" s="57" t="n">
        <v>-24185.09</v>
      </c>
      <c r="U279" s="58" t="n">
        <v>0</v>
      </c>
      <c r="V279" s="57" t="n">
        <v>57966</v>
      </c>
      <c r="W279" s="58" t="n">
        <v>0.4593</v>
      </c>
      <c r="X279" s="58" t="n">
        <v>0.4593</v>
      </c>
      <c r="Y279" s="58" t="n">
        <v>0.4593</v>
      </c>
      <c r="Z279" s="57" t="n">
        <v>0</v>
      </c>
      <c r="AA279" s="57" t="n">
        <v>0</v>
      </c>
      <c r="AB279" s="56" t="inlineStr">
        <is>
          <t>TRUE</t>
        </is>
      </c>
      <c r="AC279" s="56" t="inlineStr">
        <is>
          <t>TRUE</t>
        </is>
      </c>
      <c r="AD279" s="57" t="n">
        <v>15363.93</v>
      </c>
      <c r="AE279" s="57" t="n">
        <v>8446.16</v>
      </c>
      <c r="AF279" s="57" t="n">
        <v>375</v>
      </c>
      <c r="AG279" s="57" t="n">
        <v>0</v>
      </c>
      <c r="AH279" s="57" t="n">
        <v>0</v>
      </c>
    </row>
    <row r="280">
      <c r="A280" s="56" t="inlineStr">
        <is>
          <t>2026-06-17</t>
        </is>
      </c>
      <c r="B280" s="56" t="inlineStr">
        <is>
          <t>2796562</t>
        </is>
      </c>
      <c r="C280" s="56" t="inlineStr">
        <is>
          <t>DS.2026.2410 Courtyards of Russell Oaks 113</t>
        </is>
      </c>
      <c r="D280" s="56" t="inlineStr">
        <is>
          <t>DW</t>
        </is>
      </c>
      <c r="E280" s="56" t="inlineStr">
        <is>
          <t>(Unassigned)</t>
        </is>
      </c>
      <c r="F280" s="56" t="inlineStr">
        <is>
          <t>Big Dawg Drywall</t>
        </is>
      </c>
      <c r="G280" s="56" t="inlineStr">
        <is>
          <t>ACTIVE</t>
        </is>
      </c>
      <c r="H280" s="57" t="n">
        <v>7088.8</v>
      </c>
      <c r="I280" s="57" t="n">
        <v>0</v>
      </c>
      <c r="J280" s="57" t="n">
        <v>7088.8</v>
      </c>
      <c r="K280" s="57" t="n">
        <v>7585.02</v>
      </c>
      <c r="L280" s="57" t="n">
        <v>0</v>
      </c>
      <c r="M280" s="57" t="n">
        <v>5604.04</v>
      </c>
      <c r="N280" s="58" t="n">
        <v>0</v>
      </c>
      <c r="O280" s="57" t="n">
        <v>0</v>
      </c>
      <c r="P280" s="57" t="n">
        <v>-7088.8</v>
      </c>
      <c r="Q280" s="57" t="n">
        <v>0</v>
      </c>
      <c r="R280" s="57" t="n">
        <v>7088.8</v>
      </c>
      <c r="S280" s="57" t="n">
        <v>0</v>
      </c>
      <c r="T280" s="57" t="n">
        <v>1484.76</v>
      </c>
      <c r="U280" s="58" t="n">
        <v>0.2095</v>
      </c>
      <c r="V280" s="57" t="n">
        <v>7088.8</v>
      </c>
      <c r="W280" s="58" t="n">
        <v>1</v>
      </c>
      <c r="X280" s="58" t="n">
        <v>0</v>
      </c>
      <c r="Y280" s="58" t="n">
        <v>0</v>
      </c>
      <c r="Z280" s="57" t="n">
        <v>0</v>
      </c>
      <c r="AA280" s="57" t="n">
        <v>-496.22</v>
      </c>
      <c r="AB280" s="56" t="inlineStr">
        <is>
          <t>FALSE</t>
        </is>
      </c>
      <c r="AC280" s="56" t="inlineStr">
        <is>
          <t>FALSE</t>
        </is>
      </c>
      <c r="AD280" s="57" t="n">
        <v>5604.04</v>
      </c>
      <c r="AE280" s="57" t="n">
        <v>0</v>
      </c>
      <c r="AF280" s="57" t="n">
        <v>0</v>
      </c>
      <c r="AG280" s="57" t="n">
        <v>0</v>
      </c>
      <c r="AH280" s="57" t="n">
        <v>0</v>
      </c>
    </row>
    <row r="281">
      <c r="A281" s="56" t="inlineStr">
        <is>
          <t>2026-06-17</t>
        </is>
      </c>
      <c r="B281" s="56" t="inlineStr">
        <is>
          <t>2796526</t>
        </is>
      </c>
      <c r="C281" s="56" t="inlineStr">
        <is>
          <t>DS.2026.2409 Precision Pickup 0410</t>
        </is>
      </c>
      <c r="D281" s="56" t="inlineStr">
        <is>
          <t>DW</t>
        </is>
      </c>
      <c r="E281" s="56" t="inlineStr">
        <is>
          <t>(Unassigned)</t>
        </is>
      </c>
      <c r="F281" s="56" t="inlineStr">
        <is>
          <t>Precision Dry Wall</t>
        </is>
      </c>
      <c r="G281" s="56" t="inlineStr">
        <is>
          <t>ACTIVE</t>
        </is>
      </c>
      <c r="H281" s="57" t="n">
        <v>100.8</v>
      </c>
      <c r="I281" s="57" t="n">
        <v>0</v>
      </c>
      <c r="J281" s="57" t="n">
        <v>100.8</v>
      </c>
      <c r="K281" s="57" t="n">
        <v>107.86</v>
      </c>
      <c r="L281" s="57" t="n">
        <v>0</v>
      </c>
      <c r="M281" s="57" t="n">
        <v>94.08</v>
      </c>
      <c r="N281" s="58" t="n">
        <v>0</v>
      </c>
      <c r="O281" s="57" t="n">
        <v>0</v>
      </c>
      <c r="P281" s="57" t="n">
        <v>-100.8</v>
      </c>
      <c r="Q281" s="57" t="n">
        <v>0</v>
      </c>
      <c r="R281" s="57" t="n">
        <v>100.8</v>
      </c>
      <c r="S281" s="57" t="n">
        <v>0</v>
      </c>
      <c r="T281" s="57" t="n">
        <v>6.72</v>
      </c>
      <c r="U281" s="58" t="n">
        <v>0.0667</v>
      </c>
      <c r="V281" s="57" t="n">
        <v>100.8</v>
      </c>
      <c r="W281" s="58" t="n">
        <v>1</v>
      </c>
      <c r="X281" s="58" t="n">
        <v>0</v>
      </c>
      <c r="Y281" s="58" t="n">
        <v>0</v>
      </c>
      <c r="Z281" s="57" t="n">
        <v>0</v>
      </c>
      <c r="AA281" s="57" t="n">
        <v>-7.06</v>
      </c>
      <c r="AB281" s="56" t="inlineStr">
        <is>
          <t>FALSE</t>
        </is>
      </c>
      <c r="AC281" s="56" t="inlineStr">
        <is>
          <t>FALSE</t>
        </is>
      </c>
      <c r="AD281" s="57" t="n">
        <v>94.08</v>
      </c>
      <c r="AE281" s="57" t="n">
        <v>0</v>
      </c>
      <c r="AF281" s="57" t="n">
        <v>0</v>
      </c>
      <c r="AG281" s="57" t="n">
        <v>0</v>
      </c>
      <c r="AH281" s="57" t="n">
        <v>0</v>
      </c>
    </row>
    <row r="282">
      <c r="A282" s="56" t="inlineStr">
        <is>
          <t>2026-06-17</t>
        </is>
      </c>
      <c r="B282" s="56" t="inlineStr">
        <is>
          <t>2782708</t>
        </is>
      </c>
      <c r="C282" s="56" t="inlineStr">
        <is>
          <t>DS.2026.2408 Courtyards of Westfield 107</t>
        </is>
      </c>
      <c r="D282" s="56" t="inlineStr">
        <is>
          <t>DW</t>
        </is>
      </c>
      <c r="E282" s="56" t="inlineStr">
        <is>
          <t>(Unassigned)</t>
        </is>
      </c>
      <c r="F282" s="56" t="inlineStr">
        <is>
          <t>Big Dawg Drywall</t>
        </is>
      </c>
      <c r="G282" s="56" t="inlineStr">
        <is>
          <t>ACTIVE</t>
        </is>
      </c>
      <c r="H282" s="57" t="n">
        <v>6501.79</v>
      </c>
      <c r="I282" s="57" t="n">
        <v>0</v>
      </c>
      <c r="J282" s="57" t="n">
        <v>6501.79</v>
      </c>
      <c r="K282" s="57" t="n">
        <v>6956.92</v>
      </c>
      <c r="L282" s="57" t="n">
        <v>0</v>
      </c>
      <c r="M282" s="57" t="n">
        <v>4825.36</v>
      </c>
      <c r="N282" s="58" t="n">
        <v>0</v>
      </c>
      <c r="O282" s="57" t="n">
        <v>0</v>
      </c>
      <c r="P282" s="57" t="n">
        <v>-6501.79</v>
      </c>
      <c r="Q282" s="57" t="n">
        <v>0</v>
      </c>
      <c r="R282" s="57" t="n">
        <v>6501.79</v>
      </c>
      <c r="S282" s="57" t="n">
        <v>0</v>
      </c>
      <c r="T282" s="57" t="n">
        <v>1676.43</v>
      </c>
      <c r="U282" s="58" t="n">
        <v>0.2578</v>
      </c>
      <c r="V282" s="57" t="n">
        <v>6501.79</v>
      </c>
      <c r="W282" s="58" t="n">
        <v>1</v>
      </c>
      <c r="X282" s="58" t="n">
        <v>0</v>
      </c>
      <c r="Y282" s="58" t="n">
        <v>0</v>
      </c>
      <c r="Z282" s="57" t="n">
        <v>0</v>
      </c>
      <c r="AA282" s="57" t="n">
        <v>-455.13</v>
      </c>
      <c r="AB282" s="56" t="inlineStr">
        <is>
          <t>FALSE</t>
        </is>
      </c>
      <c r="AC282" s="56" t="inlineStr">
        <is>
          <t>FALSE</t>
        </is>
      </c>
      <c r="AD282" s="57" t="n">
        <v>4825.36</v>
      </c>
      <c r="AE282" s="57" t="n">
        <v>0</v>
      </c>
      <c r="AF282" s="57" t="n">
        <v>0</v>
      </c>
      <c r="AG282" s="57" t="n">
        <v>0</v>
      </c>
      <c r="AH282" s="57" t="n">
        <v>0</v>
      </c>
    </row>
    <row r="283">
      <c r="A283" s="56" t="inlineStr">
        <is>
          <t>2026-06-17</t>
        </is>
      </c>
      <c r="B283" s="56" t="inlineStr">
        <is>
          <t>2782668</t>
        </is>
      </c>
      <c r="C283" s="56" t="inlineStr">
        <is>
          <t>DS.2026.2407 Courtyards of Russel Oaks 126</t>
        </is>
      </c>
      <c r="D283" s="56" t="inlineStr">
        <is>
          <t>DW</t>
        </is>
      </c>
      <c r="E283" s="56" t="inlineStr">
        <is>
          <t>(Unassigned)</t>
        </is>
      </c>
      <c r="F283" s="56" t="inlineStr">
        <is>
          <t>Big Dawg Drywall</t>
        </is>
      </c>
      <c r="G283" s="56" t="inlineStr">
        <is>
          <t>ACTIVE</t>
        </is>
      </c>
      <c r="H283" s="57" t="n">
        <v>5540.58</v>
      </c>
      <c r="I283" s="57" t="n">
        <v>0</v>
      </c>
      <c r="J283" s="57" t="n">
        <v>5540.58</v>
      </c>
      <c r="K283" s="57" t="n">
        <v>0</v>
      </c>
      <c r="L283" s="57" t="n">
        <v>0</v>
      </c>
      <c r="M283" s="57" t="n">
        <v>4142.66</v>
      </c>
      <c r="N283" s="58" t="n">
        <v>0</v>
      </c>
      <c r="O283" s="57" t="n">
        <v>0</v>
      </c>
      <c r="P283" s="57" t="n">
        <v>-5540.58</v>
      </c>
      <c r="Q283" s="57" t="n">
        <v>0</v>
      </c>
      <c r="R283" s="57" t="n">
        <v>5540.58</v>
      </c>
      <c r="S283" s="57" t="n">
        <v>0</v>
      </c>
      <c r="T283" s="57" t="n">
        <v>1397.92</v>
      </c>
      <c r="U283" s="58" t="n">
        <v>0.2523</v>
      </c>
      <c r="V283" s="57" t="n">
        <v>5540.58</v>
      </c>
      <c r="W283" s="58" t="n">
        <v>1</v>
      </c>
      <c r="X283" s="58" t="n">
        <v>0</v>
      </c>
      <c r="Y283" s="58" t="n">
        <v>0</v>
      </c>
      <c r="Z283" s="57" t="n">
        <v>0</v>
      </c>
      <c r="AA283" s="57" t="n">
        <v>5540.58</v>
      </c>
      <c r="AB283" s="56" t="inlineStr">
        <is>
          <t>FALSE</t>
        </is>
      </c>
      <c r="AC283" s="56" t="inlineStr">
        <is>
          <t>FALSE</t>
        </is>
      </c>
      <c r="AD283" s="57" t="n">
        <v>4142.66</v>
      </c>
      <c r="AE283" s="57" t="n">
        <v>0</v>
      </c>
      <c r="AF283" s="57" t="n">
        <v>0</v>
      </c>
      <c r="AG283" s="57" t="n">
        <v>0</v>
      </c>
      <c r="AH283" s="57" t="n">
        <v>0</v>
      </c>
    </row>
    <row r="284">
      <c r="A284" s="56" t="inlineStr">
        <is>
          <t>2026-06-17</t>
        </is>
      </c>
      <c r="B284" s="56" t="inlineStr">
        <is>
          <t>2763556</t>
        </is>
      </c>
      <c r="C284" s="56" t="inlineStr">
        <is>
          <t>DS.2026.2406 Premier Custom Homes Quote</t>
        </is>
      </c>
      <c r="D284" s="56" t="inlineStr">
        <is>
          <t>UN</t>
        </is>
      </c>
      <c r="E284" s="56" t="inlineStr">
        <is>
          <t>(Unassigned)</t>
        </is>
      </c>
      <c r="F284" s="56" t="inlineStr">
        <is>
          <t>Premier Custom Homes</t>
        </is>
      </c>
      <c r="G284" s="56" t="inlineStr">
        <is>
          <t>ACTIVE</t>
        </is>
      </c>
      <c r="H284" s="57" t="n">
        <v>16133.4</v>
      </c>
      <c r="I284" s="57" t="n">
        <v>0</v>
      </c>
      <c r="J284" s="57" t="n">
        <v>16133.4</v>
      </c>
      <c r="K284" s="57" t="n">
        <v>17262.74</v>
      </c>
      <c r="L284" s="57" t="n">
        <v>0</v>
      </c>
      <c r="M284" s="57" t="n">
        <v>13255.7</v>
      </c>
      <c r="N284" s="58" t="n">
        <v>0</v>
      </c>
      <c r="O284" s="57" t="n">
        <v>0</v>
      </c>
      <c r="P284" s="57" t="n">
        <v>-16133.4</v>
      </c>
      <c r="Q284" s="57" t="n">
        <v>0</v>
      </c>
      <c r="R284" s="57" t="n">
        <v>16133.4</v>
      </c>
      <c r="S284" s="57" t="n">
        <v>0</v>
      </c>
      <c r="T284" s="57" t="n">
        <v>2877.7</v>
      </c>
      <c r="U284" s="58" t="n">
        <v>0.1784</v>
      </c>
      <c r="V284" s="57" t="n">
        <v>16133.4</v>
      </c>
      <c r="W284" s="58" t="n">
        <v>1</v>
      </c>
      <c r="X284" s="58" t="n">
        <v>0</v>
      </c>
      <c r="Y284" s="58" t="n">
        <v>0</v>
      </c>
      <c r="Z284" s="57" t="n">
        <v>0</v>
      </c>
      <c r="AA284" s="57" t="n">
        <v>-1129.34</v>
      </c>
      <c r="AB284" s="56" t="inlineStr">
        <is>
          <t>FALSE</t>
        </is>
      </c>
      <c r="AC284" s="56" t="inlineStr">
        <is>
          <t>FALSE</t>
        </is>
      </c>
      <c r="AD284" s="57" t="n">
        <v>13255.7</v>
      </c>
      <c r="AE284" s="57" t="n">
        <v>0</v>
      </c>
      <c r="AF284" s="57" t="n">
        <v>0</v>
      </c>
      <c r="AG284" s="57" t="n">
        <v>0</v>
      </c>
      <c r="AH284" s="57" t="n">
        <v>0</v>
      </c>
    </row>
    <row r="285">
      <c r="A285" s="56" t="inlineStr">
        <is>
          <t>2026-06-17</t>
        </is>
      </c>
      <c r="B285" s="56" t="inlineStr">
        <is>
          <t>2762554</t>
        </is>
      </c>
      <c r="C285" s="56" t="inlineStr">
        <is>
          <t>DS.2026.2405 21569 Anchor Bay Drive</t>
        </is>
      </c>
      <c r="D285" s="56" t="inlineStr">
        <is>
          <t>DW</t>
        </is>
      </c>
      <c r="E285" s="56" t="inlineStr">
        <is>
          <t>(Unassigned)</t>
        </is>
      </c>
      <c r="F285" s="56" t="inlineStr">
        <is>
          <t>Precision Dry Wall</t>
        </is>
      </c>
      <c r="G285" s="56" t="inlineStr">
        <is>
          <t>ACTIVE</t>
        </is>
      </c>
      <c r="H285" s="57" t="n">
        <v>6573.38</v>
      </c>
      <c r="I285" s="57" t="n">
        <v>0</v>
      </c>
      <c r="J285" s="57" t="n">
        <v>6573.38</v>
      </c>
      <c r="K285" s="57" t="n">
        <v>7033.52</v>
      </c>
      <c r="L285" s="57" t="n">
        <v>0</v>
      </c>
      <c r="M285" s="57" t="n">
        <v>4396.3</v>
      </c>
      <c r="N285" s="58" t="n">
        <v>0</v>
      </c>
      <c r="O285" s="57" t="n">
        <v>0</v>
      </c>
      <c r="P285" s="57" t="n">
        <v>-6573.38</v>
      </c>
      <c r="Q285" s="57" t="n">
        <v>0</v>
      </c>
      <c r="R285" s="57" t="n">
        <v>6573.38</v>
      </c>
      <c r="S285" s="57" t="n">
        <v>0</v>
      </c>
      <c r="T285" s="57" t="n">
        <v>2177.08</v>
      </c>
      <c r="U285" s="58" t="n">
        <v>0.3312</v>
      </c>
      <c r="V285" s="57" t="n">
        <v>6573.38</v>
      </c>
      <c r="W285" s="58" t="n">
        <v>1</v>
      </c>
      <c r="X285" s="58" t="n">
        <v>0</v>
      </c>
      <c r="Y285" s="58" t="n">
        <v>0</v>
      </c>
      <c r="Z285" s="57" t="n">
        <v>0</v>
      </c>
      <c r="AA285" s="57" t="n">
        <v>-460.14</v>
      </c>
      <c r="AB285" s="56" t="inlineStr">
        <is>
          <t>FALSE</t>
        </is>
      </c>
      <c r="AC285" s="56" t="inlineStr">
        <is>
          <t>FALSE</t>
        </is>
      </c>
      <c r="AD285" s="57" t="n">
        <v>4396.3</v>
      </c>
      <c r="AE285" s="57" t="n">
        <v>0</v>
      </c>
      <c r="AF285" s="57" t="n">
        <v>0</v>
      </c>
      <c r="AG285" s="57" t="n">
        <v>0</v>
      </c>
      <c r="AH285" s="57" t="n">
        <v>0</v>
      </c>
    </row>
    <row r="286">
      <c r="A286" s="56" t="inlineStr">
        <is>
          <t>2026-06-17</t>
        </is>
      </c>
      <c r="B286" s="56" t="inlineStr">
        <is>
          <t>2761732</t>
        </is>
      </c>
      <c r="C286" s="56" t="inlineStr">
        <is>
          <t>2026.1051 Park 130 Building 8</t>
        </is>
      </c>
      <c r="D286" s="56" t="inlineStr">
        <is>
          <t>TI</t>
        </is>
      </c>
      <c r="E286" s="56" t="inlineStr">
        <is>
          <t>Spencer Anderson</t>
        </is>
      </c>
      <c r="F286" s="56" t="inlineStr">
        <is>
          <t>The Peterson Company, LLC</t>
        </is>
      </c>
      <c r="G286" s="56" t="inlineStr">
        <is>
          <t>ACTIVE</t>
        </is>
      </c>
      <c r="H286" s="57" t="n">
        <v>294700</v>
      </c>
      <c r="I286" s="57" t="n">
        <v>0</v>
      </c>
      <c r="J286" s="57" t="n">
        <v>0</v>
      </c>
      <c r="K286" s="57" t="n">
        <v>0</v>
      </c>
      <c r="L286" s="57" t="n">
        <v>165074.41</v>
      </c>
      <c r="M286" s="57" t="n">
        <v>36401.41</v>
      </c>
      <c r="N286" s="58" t="n">
        <v>0.2205</v>
      </c>
      <c r="O286" s="57" t="n">
        <v>64981.35</v>
      </c>
      <c r="P286" s="57" t="n">
        <v>64981.35</v>
      </c>
      <c r="Q286" s="57" t="n">
        <v>64985.82</v>
      </c>
      <c r="R286" s="57" t="n">
        <v>0</v>
      </c>
      <c r="S286" s="57" t="n">
        <v>64981.35</v>
      </c>
      <c r="T286" s="57" t="n">
        <v>-36401.41</v>
      </c>
      <c r="U286" s="58" t="n">
        <v>0</v>
      </c>
      <c r="V286" s="57" t="n">
        <v>129625.59</v>
      </c>
      <c r="W286" s="58" t="n">
        <v>0.4399</v>
      </c>
      <c r="X286" s="58" t="n">
        <v>0.4399</v>
      </c>
      <c r="Y286" s="58" t="n">
        <v>0.4399</v>
      </c>
      <c r="Z286" s="57" t="n">
        <v>0</v>
      </c>
      <c r="AA286" s="57" t="n">
        <v>0</v>
      </c>
      <c r="AB286" s="56" t="inlineStr">
        <is>
          <t>TRUE</t>
        </is>
      </c>
      <c r="AC286" s="56" t="inlineStr">
        <is>
          <t>TRUE</t>
        </is>
      </c>
      <c r="AD286" s="57" t="n">
        <v>36401.41</v>
      </c>
      <c r="AE286" s="57" t="n">
        <v>0</v>
      </c>
      <c r="AF286" s="57" t="n">
        <v>0</v>
      </c>
      <c r="AG286" s="57" t="n">
        <v>0</v>
      </c>
      <c r="AH286" s="57" t="n">
        <v>0</v>
      </c>
    </row>
    <row r="287">
      <c r="A287" s="56" t="inlineStr">
        <is>
          <t>2026-06-17</t>
        </is>
      </c>
      <c r="B287" s="56" t="inlineStr">
        <is>
          <t>2759560</t>
        </is>
      </c>
      <c r="C287" s="56" t="inlineStr">
        <is>
          <t>DS.2026.2404 Flores Sandhu Res</t>
        </is>
      </c>
      <c r="D287" s="56" t="inlineStr">
        <is>
          <t>DW</t>
        </is>
      </c>
      <c r="E287" s="56" t="inlineStr">
        <is>
          <t>(Unassigned)</t>
        </is>
      </c>
      <c r="F287" s="56" t="inlineStr">
        <is>
          <t>Flores Drywall and Remodeling LLC</t>
        </is>
      </c>
      <c r="G287" s="56" t="inlineStr">
        <is>
          <t>ACTIVE</t>
        </is>
      </c>
      <c r="H287" s="57" t="n">
        <v>19488.46</v>
      </c>
      <c r="I287" s="57" t="n">
        <v>0</v>
      </c>
      <c r="J287" s="57" t="n">
        <v>19488.46</v>
      </c>
      <c r="K287" s="57" t="n">
        <v>20852.65</v>
      </c>
      <c r="L287" s="57" t="n">
        <v>0</v>
      </c>
      <c r="M287" s="57" t="n">
        <v>14485.4</v>
      </c>
      <c r="N287" s="58" t="n">
        <v>0</v>
      </c>
      <c r="O287" s="57" t="n">
        <v>0</v>
      </c>
      <c r="P287" s="57" t="n">
        <v>-19488.46</v>
      </c>
      <c r="Q287" s="57" t="n">
        <v>0</v>
      </c>
      <c r="R287" s="57" t="n">
        <v>19488.46</v>
      </c>
      <c r="S287" s="57" t="n">
        <v>0</v>
      </c>
      <c r="T287" s="57" t="n">
        <v>5003.06</v>
      </c>
      <c r="U287" s="58" t="n">
        <v>0.2567</v>
      </c>
      <c r="V287" s="57" t="n">
        <v>19488.46</v>
      </c>
      <c r="W287" s="58" t="n">
        <v>1</v>
      </c>
      <c r="X287" s="58" t="n">
        <v>0</v>
      </c>
      <c r="Y287" s="58" t="n">
        <v>0</v>
      </c>
      <c r="Z287" s="57" t="n">
        <v>0</v>
      </c>
      <c r="AA287" s="57" t="n">
        <v>-1364.19</v>
      </c>
      <c r="AB287" s="56" t="inlineStr">
        <is>
          <t>FALSE</t>
        </is>
      </c>
      <c r="AC287" s="56" t="inlineStr">
        <is>
          <t>FALSE</t>
        </is>
      </c>
      <c r="AD287" s="57" t="n">
        <v>14485.4</v>
      </c>
      <c r="AE287" s="57" t="n">
        <v>0</v>
      </c>
      <c r="AF287" s="57" t="n">
        <v>0</v>
      </c>
      <c r="AG287" s="57" t="n">
        <v>0</v>
      </c>
      <c r="AH287" s="57" t="n">
        <v>0</v>
      </c>
    </row>
    <row r="288">
      <c r="A288" s="56" t="inlineStr">
        <is>
          <t>2026-06-17</t>
        </is>
      </c>
      <c r="B288" s="56" t="inlineStr">
        <is>
          <t>2750306</t>
        </is>
      </c>
      <c r="C288" s="56" t="inlineStr">
        <is>
          <t>DS.2026.2403 Big Dawg Pickup 0327</t>
        </is>
      </c>
      <c r="D288" s="56" t="inlineStr">
        <is>
          <t>DW</t>
        </is>
      </c>
      <c r="E288" s="56" t="inlineStr">
        <is>
          <t>(Unassigned)</t>
        </is>
      </c>
      <c r="F288" s="56" t="inlineStr">
        <is>
          <t>Big Dawg Drywall</t>
        </is>
      </c>
      <c r="G288" s="56" t="inlineStr">
        <is>
          <t>ACTIVE</t>
        </is>
      </c>
      <c r="H288" s="57" t="n">
        <v>4955.6</v>
      </c>
      <c r="I288" s="57" t="n">
        <v>0</v>
      </c>
      <c r="J288" s="57" t="n">
        <v>4955.6</v>
      </c>
      <c r="K288" s="57" t="n">
        <v>5302.49</v>
      </c>
      <c r="L288" s="57" t="n">
        <v>0</v>
      </c>
      <c r="M288" s="57" t="n">
        <v>3306.1</v>
      </c>
      <c r="N288" s="58" t="n">
        <v>0</v>
      </c>
      <c r="O288" s="57" t="n">
        <v>0</v>
      </c>
      <c r="P288" s="57" t="n">
        <v>-4955.6</v>
      </c>
      <c r="Q288" s="57" t="n">
        <v>0</v>
      </c>
      <c r="R288" s="57" t="n">
        <v>4955.6</v>
      </c>
      <c r="S288" s="57" t="n">
        <v>0</v>
      </c>
      <c r="T288" s="57" t="n">
        <v>1649.5</v>
      </c>
      <c r="U288" s="58" t="n">
        <v>0.3329</v>
      </c>
      <c r="V288" s="57" t="n">
        <v>4955.6</v>
      </c>
      <c r="W288" s="58" t="n">
        <v>1</v>
      </c>
      <c r="X288" s="58" t="n">
        <v>0</v>
      </c>
      <c r="Y288" s="58" t="n">
        <v>0</v>
      </c>
      <c r="Z288" s="57" t="n">
        <v>0</v>
      </c>
      <c r="AA288" s="57" t="n">
        <v>-346.89</v>
      </c>
      <c r="AB288" s="56" t="inlineStr">
        <is>
          <t>FALSE</t>
        </is>
      </c>
      <c r="AC288" s="56" t="inlineStr">
        <is>
          <t>FALSE</t>
        </is>
      </c>
      <c r="AD288" s="57" t="n">
        <v>3306.1</v>
      </c>
      <c r="AE288" s="57" t="n">
        <v>0</v>
      </c>
      <c r="AF288" s="57" t="n">
        <v>0</v>
      </c>
      <c r="AG288" s="57" t="n">
        <v>0</v>
      </c>
      <c r="AH288" s="57" t="n">
        <v>0</v>
      </c>
    </row>
    <row r="289">
      <c r="A289" s="56" t="inlineStr">
        <is>
          <t>2026-06-17</t>
        </is>
      </c>
      <c r="B289" s="56" t="inlineStr">
        <is>
          <t>2750278</t>
        </is>
      </c>
      <c r="C289" s="56" t="inlineStr">
        <is>
          <t>DS.2026.2402 Courtyards of Cielo Ranch 17</t>
        </is>
      </c>
      <c r="D289" s="56" t="inlineStr">
        <is>
          <t>DW</t>
        </is>
      </c>
      <c r="E289" s="56" t="inlineStr">
        <is>
          <t>(Unassigned)</t>
        </is>
      </c>
      <c r="F289" s="56" t="inlineStr">
        <is>
          <t>Big Dawg Drywall</t>
        </is>
      </c>
      <c r="G289" s="56" t="inlineStr">
        <is>
          <t>ACTIVE</t>
        </is>
      </c>
      <c r="H289" s="57" t="n">
        <v>7053.88</v>
      </c>
      <c r="I289" s="57" t="n">
        <v>224.64</v>
      </c>
      <c r="J289" s="57" t="n">
        <v>7053.88</v>
      </c>
      <c r="K289" s="57" t="n">
        <v>7547.65</v>
      </c>
      <c r="L289" s="57" t="n">
        <v>0</v>
      </c>
      <c r="M289" s="57" t="n">
        <v>5265.64</v>
      </c>
      <c r="N289" s="58" t="n">
        <v>0</v>
      </c>
      <c r="O289" s="57" t="n">
        <v>0</v>
      </c>
      <c r="P289" s="57" t="n">
        <v>-7053.88</v>
      </c>
      <c r="Q289" s="57" t="n">
        <v>0</v>
      </c>
      <c r="R289" s="57" t="n">
        <v>7053.88</v>
      </c>
      <c r="S289" s="57" t="n">
        <v>0</v>
      </c>
      <c r="T289" s="57" t="n">
        <v>1788.24</v>
      </c>
      <c r="U289" s="58" t="n">
        <v>0.2535</v>
      </c>
      <c r="V289" s="57" t="n">
        <v>7053.88</v>
      </c>
      <c r="W289" s="58" t="n">
        <v>1</v>
      </c>
      <c r="X289" s="58" t="n">
        <v>0</v>
      </c>
      <c r="Y289" s="58" t="n">
        <v>0</v>
      </c>
      <c r="Z289" s="57" t="n">
        <v>0</v>
      </c>
      <c r="AA289" s="57" t="n">
        <v>-493.77</v>
      </c>
      <c r="AB289" s="56" t="inlineStr">
        <is>
          <t>FALSE</t>
        </is>
      </c>
      <c r="AC289" s="56" t="inlineStr">
        <is>
          <t>FALSE</t>
        </is>
      </c>
      <c r="AD289" s="57" t="n">
        <v>5265.64</v>
      </c>
      <c r="AE289" s="57" t="n">
        <v>0</v>
      </c>
      <c r="AF289" s="57" t="n">
        <v>0</v>
      </c>
      <c r="AG289" s="57" t="n">
        <v>0</v>
      </c>
      <c r="AH289" s="57" t="n">
        <v>0</v>
      </c>
    </row>
    <row r="290">
      <c r="A290" s="56" t="inlineStr">
        <is>
          <t>2026-06-17</t>
        </is>
      </c>
      <c r="B290" s="56" t="inlineStr">
        <is>
          <t>2750126</t>
        </is>
      </c>
      <c r="C290" s="56" t="inlineStr">
        <is>
          <t>DS.2026.2401 Flores Kenneland</t>
        </is>
      </c>
      <c r="D290" s="56" t="inlineStr">
        <is>
          <t>DW</t>
        </is>
      </c>
      <c r="E290" s="56" t="inlineStr">
        <is>
          <t>(Unassigned)</t>
        </is>
      </c>
      <c r="F290" s="56" t="inlineStr">
        <is>
          <t>Flores Drywall and Remodeling LLC</t>
        </is>
      </c>
      <c r="G290" s="56" t="inlineStr">
        <is>
          <t>ACTIVE</t>
        </is>
      </c>
      <c r="H290" s="57" t="n">
        <v>10704.98</v>
      </c>
      <c r="I290" s="57" t="n">
        <v>0</v>
      </c>
      <c r="J290" s="57" t="n">
        <v>10704.98</v>
      </c>
      <c r="K290" s="57" t="n">
        <v>11454.33</v>
      </c>
      <c r="L290" s="57" t="n">
        <v>0</v>
      </c>
      <c r="M290" s="57" t="n">
        <v>7733.81</v>
      </c>
      <c r="N290" s="58" t="n">
        <v>0</v>
      </c>
      <c r="O290" s="57" t="n">
        <v>0</v>
      </c>
      <c r="P290" s="57" t="n">
        <v>-10704.98</v>
      </c>
      <c r="Q290" s="57" t="n">
        <v>0</v>
      </c>
      <c r="R290" s="57" t="n">
        <v>10704.98</v>
      </c>
      <c r="S290" s="57" t="n">
        <v>0</v>
      </c>
      <c r="T290" s="57" t="n">
        <v>2971.17</v>
      </c>
      <c r="U290" s="58" t="n">
        <v>0.2776</v>
      </c>
      <c r="V290" s="57" t="n">
        <v>10704.98</v>
      </c>
      <c r="W290" s="58" t="n">
        <v>1</v>
      </c>
      <c r="X290" s="58" t="n">
        <v>0</v>
      </c>
      <c r="Y290" s="58" t="n">
        <v>0</v>
      </c>
      <c r="Z290" s="57" t="n">
        <v>0</v>
      </c>
      <c r="AA290" s="57" t="n">
        <v>-749.35</v>
      </c>
      <c r="AB290" s="56" t="inlineStr">
        <is>
          <t>FALSE</t>
        </is>
      </c>
      <c r="AC290" s="56" t="inlineStr">
        <is>
          <t>FALSE</t>
        </is>
      </c>
      <c r="AD290" s="57" t="n">
        <v>7733.81</v>
      </c>
      <c r="AE290" s="57" t="n">
        <v>0</v>
      </c>
      <c r="AF290" s="57" t="n">
        <v>0</v>
      </c>
      <c r="AG290" s="57" t="n">
        <v>0</v>
      </c>
      <c r="AH290" s="57" t="n">
        <v>0</v>
      </c>
    </row>
    <row r="291">
      <c r="A291" s="56" t="inlineStr">
        <is>
          <t>2026-06-17</t>
        </is>
      </c>
      <c r="B291" s="56" t="inlineStr">
        <is>
          <t>2733362</t>
        </is>
      </c>
      <c r="C291" s="56" t="inlineStr">
        <is>
          <t>DS.2026.2400 Courtyards of Russell Oaks 115</t>
        </is>
      </c>
      <c r="D291" s="56" t="inlineStr">
        <is>
          <t>DW</t>
        </is>
      </c>
      <c r="E291" s="56" t="inlineStr">
        <is>
          <t>(Unassigned)</t>
        </is>
      </c>
      <c r="F291" s="56" t="inlineStr">
        <is>
          <t>Big Dawg Drywall</t>
        </is>
      </c>
      <c r="G291" s="56" t="inlineStr">
        <is>
          <t>ACTIVE</t>
        </is>
      </c>
      <c r="H291" s="57" t="n">
        <v>7145.56</v>
      </c>
      <c r="I291" s="57" t="n">
        <v>0</v>
      </c>
      <c r="J291" s="57" t="n">
        <v>7145.56</v>
      </c>
      <c r="K291" s="57" t="n">
        <v>7645.75</v>
      </c>
      <c r="L291" s="57" t="n">
        <v>0</v>
      </c>
      <c r="M291" s="57" t="n">
        <v>5280.52</v>
      </c>
      <c r="N291" s="58" t="n">
        <v>0</v>
      </c>
      <c r="O291" s="57" t="n">
        <v>0</v>
      </c>
      <c r="P291" s="57" t="n">
        <v>-7145.56</v>
      </c>
      <c r="Q291" s="57" t="n">
        <v>0</v>
      </c>
      <c r="R291" s="57" t="n">
        <v>7145.56</v>
      </c>
      <c r="S291" s="57" t="n">
        <v>0</v>
      </c>
      <c r="T291" s="57" t="n">
        <v>1865.04</v>
      </c>
      <c r="U291" s="58" t="n">
        <v>0.261</v>
      </c>
      <c r="V291" s="57" t="n">
        <v>7145.56</v>
      </c>
      <c r="W291" s="58" t="n">
        <v>1</v>
      </c>
      <c r="X291" s="58" t="n">
        <v>0</v>
      </c>
      <c r="Y291" s="58" t="n">
        <v>0</v>
      </c>
      <c r="Z291" s="57" t="n">
        <v>0</v>
      </c>
      <c r="AA291" s="57" t="n">
        <v>-500.19</v>
      </c>
      <c r="AB291" s="56" t="inlineStr">
        <is>
          <t>FALSE</t>
        </is>
      </c>
      <c r="AC291" s="56" t="inlineStr">
        <is>
          <t>FALSE</t>
        </is>
      </c>
      <c r="AD291" s="57" t="n">
        <v>5280.52</v>
      </c>
      <c r="AE291" s="57" t="n">
        <v>0</v>
      </c>
      <c r="AF291" s="57" t="n">
        <v>0</v>
      </c>
      <c r="AG291" s="57" t="n">
        <v>0</v>
      </c>
      <c r="AH291" s="57" t="n">
        <v>0</v>
      </c>
    </row>
    <row r="292">
      <c r="A292" s="56" t="inlineStr">
        <is>
          <t>2026-06-17</t>
        </is>
      </c>
      <c r="B292" s="56" t="inlineStr">
        <is>
          <t>2733343</t>
        </is>
      </c>
      <c r="C292" s="56" t="inlineStr">
        <is>
          <t>DS.2026.2399 Courtyards of Russell Oaks 74</t>
        </is>
      </c>
      <c r="D292" s="56" t="inlineStr">
        <is>
          <t>DW</t>
        </is>
      </c>
      <c r="E292" s="56" t="inlineStr">
        <is>
          <t>(Unassigned)</t>
        </is>
      </c>
      <c r="F292" s="56" t="inlineStr">
        <is>
          <t>Big Dawg Drywall</t>
        </is>
      </c>
      <c r="G292" s="56" t="inlineStr">
        <is>
          <t>ACTIVE</t>
        </is>
      </c>
      <c r="H292" s="57" t="n">
        <v>5783.55</v>
      </c>
      <c r="I292" s="57" t="n">
        <v>1486.44</v>
      </c>
      <c r="J292" s="57" t="n">
        <v>5783.55</v>
      </c>
      <c r="K292" s="57" t="n">
        <v>6156.42</v>
      </c>
      <c r="L292" s="57" t="n">
        <v>0</v>
      </c>
      <c r="M292" s="57" t="n">
        <v>4560.77</v>
      </c>
      <c r="N292" s="58" t="n">
        <v>0</v>
      </c>
      <c r="O292" s="57" t="n">
        <v>0</v>
      </c>
      <c r="P292" s="57" t="n">
        <v>-5783.55</v>
      </c>
      <c r="Q292" s="57" t="n">
        <v>0</v>
      </c>
      <c r="R292" s="57" t="n">
        <v>5783.55</v>
      </c>
      <c r="S292" s="57" t="n">
        <v>0</v>
      </c>
      <c r="T292" s="57" t="n">
        <v>1222.78</v>
      </c>
      <c r="U292" s="58" t="n">
        <v>0.2114</v>
      </c>
      <c r="V292" s="57" t="n">
        <v>5783.55</v>
      </c>
      <c r="W292" s="58" t="n">
        <v>1</v>
      </c>
      <c r="X292" s="58" t="n">
        <v>0</v>
      </c>
      <c r="Y292" s="58" t="n">
        <v>0</v>
      </c>
      <c r="Z292" s="57" t="n">
        <v>0</v>
      </c>
      <c r="AA292" s="57" t="n">
        <v>-372.87</v>
      </c>
      <c r="AB292" s="56" t="inlineStr">
        <is>
          <t>FALSE</t>
        </is>
      </c>
      <c r="AC292" s="56" t="inlineStr">
        <is>
          <t>FALSE</t>
        </is>
      </c>
      <c r="AD292" s="57" t="n">
        <v>4560.77</v>
      </c>
      <c r="AE292" s="57" t="n">
        <v>0</v>
      </c>
      <c r="AF292" s="57" t="n">
        <v>0</v>
      </c>
      <c r="AG292" s="57" t="n">
        <v>0</v>
      </c>
      <c r="AH292" s="57" t="n">
        <v>0</v>
      </c>
    </row>
    <row r="293">
      <c r="A293" s="56" t="inlineStr">
        <is>
          <t>2026-06-17</t>
        </is>
      </c>
      <c r="B293" s="56" t="inlineStr">
        <is>
          <t>2733326</t>
        </is>
      </c>
      <c r="C293" s="56" t="inlineStr">
        <is>
          <t>DS.2026.2398 Courtyards of Ceilo Ranch 26</t>
        </is>
      </c>
      <c r="D293" s="56" t="inlineStr">
        <is>
          <t>DW</t>
        </is>
      </c>
      <c r="E293" s="56" t="inlineStr">
        <is>
          <t>(Unassigned)</t>
        </is>
      </c>
      <c r="F293" s="56" t="inlineStr">
        <is>
          <t>Big Dawg Drywall</t>
        </is>
      </c>
      <c r="G293" s="56" t="inlineStr">
        <is>
          <t>ACTIVE</t>
        </is>
      </c>
      <c r="H293" s="57" t="n">
        <v>6800.59</v>
      </c>
      <c r="I293" s="57" t="n">
        <v>0</v>
      </c>
      <c r="J293" s="57" t="n">
        <v>6800.59</v>
      </c>
      <c r="K293" s="57" t="n">
        <v>7276.63</v>
      </c>
      <c r="L293" s="57" t="n">
        <v>0</v>
      </c>
      <c r="M293" s="57" t="n">
        <v>4827.91</v>
      </c>
      <c r="N293" s="58" t="n">
        <v>0</v>
      </c>
      <c r="O293" s="57" t="n">
        <v>0</v>
      </c>
      <c r="P293" s="57" t="n">
        <v>-6800.59</v>
      </c>
      <c r="Q293" s="57" t="n">
        <v>0</v>
      </c>
      <c r="R293" s="57" t="n">
        <v>6800.59</v>
      </c>
      <c r="S293" s="57" t="n">
        <v>0</v>
      </c>
      <c r="T293" s="57" t="n">
        <v>1972.68</v>
      </c>
      <c r="U293" s="58" t="n">
        <v>0.2901</v>
      </c>
      <c r="V293" s="57" t="n">
        <v>6800.59</v>
      </c>
      <c r="W293" s="58" t="n">
        <v>1</v>
      </c>
      <c r="X293" s="58" t="n">
        <v>0</v>
      </c>
      <c r="Y293" s="58" t="n">
        <v>0</v>
      </c>
      <c r="Z293" s="57" t="n">
        <v>0</v>
      </c>
      <c r="AA293" s="57" t="n">
        <v>-476.04</v>
      </c>
      <c r="AB293" s="56" t="inlineStr">
        <is>
          <t>FALSE</t>
        </is>
      </c>
      <c r="AC293" s="56" t="inlineStr">
        <is>
          <t>FALSE</t>
        </is>
      </c>
      <c r="AD293" s="57" t="n">
        <v>4827.91</v>
      </c>
      <c r="AE293" s="57" t="n">
        <v>0</v>
      </c>
      <c r="AF293" s="57" t="n">
        <v>0</v>
      </c>
      <c r="AG293" s="57" t="n">
        <v>0</v>
      </c>
      <c r="AH293" s="57" t="n">
        <v>0</v>
      </c>
    </row>
    <row r="294">
      <c r="A294" s="56" t="inlineStr">
        <is>
          <t>2026-06-17</t>
        </is>
      </c>
      <c r="B294" s="56" t="inlineStr">
        <is>
          <t>2726249</t>
        </is>
      </c>
      <c r="C294" s="56" t="inlineStr">
        <is>
          <t>2026.1047 Springdale Building 4 Demising Walls</t>
        </is>
      </c>
      <c r="D294" s="56" t="inlineStr">
        <is>
          <t>TI</t>
        </is>
      </c>
      <c r="E294" s="56" t="inlineStr">
        <is>
          <t>Tommy Cohoat</t>
        </is>
      </c>
      <c r="F294" s="56" t="inlineStr">
        <is>
          <t>The Peterson Company, LLC</t>
        </is>
      </c>
      <c r="G294" s="56" t="inlineStr">
        <is>
          <t>ACTIVE</t>
        </is>
      </c>
      <c r="H294" s="57" t="n">
        <v>148800</v>
      </c>
      <c r="I294" s="57" t="n">
        <v>0</v>
      </c>
      <c r="J294" s="57" t="n">
        <v>148800</v>
      </c>
      <c r="K294" s="57" t="n">
        <v>0</v>
      </c>
      <c r="L294" s="57" t="n">
        <v>85100</v>
      </c>
      <c r="M294" s="57" t="n">
        <v>70081.74000000001</v>
      </c>
      <c r="N294" s="58" t="n">
        <v>0.8235</v>
      </c>
      <c r="O294" s="57" t="n">
        <v>122536.8</v>
      </c>
      <c r="P294" s="57" t="n">
        <v>-26263.2</v>
      </c>
      <c r="Q294" s="57" t="n">
        <v>-26259.9</v>
      </c>
      <c r="R294" s="57" t="n">
        <v>26263.2</v>
      </c>
      <c r="S294" s="57" t="n">
        <v>0</v>
      </c>
      <c r="T294" s="57" t="n">
        <v>78718.25999999999</v>
      </c>
      <c r="U294" s="58" t="n">
        <v>0.529</v>
      </c>
      <c r="V294" s="57" t="n">
        <v>63700</v>
      </c>
      <c r="W294" s="58" t="n">
        <v>0.4281</v>
      </c>
      <c r="X294" s="58" t="n">
        <v>0.4281</v>
      </c>
      <c r="Y294" s="58" t="n">
        <v>-0.1009</v>
      </c>
      <c r="Z294" s="57" t="n">
        <v>0</v>
      </c>
      <c r="AA294" s="57" t="n">
        <v>148800</v>
      </c>
      <c r="AB294" s="56" t="inlineStr">
        <is>
          <t>TRUE</t>
        </is>
      </c>
      <c r="AC294" s="56" t="inlineStr">
        <is>
          <t>TRUE</t>
        </is>
      </c>
      <c r="AD294" s="57" t="n">
        <v>44368.64</v>
      </c>
      <c r="AE294" s="57" t="n">
        <v>25713.1</v>
      </c>
      <c r="AF294" s="57" t="n">
        <v>0</v>
      </c>
      <c r="AG294" s="57" t="n">
        <v>0</v>
      </c>
      <c r="AH294" s="57" t="n">
        <v>0</v>
      </c>
    </row>
    <row r="295">
      <c r="A295" s="56" t="inlineStr">
        <is>
          <t>2026-06-17</t>
        </is>
      </c>
      <c r="B295" s="56" t="inlineStr">
        <is>
          <t>2726122</t>
        </is>
      </c>
      <c r="C295" s="56" t="inlineStr">
        <is>
          <t>DS.2026.2397 Courtyards of Cielo Ranch 26</t>
        </is>
      </c>
      <c r="D295" s="56" t="inlineStr">
        <is>
          <t>DW</t>
        </is>
      </c>
      <c r="E295" s="56" t="inlineStr">
        <is>
          <t>(Unassigned)</t>
        </is>
      </c>
      <c r="F295" s="56" t="inlineStr">
        <is>
          <t>Big Dawg Drywall</t>
        </is>
      </c>
      <c r="G295" s="56" t="inlineStr">
        <is>
          <t>ACTIVE</t>
        </is>
      </c>
      <c r="H295" s="57" t="n">
        <v>336.96</v>
      </c>
      <c r="I295" s="57" t="n">
        <v>0</v>
      </c>
      <c r="J295" s="57" t="n">
        <v>336.96</v>
      </c>
      <c r="K295" s="57" t="n">
        <v>360.55</v>
      </c>
      <c r="L295" s="57" t="n">
        <v>0</v>
      </c>
      <c r="M295" s="57" t="n">
        <v>233.28</v>
      </c>
      <c r="N295" s="58" t="n">
        <v>0</v>
      </c>
      <c r="O295" s="57" t="n">
        <v>0</v>
      </c>
      <c r="P295" s="57" t="n">
        <v>-336.96</v>
      </c>
      <c r="Q295" s="57" t="n">
        <v>0</v>
      </c>
      <c r="R295" s="57" t="n">
        <v>336.96</v>
      </c>
      <c r="S295" s="57" t="n">
        <v>0</v>
      </c>
      <c r="T295" s="57" t="n">
        <v>103.68</v>
      </c>
      <c r="U295" s="58" t="n">
        <v>0.3077</v>
      </c>
      <c r="V295" s="57" t="n">
        <v>336.96</v>
      </c>
      <c r="W295" s="58" t="n">
        <v>1</v>
      </c>
      <c r="X295" s="58" t="n">
        <v>0</v>
      </c>
      <c r="Y295" s="58" t="n">
        <v>0</v>
      </c>
      <c r="Z295" s="57" t="n">
        <v>0</v>
      </c>
      <c r="AA295" s="57" t="n">
        <v>-23.59</v>
      </c>
      <c r="AB295" s="56" t="inlineStr">
        <is>
          <t>FALSE</t>
        </is>
      </c>
      <c r="AC295" s="56" t="inlineStr">
        <is>
          <t>FALSE</t>
        </is>
      </c>
      <c r="AD295" s="57" t="n">
        <v>233.28</v>
      </c>
      <c r="AE295" s="57" t="n">
        <v>0</v>
      </c>
      <c r="AF295" s="57" t="n">
        <v>0</v>
      </c>
      <c r="AG295" s="57" t="n">
        <v>0</v>
      </c>
      <c r="AH295" s="57" t="n">
        <v>0</v>
      </c>
    </row>
    <row r="296">
      <c r="A296" s="56" t="inlineStr">
        <is>
          <t>2026-06-17</t>
        </is>
      </c>
      <c r="B296" s="56" t="inlineStr">
        <is>
          <t>2715709</t>
        </is>
      </c>
      <c r="C296" s="56" t="inlineStr">
        <is>
          <t>2026.1046 Automatic Distributors (Park 130 Bldg 6)</t>
        </is>
      </c>
      <c r="D296" s="56" t="inlineStr">
        <is>
          <t>TI</t>
        </is>
      </c>
      <c r="E296" s="56" t="inlineStr">
        <is>
          <t>Cole Garriott</t>
        </is>
      </c>
      <c r="F296" s="56" t="inlineStr">
        <is>
          <t>The Peterson Company, LLC</t>
        </is>
      </c>
      <c r="G296" s="56" t="inlineStr">
        <is>
          <t>ACTIVE</t>
        </is>
      </c>
      <c r="H296" s="57" t="n">
        <v>171900</v>
      </c>
      <c r="I296" s="57" t="n">
        <v>0</v>
      </c>
      <c r="J296" s="57" t="n">
        <v>154710</v>
      </c>
      <c r="K296" s="57" t="n">
        <v>32697</v>
      </c>
      <c r="L296" s="57" t="n">
        <v>105700</v>
      </c>
      <c r="M296" s="57" t="n">
        <v>64219.57</v>
      </c>
      <c r="N296" s="58" t="n">
        <v>0.6076</v>
      </c>
      <c r="O296" s="57" t="n">
        <v>104446.44</v>
      </c>
      <c r="P296" s="57" t="n">
        <v>-50263.56</v>
      </c>
      <c r="Q296" s="57" t="n">
        <v>-67459.66</v>
      </c>
      <c r="R296" s="57" t="n">
        <v>50263.56</v>
      </c>
      <c r="S296" s="57" t="n">
        <v>0</v>
      </c>
      <c r="T296" s="57" t="n">
        <v>107680.43</v>
      </c>
      <c r="U296" s="58" t="n">
        <v>0.6264</v>
      </c>
      <c r="V296" s="57" t="n">
        <v>66200</v>
      </c>
      <c r="W296" s="58" t="n">
        <v>0.3851</v>
      </c>
      <c r="X296" s="58" t="n">
        <v>0.3851</v>
      </c>
      <c r="Y296" s="58" t="n">
        <v>-0.2413</v>
      </c>
      <c r="Z296" s="57" t="n">
        <v>17190</v>
      </c>
      <c r="AA296" s="57" t="n">
        <v>122013</v>
      </c>
      <c r="AB296" s="56" t="inlineStr">
        <is>
          <t>TRUE</t>
        </is>
      </c>
      <c r="AC296" s="56" t="inlineStr">
        <is>
          <t>TRUE</t>
        </is>
      </c>
      <c r="AD296" s="57" t="n">
        <v>42448.65</v>
      </c>
      <c r="AE296" s="57" t="n">
        <v>20639.35</v>
      </c>
      <c r="AF296" s="57" t="n">
        <v>1072.68</v>
      </c>
      <c r="AG296" s="57" t="n">
        <v>58.89</v>
      </c>
      <c r="AH296" s="57" t="n">
        <v>0</v>
      </c>
    </row>
    <row r="297">
      <c r="A297" s="56" t="inlineStr">
        <is>
          <t>2026-06-17</t>
        </is>
      </c>
      <c r="B297" s="56" t="inlineStr">
        <is>
          <t>2712233</t>
        </is>
      </c>
      <c r="C297" s="56" t="inlineStr">
        <is>
          <t>2026.1045 First OnSite (Ameriplex)</t>
        </is>
      </c>
      <c r="D297" s="56" t="inlineStr">
        <is>
          <t>TI</t>
        </is>
      </c>
      <c r="E297" s="56" t="inlineStr">
        <is>
          <t>Spencer Anderson</t>
        </is>
      </c>
      <c r="F297" s="56" t="inlineStr">
        <is>
          <t>Holladay Construction Group</t>
        </is>
      </c>
      <c r="G297" s="56" t="inlineStr">
        <is>
          <t>ACTIVE</t>
        </is>
      </c>
      <c r="H297" s="57" t="n">
        <v>128000</v>
      </c>
      <c r="I297" s="57" t="n">
        <v>3000</v>
      </c>
      <c r="J297" s="57" t="n">
        <v>128000</v>
      </c>
      <c r="K297" s="57" t="n">
        <v>32940</v>
      </c>
      <c r="L297" s="57" t="n">
        <v>74368.27</v>
      </c>
      <c r="M297" s="57" t="n">
        <v>82331.75</v>
      </c>
      <c r="N297" s="58" t="n">
        <v>1.1071</v>
      </c>
      <c r="O297" s="57" t="n">
        <v>141708.8</v>
      </c>
      <c r="P297" s="57" t="n">
        <v>13708.8</v>
      </c>
      <c r="Q297" s="57" t="n">
        <v>0</v>
      </c>
      <c r="R297" s="57" t="n">
        <v>0</v>
      </c>
      <c r="S297" s="57" t="n">
        <v>13708.8</v>
      </c>
      <c r="T297" s="57" t="n">
        <v>45668.25</v>
      </c>
      <c r="U297" s="58" t="n">
        <v>0.3568</v>
      </c>
      <c r="V297" s="57" t="n">
        <v>53631.73</v>
      </c>
      <c r="W297" s="58" t="n">
        <v>0.419</v>
      </c>
      <c r="X297" s="58" t="n">
        <v>0.419</v>
      </c>
      <c r="Y297" s="58" t="n">
        <v>0.0622</v>
      </c>
      <c r="Z297" s="57" t="n">
        <v>0</v>
      </c>
      <c r="AA297" s="57" t="n">
        <v>95060</v>
      </c>
      <c r="AB297" s="56" t="inlineStr">
        <is>
          <t>TRUE</t>
        </is>
      </c>
      <c r="AC297" s="56" t="inlineStr">
        <is>
          <t>TRUE</t>
        </is>
      </c>
      <c r="AD297" s="57" t="n">
        <v>52418.06</v>
      </c>
      <c r="AE297" s="57" t="n">
        <v>22141.73</v>
      </c>
      <c r="AF297" s="57" t="n">
        <v>7771.96</v>
      </c>
      <c r="AG297" s="57" t="n">
        <v>0</v>
      </c>
      <c r="AH297" s="57" t="n">
        <v>0</v>
      </c>
    </row>
    <row r="298">
      <c r="A298" s="56" t="inlineStr">
        <is>
          <t>2026-06-17</t>
        </is>
      </c>
      <c r="B298" s="56" t="inlineStr">
        <is>
          <t>2703041</t>
        </is>
      </c>
      <c r="C298" s="56" t="inlineStr">
        <is>
          <t>DS.2026.2396 6252 West Turtle Hill Ct</t>
        </is>
      </c>
      <c r="D298" s="56" t="inlineStr">
        <is>
          <t>DW</t>
        </is>
      </c>
      <c r="E298" s="56" t="inlineStr">
        <is>
          <t>(Unassigned)</t>
        </is>
      </c>
      <c r="F298" s="56" t="inlineStr">
        <is>
          <t>Flores Drywall and Remodeling LLC</t>
        </is>
      </c>
      <c r="G298" s="56" t="inlineStr">
        <is>
          <t>ACTIVE</t>
        </is>
      </c>
      <c r="H298" s="57" t="n">
        <v>5858.41</v>
      </c>
      <c r="I298" s="57" t="n">
        <v>0</v>
      </c>
      <c r="J298" s="57" t="n">
        <v>5858.41</v>
      </c>
      <c r="K298" s="57" t="n">
        <v>6268.5</v>
      </c>
      <c r="L298" s="57" t="n">
        <v>0</v>
      </c>
      <c r="M298" s="57" t="n">
        <v>4720.53</v>
      </c>
      <c r="N298" s="58" t="n">
        <v>0</v>
      </c>
      <c r="O298" s="57" t="n">
        <v>0</v>
      </c>
      <c r="P298" s="57" t="n">
        <v>-5858.41</v>
      </c>
      <c r="Q298" s="57" t="n">
        <v>0</v>
      </c>
      <c r="R298" s="57" t="n">
        <v>5858.41</v>
      </c>
      <c r="S298" s="57" t="n">
        <v>0</v>
      </c>
      <c r="T298" s="57" t="n">
        <v>1137.88</v>
      </c>
      <c r="U298" s="58" t="n">
        <v>0.1942</v>
      </c>
      <c r="V298" s="57" t="n">
        <v>5858.41</v>
      </c>
      <c r="W298" s="58" t="n">
        <v>1</v>
      </c>
      <c r="X298" s="58" t="n">
        <v>0</v>
      </c>
      <c r="Y298" s="58" t="n">
        <v>0</v>
      </c>
      <c r="Z298" s="57" t="n">
        <v>0</v>
      </c>
      <c r="AA298" s="57" t="n">
        <v>-410.09</v>
      </c>
      <c r="AB298" s="56" t="inlineStr">
        <is>
          <t>FALSE</t>
        </is>
      </c>
      <c r="AC298" s="56" t="inlineStr">
        <is>
          <t>FALSE</t>
        </is>
      </c>
      <c r="AD298" s="57" t="n">
        <v>4720.53</v>
      </c>
      <c r="AE298" s="57" t="n">
        <v>0</v>
      </c>
      <c r="AF298" s="57" t="n">
        <v>0</v>
      </c>
      <c r="AG298" s="57" t="n">
        <v>0</v>
      </c>
      <c r="AH298" s="57" t="n">
        <v>0</v>
      </c>
    </row>
    <row r="299">
      <c r="A299" s="56" t="inlineStr">
        <is>
          <t>2026-06-17</t>
        </is>
      </c>
      <c r="B299" s="56" t="inlineStr">
        <is>
          <t>2702940</t>
        </is>
      </c>
      <c r="C299" s="56" t="inlineStr">
        <is>
          <t>DS.2026.2395 Courtyards of Westfield 103</t>
        </is>
      </c>
      <c r="D299" s="56" t="inlineStr">
        <is>
          <t>DW</t>
        </is>
      </c>
      <c r="E299" s="56" t="inlineStr">
        <is>
          <t>(Unassigned)</t>
        </is>
      </c>
      <c r="F299" s="56" t="inlineStr">
        <is>
          <t>Big Dawg Drywall</t>
        </is>
      </c>
      <c r="G299" s="56" t="inlineStr">
        <is>
          <t>ACTIVE</t>
        </is>
      </c>
      <c r="H299" s="57" t="n">
        <v>252.72</v>
      </c>
      <c r="I299" s="57" t="n">
        <v>0</v>
      </c>
      <c r="J299" s="57" t="n">
        <v>252.72</v>
      </c>
      <c r="K299" s="57" t="n">
        <v>270.41</v>
      </c>
      <c r="L299" s="57" t="n">
        <v>0</v>
      </c>
      <c r="M299" s="57" t="n">
        <v>174.96</v>
      </c>
      <c r="N299" s="58" t="n">
        <v>0</v>
      </c>
      <c r="O299" s="57" t="n">
        <v>0</v>
      </c>
      <c r="P299" s="57" t="n">
        <v>-252.72</v>
      </c>
      <c r="Q299" s="57" t="n">
        <v>0</v>
      </c>
      <c r="R299" s="57" t="n">
        <v>252.72</v>
      </c>
      <c r="S299" s="57" t="n">
        <v>0</v>
      </c>
      <c r="T299" s="57" t="n">
        <v>77.76000000000001</v>
      </c>
      <c r="U299" s="58" t="n">
        <v>0.3077</v>
      </c>
      <c r="V299" s="57" t="n">
        <v>252.72</v>
      </c>
      <c r="W299" s="58" t="n">
        <v>1</v>
      </c>
      <c r="X299" s="58" t="n">
        <v>0</v>
      </c>
      <c r="Y299" s="58" t="n">
        <v>0</v>
      </c>
      <c r="Z299" s="57" t="n">
        <v>0</v>
      </c>
      <c r="AA299" s="57" t="n">
        <v>-17.69</v>
      </c>
      <c r="AB299" s="56" t="inlineStr">
        <is>
          <t>FALSE</t>
        </is>
      </c>
      <c r="AC299" s="56" t="inlineStr">
        <is>
          <t>FALSE</t>
        </is>
      </c>
      <c r="AD299" s="57" t="n">
        <v>174.96</v>
      </c>
      <c r="AE299" s="57" t="n">
        <v>0</v>
      </c>
      <c r="AF299" s="57" t="n">
        <v>0</v>
      </c>
      <c r="AG299" s="57" t="n">
        <v>0</v>
      </c>
      <c r="AH299" s="57" t="n">
        <v>0</v>
      </c>
    </row>
    <row r="300">
      <c r="A300" s="56" t="inlineStr">
        <is>
          <t>2026-06-17</t>
        </is>
      </c>
      <c r="B300" s="56" t="inlineStr">
        <is>
          <t>2701256</t>
        </is>
      </c>
      <c r="C300" s="56" t="inlineStr">
        <is>
          <t>2026.1043 Deer Creek Building 1</t>
        </is>
      </c>
      <c r="D300" s="56" t="inlineStr">
        <is>
          <t>TI</t>
        </is>
      </c>
      <c r="E300" s="56" t="inlineStr">
        <is>
          <t>Tommy Cohoat</t>
        </is>
      </c>
      <c r="F300" s="56" t="inlineStr">
        <is>
          <t>Patch Development</t>
        </is>
      </c>
      <c r="G300" s="56" t="inlineStr">
        <is>
          <t>ACTIVE</t>
        </is>
      </c>
      <c r="H300" s="57" t="n">
        <v>135000</v>
      </c>
      <c r="I300" s="57" t="n">
        <v>0</v>
      </c>
      <c r="J300" s="57" t="n">
        <v>135000</v>
      </c>
      <c r="K300" s="57" t="n">
        <v>121500</v>
      </c>
      <c r="L300" s="57" t="n">
        <v>59800</v>
      </c>
      <c r="M300" s="57" t="n">
        <v>49599.2</v>
      </c>
      <c r="N300" s="58" t="n">
        <v>0.8294</v>
      </c>
      <c r="O300" s="57" t="n">
        <v>111969</v>
      </c>
      <c r="P300" s="57" t="n">
        <v>-23031</v>
      </c>
      <c r="Q300" s="57" t="n">
        <v>-23028.56</v>
      </c>
      <c r="R300" s="57" t="n">
        <v>23031</v>
      </c>
      <c r="S300" s="57" t="n">
        <v>0</v>
      </c>
      <c r="T300" s="57" t="n">
        <v>85400.8</v>
      </c>
      <c r="U300" s="58" t="n">
        <v>0.6326000000000001</v>
      </c>
      <c r="V300" s="57" t="n">
        <v>75200</v>
      </c>
      <c r="W300" s="58" t="n">
        <v>0.5570000000000001</v>
      </c>
      <c r="X300" s="58" t="n">
        <v>0.5570000000000001</v>
      </c>
      <c r="Y300" s="58" t="n">
        <v>-0.0756</v>
      </c>
      <c r="Z300" s="57" t="n">
        <v>0</v>
      </c>
      <c r="AA300" s="57" t="n">
        <v>13500</v>
      </c>
      <c r="AB300" s="56" t="inlineStr">
        <is>
          <t>TRUE</t>
        </is>
      </c>
      <c r="AC300" s="56" t="inlineStr">
        <is>
          <t>TRUE</t>
        </is>
      </c>
      <c r="AD300" s="57" t="n">
        <v>33045.82</v>
      </c>
      <c r="AE300" s="57" t="n">
        <v>16178.38</v>
      </c>
      <c r="AF300" s="57" t="n">
        <v>375</v>
      </c>
      <c r="AG300" s="57" t="n">
        <v>0</v>
      </c>
      <c r="AH300" s="57" t="n">
        <v>0</v>
      </c>
    </row>
    <row r="301">
      <c r="A301" s="56" t="inlineStr">
        <is>
          <t>2026-06-17</t>
        </is>
      </c>
      <c r="B301" s="56" t="inlineStr">
        <is>
          <t>2686749</t>
        </is>
      </c>
      <c r="C301" s="56" t="inlineStr">
        <is>
          <t>DS.2026.2394 5778 Marvie Drive</t>
        </is>
      </c>
      <c r="D301" s="56" t="inlineStr">
        <is>
          <t>DW</t>
        </is>
      </c>
      <c r="E301" s="56" t="inlineStr">
        <is>
          <t>(Unassigned)</t>
        </is>
      </c>
      <c r="F301" s="56" t="inlineStr">
        <is>
          <t>Flores Drywall and Remodeling LLC</t>
        </is>
      </c>
      <c r="G301" s="56" t="inlineStr">
        <is>
          <t>ACTIVE</t>
        </is>
      </c>
      <c r="H301" s="57" t="n">
        <v>8024.34</v>
      </c>
      <c r="I301" s="57" t="n">
        <v>0</v>
      </c>
      <c r="J301" s="57" t="n">
        <v>8024.34</v>
      </c>
      <c r="K301" s="57" t="n">
        <v>8586.040000000001</v>
      </c>
      <c r="L301" s="57" t="n">
        <v>0</v>
      </c>
      <c r="M301" s="57" t="n">
        <v>5837.56</v>
      </c>
      <c r="N301" s="58" t="n">
        <v>0</v>
      </c>
      <c r="O301" s="57" t="n">
        <v>0</v>
      </c>
      <c r="P301" s="57" t="n">
        <v>-8024.34</v>
      </c>
      <c r="Q301" s="57" t="n">
        <v>0</v>
      </c>
      <c r="R301" s="57" t="n">
        <v>8024.34</v>
      </c>
      <c r="S301" s="57" t="n">
        <v>0</v>
      </c>
      <c r="T301" s="57" t="n">
        <v>2186.78</v>
      </c>
      <c r="U301" s="58" t="n">
        <v>0.2725</v>
      </c>
      <c r="V301" s="57" t="n">
        <v>8024.34</v>
      </c>
      <c r="W301" s="58" t="n">
        <v>1</v>
      </c>
      <c r="X301" s="58" t="n">
        <v>0</v>
      </c>
      <c r="Y301" s="58" t="n">
        <v>0</v>
      </c>
      <c r="Z301" s="57" t="n">
        <v>0</v>
      </c>
      <c r="AA301" s="57" t="n">
        <v>-561.7</v>
      </c>
      <c r="AB301" s="56" t="inlineStr">
        <is>
          <t>FALSE</t>
        </is>
      </c>
      <c r="AC301" s="56" t="inlineStr">
        <is>
          <t>FALSE</t>
        </is>
      </c>
      <c r="AD301" s="57" t="n">
        <v>5837.56</v>
      </c>
      <c r="AE301" s="57" t="n">
        <v>0</v>
      </c>
      <c r="AF301" s="57" t="n">
        <v>0</v>
      </c>
      <c r="AG301" s="57" t="n">
        <v>0</v>
      </c>
      <c r="AH301" s="57" t="n">
        <v>0</v>
      </c>
    </row>
    <row r="302">
      <c r="A302" s="56" t="inlineStr">
        <is>
          <t>2026-06-17</t>
        </is>
      </c>
      <c r="B302" s="56" t="inlineStr">
        <is>
          <t>2684477</t>
        </is>
      </c>
      <c r="C302" s="56" t="inlineStr">
        <is>
          <t>DS.2026.2393 Precision Pickup 0216</t>
        </is>
      </c>
      <c r="D302" s="56" t="inlineStr">
        <is>
          <t>DW</t>
        </is>
      </c>
      <c r="E302" s="56" t="inlineStr">
        <is>
          <t>(Unassigned)</t>
        </is>
      </c>
      <c r="F302" s="56" t="inlineStr">
        <is>
          <t>Precision Dry Wall</t>
        </is>
      </c>
      <c r="G302" s="56" t="inlineStr">
        <is>
          <t>ACTIVE</t>
        </is>
      </c>
      <c r="H302" s="57" t="n">
        <v>235.52</v>
      </c>
      <c r="I302" s="57" t="n">
        <v>0</v>
      </c>
      <c r="J302" s="57" t="n">
        <v>235.52</v>
      </c>
      <c r="K302" s="57" t="n">
        <v>0</v>
      </c>
      <c r="L302" s="57" t="n">
        <v>0</v>
      </c>
      <c r="M302" s="57" t="n">
        <v>207.36</v>
      </c>
      <c r="N302" s="58" t="n">
        <v>0</v>
      </c>
      <c r="O302" s="57" t="n">
        <v>0</v>
      </c>
      <c r="P302" s="57" t="n">
        <v>-235.52</v>
      </c>
      <c r="Q302" s="57" t="n">
        <v>0</v>
      </c>
      <c r="R302" s="57" t="n">
        <v>235.52</v>
      </c>
      <c r="S302" s="57" t="n">
        <v>0</v>
      </c>
      <c r="T302" s="57" t="n">
        <v>28.16</v>
      </c>
      <c r="U302" s="58" t="n">
        <v>0.1196</v>
      </c>
      <c r="V302" s="57" t="n">
        <v>235.52</v>
      </c>
      <c r="W302" s="58" t="n">
        <v>1</v>
      </c>
      <c r="X302" s="58" t="n">
        <v>0</v>
      </c>
      <c r="Y302" s="58" t="n">
        <v>0</v>
      </c>
      <c r="Z302" s="57" t="n">
        <v>0</v>
      </c>
      <c r="AA302" s="57" t="n">
        <v>235.52</v>
      </c>
      <c r="AB302" s="56" t="inlineStr">
        <is>
          <t>FALSE</t>
        </is>
      </c>
      <c r="AC302" s="56" t="inlineStr">
        <is>
          <t>FALSE</t>
        </is>
      </c>
      <c r="AD302" s="57" t="n">
        <v>207.36</v>
      </c>
      <c r="AE302" s="57" t="n">
        <v>0</v>
      </c>
      <c r="AF302" s="57" t="n">
        <v>0</v>
      </c>
      <c r="AG302" s="57" t="n">
        <v>0</v>
      </c>
      <c r="AH302" s="57" t="n">
        <v>0</v>
      </c>
    </row>
    <row r="303">
      <c r="A303" s="56" t="inlineStr">
        <is>
          <t>2026-06-17</t>
        </is>
      </c>
      <c r="B303" s="56" t="inlineStr">
        <is>
          <t>2681998</t>
        </is>
      </c>
      <c r="C303" s="56" t="inlineStr">
        <is>
          <t>2026.1056 Senator Banks Office</t>
        </is>
      </c>
      <c r="D303" s="56" t="inlineStr">
        <is>
          <t>TI</t>
        </is>
      </c>
      <c r="E303" s="56" t="inlineStr">
        <is>
          <t>Dustin Hurt</t>
        </is>
      </c>
      <c r="F303" s="56" t="inlineStr">
        <is>
          <t>BW Facility Management, LLC</t>
        </is>
      </c>
      <c r="G303" s="56" t="inlineStr">
        <is>
          <t>ACTIVE</t>
        </is>
      </c>
      <c r="H303" s="57" t="n">
        <v>47609</v>
      </c>
      <c r="I303" s="57" t="n">
        <v>0</v>
      </c>
      <c r="J303" s="57" t="n">
        <v>34444.01</v>
      </c>
      <c r="K303" s="57" t="n">
        <v>0</v>
      </c>
      <c r="L303" s="57" t="n">
        <v>29030</v>
      </c>
      <c r="M303" s="57" t="n">
        <v>9068.32</v>
      </c>
      <c r="N303" s="58" t="n">
        <v>0.3124</v>
      </c>
      <c r="O303" s="57" t="n">
        <v>14873.05</v>
      </c>
      <c r="P303" s="57" t="n">
        <v>-19570.96</v>
      </c>
      <c r="Q303" s="57" t="n">
        <v>-23399.14</v>
      </c>
      <c r="R303" s="57" t="n">
        <v>19570.96</v>
      </c>
      <c r="S303" s="57" t="n">
        <v>0</v>
      </c>
      <c r="T303" s="57" t="n">
        <v>29202.8</v>
      </c>
      <c r="U303" s="58" t="n">
        <v>0.7631</v>
      </c>
      <c r="V303" s="57" t="n">
        <v>18579</v>
      </c>
      <c r="W303" s="58" t="n">
        <v>0.3902</v>
      </c>
      <c r="X303" s="58" t="n">
        <v>0.3902</v>
      </c>
      <c r="Y303" s="58" t="n">
        <v>-0.3728</v>
      </c>
      <c r="Z303" s="57" t="n">
        <v>3827.11</v>
      </c>
      <c r="AA303" s="57" t="n">
        <v>34444.01</v>
      </c>
      <c r="AB303" s="56" t="inlineStr">
        <is>
          <t>TRUE</t>
        </is>
      </c>
      <c r="AC303" s="56" t="inlineStr">
        <is>
          <t>TRUE</t>
        </is>
      </c>
      <c r="AD303" s="57" t="n">
        <v>3416.45</v>
      </c>
      <c r="AE303" s="57" t="n">
        <v>5651.87</v>
      </c>
      <c r="AF303" s="57" t="n">
        <v>0</v>
      </c>
      <c r="AG303" s="57" t="n">
        <v>0</v>
      </c>
      <c r="AH303" s="57" t="n">
        <v>0</v>
      </c>
    </row>
    <row r="304">
      <c r="A304" s="56" t="inlineStr">
        <is>
          <t>2026-06-17</t>
        </is>
      </c>
      <c r="B304" s="56" t="inlineStr">
        <is>
          <t>2676832</t>
        </is>
      </c>
      <c r="C304" s="56" t="inlineStr">
        <is>
          <t>DS.2026.2392 3705 Holiday Farms Blvd - Precision</t>
        </is>
      </c>
      <c r="D304" s="56" t="inlineStr">
        <is>
          <t>DW</t>
        </is>
      </c>
      <c r="E304" s="56" t="inlineStr">
        <is>
          <t>(Unassigned)</t>
        </is>
      </c>
      <c r="F304" s="56" t="inlineStr">
        <is>
          <t>Precision Dry Wall</t>
        </is>
      </c>
      <c r="G304" s="56" t="inlineStr">
        <is>
          <t>ACTIVE</t>
        </is>
      </c>
      <c r="H304" s="57" t="n">
        <v>7844.42</v>
      </c>
      <c r="I304" s="57" t="n">
        <v>0</v>
      </c>
      <c r="J304" s="57" t="n">
        <v>7844.42</v>
      </c>
      <c r="K304" s="57" t="n">
        <v>8393.530000000001</v>
      </c>
      <c r="L304" s="57" t="n">
        <v>0</v>
      </c>
      <c r="M304" s="57" t="n">
        <v>5379.42</v>
      </c>
      <c r="N304" s="58" t="n">
        <v>0</v>
      </c>
      <c r="O304" s="57" t="n">
        <v>0</v>
      </c>
      <c r="P304" s="57" t="n">
        <v>-7844.42</v>
      </c>
      <c r="Q304" s="57" t="n">
        <v>0</v>
      </c>
      <c r="R304" s="57" t="n">
        <v>7844.42</v>
      </c>
      <c r="S304" s="57" t="n">
        <v>0</v>
      </c>
      <c r="T304" s="57" t="n">
        <v>2465</v>
      </c>
      <c r="U304" s="58" t="n">
        <v>0.3142</v>
      </c>
      <c r="V304" s="57" t="n">
        <v>7844.42</v>
      </c>
      <c r="W304" s="58" t="n">
        <v>1</v>
      </c>
      <c r="X304" s="58" t="n">
        <v>0</v>
      </c>
      <c r="Y304" s="58" t="n">
        <v>0</v>
      </c>
      <c r="Z304" s="57" t="n">
        <v>0</v>
      </c>
      <c r="AA304" s="57" t="n">
        <v>-549.11</v>
      </c>
      <c r="AB304" s="56" t="inlineStr">
        <is>
          <t>FALSE</t>
        </is>
      </c>
      <c r="AC304" s="56" t="inlineStr">
        <is>
          <t>FALSE</t>
        </is>
      </c>
      <c r="AD304" s="57" t="n">
        <v>5379.42</v>
      </c>
      <c r="AE304" s="57" t="n">
        <v>0</v>
      </c>
      <c r="AF304" s="57" t="n">
        <v>0</v>
      </c>
      <c r="AG304" s="57" t="n">
        <v>0</v>
      </c>
      <c r="AH304" s="57" t="n">
        <v>0</v>
      </c>
    </row>
    <row r="305">
      <c r="A305" s="56" t="inlineStr">
        <is>
          <t>2026-06-17</t>
        </is>
      </c>
      <c r="B305" s="56" t="inlineStr">
        <is>
          <t>2676780</t>
        </is>
      </c>
      <c r="C305" s="56" t="inlineStr">
        <is>
          <t>DS.2026.2391 0218 Jose Iracheta</t>
        </is>
      </c>
      <c r="D305" s="56" t="inlineStr">
        <is>
          <t>UN</t>
        </is>
      </c>
      <c r="E305" s="56" t="inlineStr">
        <is>
          <t>(Unassigned)</t>
        </is>
      </c>
      <c r="F305" s="56" t="inlineStr">
        <is>
          <t>Kjt General Construction</t>
        </is>
      </c>
      <c r="G305" s="56" t="inlineStr">
        <is>
          <t>ACTIVE</t>
        </is>
      </c>
      <c r="H305" s="57" t="n">
        <v>1937.28</v>
      </c>
      <c r="I305" s="57" t="n">
        <v>0</v>
      </c>
      <c r="J305" s="57" t="n">
        <v>1937.28</v>
      </c>
      <c r="K305" s="57" t="n">
        <v>0</v>
      </c>
      <c r="L305" s="57" t="n">
        <v>0</v>
      </c>
      <c r="M305" s="57" t="n">
        <v>1383.36</v>
      </c>
      <c r="N305" s="58" t="n">
        <v>0</v>
      </c>
      <c r="O305" s="57" t="n">
        <v>0</v>
      </c>
      <c r="P305" s="57" t="n">
        <v>-1937.28</v>
      </c>
      <c r="Q305" s="57" t="n">
        <v>0</v>
      </c>
      <c r="R305" s="57" t="n">
        <v>1937.28</v>
      </c>
      <c r="S305" s="57" t="n">
        <v>0</v>
      </c>
      <c r="T305" s="57" t="n">
        <v>553.92</v>
      </c>
      <c r="U305" s="58" t="n">
        <v>0.2859</v>
      </c>
      <c r="V305" s="57" t="n">
        <v>1937.28</v>
      </c>
      <c r="W305" s="58" t="n">
        <v>1</v>
      </c>
      <c r="X305" s="58" t="n">
        <v>0</v>
      </c>
      <c r="Y305" s="58" t="n">
        <v>0</v>
      </c>
      <c r="Z305" s="57" t="n">
        <v>0</v>
      </c>
      <c r="AA305" s="57" t="n">
        <v>1937.28</v>
      </c>
      <c r="AB305" s="56" t="inlineStr">
        <is>
          <t>FALSE</t>
        </is>
      </c>
      <c r="AC305" s="56" t="inlineStr">
        <is>
          <t>FALSE</t>
        </is>
      </c>
      <c r="AD305" s="57" t="n">
        <v>1383.36</v>
      </c>
      <c r="AE305" s="57" t="n">
        <v>0</v>
      </c>
      <c r="AF305" s="57" t="n">
        <v>0</v>
      </c>
      <c r="AG305" s="57" t="n">
        <v>0</v>
      </c>
      <c r="AH305" s="57" t="n">
        <v>0</v>
      </c>
    </row>
    <row r="306">
      <c r="A306" s="56" t="inlineStr">
        <is>
          <t>2026-06-17</t>
        </is>
      </c>
      <c r="B306" s="56" t="inlineStr">
        <is>
          <t>2676758</t>
        </is>
      </c>
      <c r="C306" s="56" t="inlineStr">
        <is>
          <t>DS.2026.2390 510 W Pine St</t>
        </is>
      </c>
      <c r="D306" s="56" t="inlineStr">
        <is>
          <t>DW</t>
        </is>
      </c>
      <c r="E306" s="56" t="inlineStr">
        <is>
          <t>(Unassigned)</t>
        </is>
      </c>
      <c r="F306" s="56" t="inlineStr">
        <is>
          <t>Precision Dry Wall</t>
        </is>
      </c>
      <c r="G306" s="56" t="inlineStr">
        <is>
          <t>ACTIVE</t>
        </is>
      </c>
      <c r="H306" s="57" t="n">
        <v>2331.84</v>
      </c>
      <c r="I306" s="57" t="n">
        <v>0</v>
      </c>
      <c r="J306" s="57" t="n">
        <v>2331.84</v>
      </c>
      <c r="K306" s="57" t="n">
        <v>2495.07</v>
      </c>
      <c r="L306" s="57" t="n">
        <v>0</v>
      </c>
      <c r="M306" s="57" t="n">
        <v>1538.64</v>
      </c>
      <c r="N306" s="58" t="n">
        <v>0</v>
      </c>
      <c r="O306" s="57" t="n">
        <v>0</v>
      </c>
      <c r="P306" s="57" t="n">
        <v>-2331.84</v>
      </c>
      <c r="Q306" s="57" t="n">
        <v>0</v>
      </c>
      <c r="R306" s="57" t="n">
        <v>2331.84</v>
      </c>
      <c r="S306" s="57" t="n">
        <v>0</v>
      </c>
      <c r="T306" s="57" t="n">
        <v>793.2</v>
      </c>
      <c r="U306" s="58" t="n">
        <v>0.3402</v>
      </c>
      <c r="V306" s="57" t="n">
        <v>2331.84</v>
      </c>
      <c r="W306" s="58" t="n">
        <v>1</v>
      </c>
      <c r="X306" s="58" t="n">
        <v>0</v>
      </c>
      <c r="Y306" s="58" t="n">
        <v>0</v>
      </c>
      <c r="Z306" s="57" t="n">
        <v>0</v>
      </c>
      <c r="AA306" s="57" t="n">
        <v>-163.23</v>
      </c>
      <c r="AB306" s="56" t="inlineStr">
        <is>
          <t>FALSE</t>
        </is>
      </c>
      <c r="AC306" s="56" t="inlineStr">
        <is>
          <t>FALSE</t>
        </is>
      </c>
      <c r="AD306" s="57" t="n">
        <v>1538.64</v>
      </c>
      <c r="AE306" s="57" t="n">
        <v>0</v>
      </c>
      <c r="AF306" s="57" t="n">
        <v>0</v>
      </c>
      <c r="AG306" s="57" t="n">
        <v>0</v>
      </c>
      <c r="AH306" s="57" t="n">
        <v>0</v>
      </c>
    </row>
    <row r="307">
      <c r="A307" s="56" t="inlineStr">
        <is>
          <t>2026-06-17</t>
        </is>
      </c>
      <c r="B307" s="56" t="inlineStr">
        <is>
          <t>2675379</t>
        </is>
      </c>
      <c r="C307" s="56" t="inlineStr">
        <is>
          <t>DS.2026.2389 Courtyards of Russell Oaks 145</t>
        </is>
      </c>
      <c r="D307" s="56" t="inlineStr">
        <is>
          <t>DW</t>
        </is>
      </c>
      <c r="E307" s="56" t="inlineStr">
        <is>
          <t>(Unassigned)</t>
        </is>
      </c>
      <c r="F307" s="56" t="inlineStr">
        <is>
          <t>Big Dawg Drywall</t>
        </is>
      </c>
      <c r="G307" s="56" t="inlineStr">
        <is>
          <t>ACTIVE</t>
        </is>
      </c>
      <c r="H307" s="57" t="n">
        <v>8107.43</v>
      </c>
      <c r="I307" s="57" t="n">
        <v>280</v>
      </c>
      <c r="J307" s="57" t="n">
        <v>8107.43</v>
      </c>
      <c r="K307" s="57" t="n">
        <v>8674.950000000001</v>
      </c>
      <c r="L307" s="57" t="n">
        <v>0</v>
      </c>
      <c r="M307" s="57" t="n">
        <v>5651.42</v>
      </c>
      <c r="N307" s="58" t="n">
        <v>0</v>
      </c>
      <c r="O307" s="57" t="n">
        <v>0</v>
      </c>
      <c r="P307" s="57" t="n">
        <v>-8107.43</v>
      </c>
      <c r="Q307" s="57" t="n">
        <v>0</v>
      </c>
      <c r="R307" s="57" t="n">
        <v>8107.43</v>
      </c>
      <c r="S307" s="57" t="n">
        <v>0</v>
      </c>
      <c r="T307" s="57" t="n">
        <v>2456.01</v>
      </c>
      <c r="U307" s="58" t="n">
        <v>0.3029</v>
      </c>
      <c r="V307" s="57" t="n">
        <v>8107.43</v>
      </c>
      <c r="W307" s="58" t="n">
        <v>1</v>
      </c>
      <c r="X307" s="58" t="n">
        <v>0</v>
      </c>
      <c r="Y307" s="58" t="n">
        <v>0</v>
      </c>
      <c r="Z307" s="57" t="n">
        <v>0</v>
      </c>
      <c r="AA307" s="57" t="n">
        <v>-567.52</v>
      </c>
      <c r="AB307" s="56" t="inlineStr">
        <is>
          <t>FALSE</t>
        </is>
      </c>
      <c r="AC307" s="56" t="inlineStr">
        <is>
          <t>FALSE</t>
        </is>
      </c>
      <c r="AD307" s="57" t="n">
        <v>5651.42</v>
      </c>
      <c r="AE307" s="57" t="n">
        <v>0</v>
      </c>
      <c r="AF307" s="57" t="n">
        <v>0</v>
      </c>
      <c r="AG307" s="57" t="n">
        <v>0</v>
      </c>
      <c r="AH307" s="57" t="n">
        <v>0</v>
      </c>
    </row>
    <row r="308">
      <c r="A308" s="56" t="inlineStr">
        <is>
          <t>2026-06-17</t>
        </is>
      </c>
      <c r="B308" s="56" t="inlineStr">
        <is>
          <t>2675217</t>
        </is>
      </c>
      <c r="C308" s="56" t="inlineStr">
        <is>
          <t>DS.2026.2388 Courtyards of Cielo Ranch 13</t>
        </is>
      </c>
      <c r="D308" s="56" t="inlineStr">
        <is>
          <t>DW</t>
        </is>
      </c>
      <c r="E308" s="56" t="inlineStr">
        <is>
          <t>(Unassigned)</t>
        </is>
      </c>
      <c r="F308" s="56" t="inlineStr">
        <is>
          <t>Big Dawg Drywall</t>
        </is>
      </c>
      <c r="G308" s="56" t="inlineStr">
        <is>
          <t>ACTIVE</t>
        </is>
      </c>
      <c r="H308" s="57" t="n">
        <v>5878.68</v>
      </c>
      <c r="I308" s="57" t="n">
        <v>0</v>
      </c>
      <c r="J308" s="57" t="n">
        <v>5878.68</v>
      </c>
      <c r="K308" s="57" t="n">
        <v>6290.19</v>
      </c>
      <c r="L308" s="57" t="n">
        <v>0</v>
      </c>
      <c r="M308" s="57" t="n">
        <v>4386.92</v>
      </c>
      <c r="N308" s="58" t="n">
        <v>0</v>
      </c>
      <c r="O308" s="57" t="n">
        <v>0</v>
      </c>
      <c r="P308" s="57" t="n">
        <v>-5878.68</v>
      </c>
      <c r="Q308" s="57" t="n">
        <v>0</v>
      </c>
      <c r="R308" s="57" t="n">
        <v>5878.68</v>
      </c>
      <c r="S308" s="57" t="n">
        <v>0</v>
      </c>
      <c r="T308" s="57" t="n">
        <v>1491.76</v>
      </c>
      <c r="U308" s="58" t="n">
        <v>0.2538</v>
      </c>
      <c r="V308" s="57" t="n">
        <v>5878.68</v>
      </c>
      <c r="W308" s="58" t="n">
        <v>1</v>
      </c>
      <c r="X308" s="58" t="n">
        <v>0</v>
      </c>
      <c r="Y308" s="58" t="n">
        <v>0</v>
      </c>
      <c r="Z308" s="57" t="n">
        <v>0</v>
      </c>
      <c r="AA308" s="57" t="n">
        <v>-411.51</v>
      </c>
      <c r="AB308" s="56" t="inlineStr">
        <is>
          <t>FALSE</t>
        </is>
      </c>
      <c r="AC308" s="56" t="inlineStr">
        <is>
          <t>FALSE</t>
        </is>
      </c>
      <c r="AD308" s="57" t="n">
        <v>4386.92</v>
      </c>
      <c r="AE308" s="57" t="n">
        <v>0</v>
      </c>
      <c r="AF308" s="57" t="n">
        <v>0</v>
      </c>
      <c r="AG308" s="57" t="n">
        <v>0</v>
      </c>
      <c r="AH308" s="57" t="n">
        <v>0</v>
      </c>
    </row>
    <row r="309">
      <c r="A309" s="56" t="inlineStr">
        <is>
          <t>2026-06-17</t>
        </is>
      </c>
      <c r="B309" s="56" t="inlineStr">
        <is>
          <t>2665957</t>
        </is>
      </c>
      <c r="C309" s="56" t="inlineStr">
        <is>
          <t>DS.2026.2387 0204 Jose Irachetta</t>
        </is>
      </c>
      <c r="D309" s="56" t="inlineStr">
        <is>
          <t>UN</t>
        </is>
      </c>
      <c r="E309" s="56" t="inlineStr">
        <is>
          <t>(Unassigned)</t>
        </is>
      </c>
      <c r="F309" s="56" t="inlineStr">
        <is>
          <t>Kjt General Construction</t>
        </is>
      </c>
      <c r="G309" s="56" t="inlineStr">
        <is>
          <t>ACTIVE</t>
        </is>
      </c>
      <c r="H309" s="57" t="n">
        <v>18783.05</v>
      </c>
      <c r="I309" s="57" t="n">
        <v>0</v>
      </c>
      <c r="J309" s="57" t="n">
        <v>18783.05</v>
      </c>
      <c r="K309" s="57" t="n">
        <v>0</v>
      </c>
      <c r="L309" s="57" t="n">
        <v>0</v>
      </c>
      <c r="M309" s="57" t="n">
        <v>14081.61</v>
      </c>
      <c r="N309" s="58" t="n">
        <v>0</v>
      </c>
      <c r="O309" s="57" t="n">
        <v>0</v>
      </c>
      <c r="P309" s="57" t="n">
        <v>-18783.05</v>
      </c>
      <c r="Q309" s="57" t="n">
        <v>0</v>
      </c>
      <c r="R309" s="57" t="n">
        <v>18783.05</v>
      </c>
      <c r="S309" s="57" t="n">
        <v>0</v>
      </c>
      <c r="T309" s="57" t="n">
        <v>4701.44</v>
      </c>
      <c r="U309" s="58" t="n">
        <v>0.2503</v>
      </c>
      <c r="V309" s="57" t="n">
        <v>18783.05</v>
      </c>
      <c r="W309" s="58" t="n">
        <v>1</v>
      </c>
      <c r="X309" s="58" t="n">
        <v>0</v>
      </c>
      <c r="Y309" s="58" t="n">
        <v>0</v>
      </c>
      <c r="Z309" s="57" t="n">
        <v>0</v>
      </c>
      <c r="AA309" s="57" t="n">
        <v>18783.05</v>
      </c>
      <c r="AB309" s="56" t="inlineStr">
        <is>
          <t>FALSE</t>
        </is>
      </c>
      <c r="AC309" s="56" t="inlineStr">
        <is>
          <t>FALSE</t>
        </is>
      </c>
      <c r="AD309" s="57" t="n">
        <v>14081.61</v>
      </c>
      <c r="AE309" s="57" t="n">
        <v>0</v>
      </c>
      <c r="AF309" s="57" t="n">
        <v>0</v>
      </c>
      <c r="AG309" s="57" t="n">
        <v>0</v>
      </c>
      <c r="AH309" s="57" t="n">
        <v>0</v>
      </c>
    </row>
    <row r="310">
      <c r="A310" s="56" t="inlineStr">
        <is>
          <t>2026-06-17</t>
        </is>
      </c>
      <c r="B310" s="56" t="inlineStr">
        <is>
          <t>2656341</t>
        </is>
      </c>
      <c r="C310" s="56" t="inlineStr">
        <is>
          <t>2026.1041 Whiteland Building 2 - Blackhawk</t>
        </is>
      </c>
      <c r="D310" s="56" t="inlineStr">
        <is>
          <t>TI</t>
        </is>
      </c>
      <c r="E310" s="56" t="inlineStr">
        <is>
          <t>Spencer Anderson</t>
        </is>
      </c>
      <c r="F310" s="56" t="inlineStr">
        <is>
          <t>Patch Development</t>
        </is>
      </c>
      <c r="G310" s="56" t="inlineStr">
        <is>
          <t>ACTIVE</t>
        </is>
      </c>
      <c r="H310" s="57" t="n">
        <v>187650</v>
      </c>
      <c r="I310" s="57" t="n">
        <v>1500</v>
      </c>
      <c r="J310" s="57" t="n">
        <v>156420.3</v>
      </c>
      <c r="K310" s="57" t="n">
        <v>111888</v>
      </c>
      <c r="L310" s="57" t="n">
        <v>89817.48</v>
      </c>
      <c r="M310" s="57" t="n">
        <v>58964.07</v>
      </c>
      <c r="N310" s="58" t="n">
        <v>0.6565</v>
      </c>
      <c r="O310" s="57" t="n">
        <v>123192.23</v>
      </c>
      <c r="P310" s="57" t="n">
        <v>-33228.07</v>
      </c>
      <c r="Q310" s="57" t="n">
        <v>-50610.41</v>
      </c>
      <c r="R310" s="57" t="n">
        <v>33228.07</v>
      </c>
      <c r="S310" s="57" t="n">
        <v>0</v>
      </c>
      <c r="T310" s="57" t="n">
        <v>114836.26</v>
      </c>
      <c r="U310" s="58" t="n">
        <v>0.6607</v>
      </c>
      <c r="V310" s="57" t="n">
        <v>97832.52</v>
      </c>
      <c r="W310" s="58" t="n">
        <v>0.5214</v>
      </c>
      <c r="X310" s="58" t="n">
        <v>0.5214</v>
      </c>
      <c r="Y310" s="58" t="n">
        <v>-0.1394</v>
      </c>
      <c r="Z310" s="57" t="n">
        <v>17380.03</v>
      </c>
      <c r="AA310" s="57" t="n">
        <v>44532.3</v>
      </c>
      <c r="AB310" s="56" t="inlineStr">
        <is>
          <t>TRUE</t>
        </is>
      </c>
      <c r="AC310" s="56" t="inlineStr">
        <is>
          <t>TRUE</t>
        </is>
      </c>
      <c r="AD310" s="57" t="n">
        <v>26778.93</v>
      </c>
      <c r="AE310" s="57" t="n">
        <v>31810.14</v>
      </c>
      <c r="AF310" s="57" t="n">
        <v>375</v>
      </c>
      <c r="AG310" s="57" t="n">
        <v>0</v>
      </c>
      <c r="AH310" s="57" t="n">
        <v>0</v>
      </c>
    </row>
    <row r="311">
      <c r="A311" s="56" t="inlineStr">
        <is>
          <t>2026-06-17</t>
        </is>
      </c>
      <c r="B311" s="56" t="inlineStr">
        <is>
          <t>2653588</t>
        </is>
      </c>
      <c r="C311" s="56" t="inlineStr">
        <is>
          <t>2026.1040 Lakeside Books</t>
        </is>
      </c>
      <c r="D311" s="56" t="inlineStr">
        <is>
          <t>TI</t>
        </is>
      </c>
      <c r="E311" s="56" t="inlineStr">
        <is>
          <t>Trevor Anderson</t>
        </is>
      </c>
      <c r="F311" s="56" t="inlineStr">
        <is>
          <t>The Peterson Company, LLC</t>
        </is>
      </c>
      <c r="G311" s="56" t="inlineStr">
        <is>
          <t>ACTIVE</t>
        </is>
      </c>
      <c r="H311" s="57" t="n">
        <v>10020</v>
      </c>
      <c r="I311" s="57" t="n">
        <v>520</v>
      </c>
      <c r="J311" s="57" t="n">
        <v>10020</v>
      </c>
      <c r="K311" s="57" t="n">
        <v>0</v>
      </c>
      <c r="L311" s="57" t="n">
        <v>5603.33</v>
      </c>
      <c r="M311" s="57" t="n">
        <v>5603.33</v>
      </c>
      <c r="N311" s="58" t="n">
        <v>1</v>
      </c>
      <c r="O311" s="57" t="n">
        <v>10020</v>
      </c>
      <c r="P311" s="57" t="n">
        <v>0</v>
      </c>
      <c r="Q311" s="57" t="n">
        <v>0</v>
      </c>
      <c r="R311" s="57" t="n">
        <v>0</v>
      </c>
      <c r="S311" s="57" t="n">
        <v>0</v>
      </c>
      <c r="T311" s="57" t="n">
        <v>4416.67</v>
      </c>
      <c r="U311" s="58" t="n">
        <v>0.4408</v>
      </c>
      <c r="V311" s="57" t="n">
        <v>4416.67</v>
      </c>
      <c r="W311" s="58" t="n">
        <v>0.4408</v>
      </c>
      <c r="X311" s="58" t="n">
        <v>0.4408</v>
      </c>
      <c r="Y311" s="58" t="n">
        <v>0</v>
      </c>
      <c r="Z311" s="57" t="n">
        <v>0</v>
      </c>
      <c r="AA311" s="57" t="n">
        <v>10020</v>
      </c>
      <c r="AB311" s="56" t="inlineStr">
        <is>
          <t>TRUE</t>
        </is>
      </c>
      <c r="AC311" s="56" t="inlineStr">
        <is>
          <t>TRUE</t>
        </is>
      </c>
      <c r="AD311" s="57" t="n">
        <v>3205.24</v>
      </c>
      <c r="AE311" s="57" t="n">
        <v>2398.09</v>
      </c>
      <c r="AF311" s="57" t="n">
        <v>0</v>
      </c>
      <c r="AG311" s="57" t="n">
        <v>0</v>
      </c>
      <c r="AH311" s="57" t="n">
        <v>0</v>
      </c>
    </row>
    <row r="312">
      <c r="A312" s="56" t="inlineStr">
        <is>
          <t>2026-06-17</t>
        </is>
      </c>
      <c r="B312" s="56" t="inlineStr">
        <is>
          <t>2653377</t>
        </is>
      </c>
      <c r="C312" s="56" t="inlineStr">
        <is>
          <t>DS.2026.2386 Courtyards of Russell Oaks 125</t>
        </is>
      </c>
      <c r="D312" s="56" t="inlineStr">
        <is>
          <t>DW</t>
        </is>
      </c>
      <c r="E312" s="56" t="inlineStr">
        <is>
          <t>(Unassigned)</t>
        </is>
      </c>
      <c r="F312" s="56" t="inlineStr">
        <is>
          <t>Big Dawg Drywall</t>
        </is>
      </c>
      <c r="G312" s="56" t="inlineStr">
        <is>
          <t>ACTIVE</t>
        </is>
      </c>
      <c r="H312" s="57" t="n">
        <v>5904.73</v>
      </c>
      <c r="I312" s="57" t="n">
        <v>0</v>
      </c>
      <c r="J312" s="57" t="n">
        <v>5904.73</v>
      </c>
      <c r="K312" s="57" t="n">
        <v>6318.06</v>
      </c>
      <c r="L312" s="57" t="n">
        <v>0</v>
      </c>
      <c r="M312" s="57" t="n">
        <v>4667.22</v>
      </c>
      <c r="N312" s="58" t="n">
        <v>0</v>
      </c>
      <c r="O312" s="57" t="n">
        <v>0</v>
      </c>
      <c r="P312" s="57" t="n">
        <v>-5904.73</v>
      </c>
      <c r="Q312" s="57" t="n">
        <v>0</v>
      </c>
      <c r="R312" s="57" t="n">
        <v>5904.73</v>
      </c>
      <c r="S312" s="57" t="n">
        <v>0</v>
      </c>
      <c r="T312" s="57" t="n">
        <v>1237.51</v>
      </c>
      <c r="U312" s="58" t="n">
        <v>0.2096</v>
      </c>
      <c r="V312" s="57" t="n">
        <v>5904.73</v>
      </c>
      <c r="W312" s="58" t="n">
        <v>1</v>
      </c>
      <c r="X312" s="58" t="n">
        <v>0</v>
      </c>
      <c r="Y312" s="58" t="n">
        <v>0</v>
      </c>
      <c r="Z312" s="57" t="n">
        <v>0</v>
      </c>
      <c r="AA312" s="57" t="n">
        <v>-413.33</v>
      </c>
      <c r="AB312" s="56" t="inlineStr">
        <is>
          <t>FALSE</t>
        </is>
      </c>
      <c r="AC312" s="56" t="inlineStr">
        <is>
          <t>FALSE</t>
        </is>
      </c>
      <c r="AD312" s="57" t="n">
        <v>4667.22</v>
      </c>
      <c r="AE312" s="57" t="n">
        <v>0</v>
      </c>
      <c r="AF312" s="57" t="n">
        <v>0</v>
      </c>
      <c r="AG312" s="57" t="n">
        <v>0</v>
      </c>
      <c r="AH312" s="57" t="n">
        <v>0</v>
      </c>
    </row>
    <row r="313">
      <c r="A313" s="56" t="inlineStr">
        <is>
          <t>2026-06-17</t>
        </is>
      </c>
      <c r="B313" s="56" t="inlineStr">
        <is>
          <t>2653351</t>
        </is>
      </c>
      <c r="C313" s="56" t="inlineStr">
        <is>
          <t>DS.2026.2385 Courtyards of Russell Oaks 123</t>
        </is>
      </c>
      <c r="D313" s="56" t="inlineStr">
        <is>
          <t>DW</t>
        </is>
      </c>
      <c r="E313" s="56" t="inlineStr">
        <is>
          <t>(Unassigned)</t>
        </is>
      </c>
      <c r="F313" s="56" t="inlineStr">
        <is>
          <t>Big Dawg Drywall</t>
        </is>
      </c>
      <c r="G313" s="56" t="inlineStr">
        <is>
          <t>ACTIVE</t>
        </is>
      </c>
      <c r="H313" s="57" t="n">
        <v>6366.58</v>
      </c>
      <c r="I313" s="57" t="n">
        <v>0</v>
      </c>
      <c r="J313" s="57" t="n">
        <v>6366.58</v>
      </c>
      <c r="K313" s="57" t="n">
        <v>6812.24</v>
      </c>
      <c r="L313" s="57" t="n">
        <v>0</v>
      </c>
      <c r="M313" s="57" t="n">
        <v>5053.67</v>
      </c>
      <c r="N313" s="58" t="n">
        <v>0</v>
      </c>
      <c r="O313" s="57" t="n">
        <v>0</v>
      </c>
      <c r="P313" s="57" t="n">
        <v>-6366.58</v>
      </c>
      <c r="Q313" s="57" t="n">
        <v>0</v>
      </c>
      <c r="R313" s="57" t="n">
        <v>6366.58</v>
      </c>
      <c r="S313" s="57" t="n">
        <v>0</v>
      </c>
      <c r="T313" s="57" t="n">
        <v>1312.91</v>
      </c>
      <c r="U313" s="58" t="n">
        <v>0.2062</v>
      </c>
      <c r="V313" s="57" t="n">
        <v>6366.58</v>
      </c>
      <c r="W313" s="58" t="n">
        <v>1</v>
      </c>
      <c r="X313" s="58" t="n">
        <v>0</v>
      </c>
      <c r="Y313" s="58" t="n">
        <v>0</v>
      </c>
      <c r="Z313" s="57" t="n">
        <v>0</v>
      </c>
      <c r="AA313" s="57" t="n">
        <v>-445.66</v>
      </c>
      <c r="AB313" s="56" t="inlineStr">
        <is>
          <t>FALSE</t>
        </is>
      </c>
      <c r="AC313" s="56" t="inlineStr">
        <is>
          <t>FALSE</t>
        </is>
      </c>
      <c r="AD313" s="57" t="n">
        <v>5053.67</v>
      </c>
      <c r="AE313" s="57" t="n">
        <v>0</v>
      </c>
      <c r="AF313" s="57" t="n">
        <v>0</v>
      </c>
      <c r="AG313" s="57" t="n">
        <v>0</v>
      </c>
      <c r="AH313" s="57" t="n">
        <v>0</v>
      </c>
    </row>
    <row r="314">
      <c r="A314" s="56" t="inlineStr">
        <is>
          <t>2026-06-17</t>
        </is>
      </c>
      <c r="B314" s="56" t="inlineStr">
        <is>
          <t>2653309</t>
        </is>
      </c>
      <c r="C314" s="56" t="inlineStr">
        <is>
          <t>DS.2026.2384 225 N St Ave</t>
        </is>
      </c>
      <c r="D314" s="56" t="inlineStr">
        <is>
          <t>DW</t>
        </is>
      </c>
      <c r="E314" s="56" t="inlineStr">
        <is>
          <t>(Unassigned)</t>
        </is>
      </c>
      <c r="F314" s="56" t="inlineStr">
        <is>
          <t>Precision Dry Wall</t>
        </is>
      </c>
      <c r="G314" s="56" t="inlineStr">
        <is>
          <t>ACTIVE</t>
        </is>
      </c>
      <c r="H314" s="57" t="n">
        <v>3992.46</v>
      </c>
      <c r="I314" s="57" t="n">
        <v>0</v>
      </c>
      <c r="J314" s="57" t="n">
        <v>3992.46</v>
      </c>
      <c r="K314" s="57" t="n">
        <v>4271.93</v>
      </c>
      <c r="L314" s="57" t="n">
        <v>0</v>
      </c>
      <c r="M314" s="57" t="n">
        <v>2908.28</v>
      </c>
      <c r="N314" s="58" t="n">
        <v>0</v>
      </c>
      <c r="O314" s="57" t="n">
        <v>0</v>
      </c>
      <c r="P314" s="57" t="n">
        <v>-3992.46</v>
      </c>
      <c r="Q314" s="57" t="n">
        <v>0</v>
      </c>
      <c r="R314" s="57" t="n">
        <v>3992.46</v>
      </c>
      <c r="S314" s="57" t="n">
        <v>0</v>
      </c>
      <c r="T314" s="57" t="n">
        <v>1084.18</v>
      </c>
      <c r="U314" s="58" t="n">
        <v>0.2716</v>
      </c>
      <c r="V314" s="57" t="n">
        <v>3992.46</v>
      </c>
      <c r="W314" s="58" t="n">
        <v>1</v>
      </c>
      <c r="X314" s="58" t="n">
        <v>0</v>
      </c>
      <c r="Y314" s="58" t="n">
        <v>0</v>
      </c>
      <c r="Z314" s="57" t="n">
        <v>0</v>
      </c>
      <c r="AA314" s="57" t="n">
        <v>-279.47</v>
      </c>
      <c r="AB314" s="56" t="inlineStr">
        <is>
          <t>FALSE</t>
        </is>
      </c>
      <c r="AC314" s="56" t="inlineStr">
        <is>
          <t>FALSE</t>
        </is>
      </c>
      <c r="AD314" s="57" t="n">
        <v>2908.28</v>
      </c>
      <c r="AE314" s="57" t="n">
        <v>0</v>
      </c>
      <c r="AF314" s="57" t="n">
        <v>0</v>
      </c>
      <c r="AG314" s="57" t="n">
        <v>0</v>
      </c>
      <c r="AH314" s="57" t="n">
        <v>0</v>
      </c>
    </row>
    <row r="315">
      <c r="A315" s="56" t="inlineStr">
        <is>
          <t>2026-06-17</t>
        </is>
      </c>
      <c r="B315" s="56" t="inlineStr">
        <is>
          <t>2652271</t>
        </is>
      </c>
      <c r="C315" s="56" t="inlineStr">
        <is>
          <t>2026.1039 Upland Prospect Street</t>
        </is>
      </c>
      <c r="D315" s="56" t="inlineStr">
        <is>
          <t>TI</t>
        </is>
      </c>
      <c r="E315" s="56" t="inlineStr">
        <is>
          <t>Tommy Cohoat</t>
        </is>
      </c>
      <c r="F315" s="56" t="inlineStr">
        <is>
          <t>Bischoff Construction, LLC</t>
        </is>
      </c>
      <c r="G315" s="56" t="inlineStr">
        <is>
          <t>ACTIVE</t>
        </is>
      </c>
      <c r="H315" s="57" t="n">
        <v>6500</v>
      </c>
      <c r="I315" s="57" t="n">
        <v>0</v>
      </c>
      <c r="J315" s="57" t="n">
        <v>6500</v>
      </c>
      <c r="K315" s="57" t="n">
        <v>6500</v>
      </c>
      <c r="L315" s="57" t="n">
        <v>6400</v>
      </c>
      <c r="M315" s="57" t="n">
        <v>6355.54</v>
      </c>
      <c r="N315" s="58" t="n">
        <v>0.9931</v>
      </c>
      <c r="O315" s="57" t="n">
        <v>6455.15</v>
      </c>
      <c r="P315" s="57" t="n">
        <v>-44.85</v>
      </c>
      <c r="Q315" s="57" t="n">
        <v>-45.15</v>
      </c>
      <c r="R315" s="57" t="n">
        <v>44.85</v>
      </c>
      <c r="S315" s="57" t="n">
        <v>0</v>
      </c>
      <c r="T315" s="57" t="n">
        <v>144.46</v>
      </c>
      <c r="U315" s="58" t="n">
        <v>0.0222</v>
      </c>
      <c r="V315" s="57" t="n">
        <v>100</v>
      </c>
      <c r="W315" s="58" t="n">
        <v>0.0154</v>
      </c>
      <c r="X315" s="58" t="n">
        <v>0.0154</v>
      </c>
      <c r="Y315" s="58" t="n">
        <v>-0.0068</v>
      </c>
      <c r="Z315" s="57" t="n">
        <v>0</v>
      </c>
      <c r="AA315" s="57" t="n">
        <v>0</v>
      </c>
      <c r="AB315" s="56" t="inlineStr">
        <is>
          <t>TRUE</t>
        </is>
      </c>
      <c r="AC315" s="56" t="inlineStr">
        <is>
          <t>TRUE</t>
        </is>
      </c>
      <c r="AD315" s="57" t="n">
        <v>2369.09</v>
      </c>
      <c r="AE315" s="57" t="n">
        <v>3986.45</v>
      </c>
      <c r="AF315" s="57" t="n">
        <v>0</v>
      </c>
      <c r="AG315" s="57" t="n">
        <v>0</v>
      </c>
      <c r="AH315" s="57" t="n">
        <v>0</v>
      </c>
    </row>
    <row r="316">
      <c r="A316" s="56" t="inlineStr">
        <is>
          <t>2026-06-17</t>
        </is>
      </c>
      <c r="B316" s="56" t="inlineStr">
        <is>
          <t>2645199</t>
        </is>
      </c>
      <c r="C316" s="56" t="inlineStr">
        <is>
          <t>DS.2026.2383 Courtyards of Cielo Ranch 37</t>
        </is>
      </c>
      <c r="D316" s="56" t="inlineStr">
        <is>
          <t>DW</t>
        </is>
      </c>
      <c r="E316" s="56" t="inlineStr">
        <is>
          <t>(Unassigned)</t>
        </is>
      </c>
      <c r="F316" s="56" t="inlineStr">
        <is>
          <t>Big Dawg Drywall</t>
        </is>
      </c>
      <c r="G316" s="56" t="inlineStr">
        <is>
          <t>ACTIVE</t>
        </is>
      </c>
      <c r="H316" s="57" t="n">
        <v>7213.87</v>
      </c>
      <c r="I316" s="57" t="n">
        <v>0</v>
      </c>
      <c r="J316" s="57" t="n">
        <v>7213.87</v>
      </c>
      <c r="K316" s="57" t="n">
        <v>7718.84</v>
      </c>
      <c r="L316" s="57" t="n">
        <v>0</v>
      </c>
      <c r="M316" s="57" t="n">
        <v>5333.35</v>
      </c>
      <c r="N316" s="58" t="n">
        <v>0</v>
      </c>
      <c r="O316" s="57" t="n">
        <v>0</v>
      </c>
      <c r="P316" s="57" t="n">
        <v>-7213.87</v>
      </c>
      <c r="Q316" s="57" t="n">
        <v>0</v>
      </c>
      <c r="R316" s="57" t="n">
        <v>7213.87</v>
      </c>
      <c r="S316" s="57" t="n">
        <v>0</v>
      </c>
      <c r="T316" s="57" t="n">
        <v>1880.52</v>
      </c>
      <c r="U316" s="58" t="n">
        <v>0.2607</v>
      </c>
      <c r="V316" s="57" t="n">
        <v>7213.87</v>
      </c>
      <c r="W316" s="58" t="n">
        <v>1</v>
      </c>
      <c r="X316" s="58" t="n">
        <v>0</v>
      </c>
      <c r="Y316" s="58" t="n">
        <v>0</v>
      </c>
      <c r="Z316" s="57" t="n">
        <v>0</v>
      </c>
      <c r="AA316" s="57" t="n">
        <v>-504.97</v>
      </c>
      <c r="AB316" s="56" t="inlineStr">
        <is>
          <t>FALSE</t>
        </is>
      </c>
      <c r="AC316" s="56" t="inlineStr">
        <is>
          <t>FALSE</t>
        </is>
      </c>
      <c r="AD316" s="57" t="n">
        <v>5333.35</v>
      </c>
      <c r="AE316" s="57" t="n">
        <v>0</v>
      </c>
      <c r="AF316" s="57" t="n">
        <v>0</v>
      </c>
      <c r="AG316" s="57" t="n">
        <v>0</v>
      </c>
      <c r="AH316" s="57" t="n">
        <v>0</v>
      </c>
    </row>
    <row r="317">
      <c r="A317" s="56" t="inlineStr">
        <is>
          <t>2026-06-17</t>
        </is>
      </c>
      <c r="B317" s="56" t="inlineStr">
        <is>
          <t>2645179</t>
        </is>
      </c>
      <c r="C317" s="56" t="inlineStr">
        <is>
          <t>DS.2026.2382 Cohoat House</t>
        </is>
      </c>
      <c r="D317" s="56" t="inlineStr">
        <is>
          <t>DW</t>
        </is>
      </c>
      <c r="E317" s="56" t="inlineStr">
        <is>
          <t>(Unassigned)</t>
        </is>
      </c>
      <c r="F317" s="56" t="inlineStr">
        <is>
          <t>Mendoza</t>
        </is>
      </c>
      <c r="G317" s="56" t="inlineStr">
        <is>
          <t>ACTIVE</t>
        </is>
      </c>
      <c r="H317" s="57" t="n">
        <v>995.75</v>
      </c>
      <c r="I317" s="57" t="n">
        <v>0</v>
      </c>
      <c r="J317" s="57" t="n">
        <v>995.75</v>
      </c>
      <c r="K317" s="57" t="n">
        <v>1065.45</v>
      </c>
      <c r="L317" s="57" t="n">
        <v>0</v>
      </c>
      <c r="M317" s="57" t="n">
        <v>703.8099999999999</v>
      </c>
      <c r="N317" s="58" t="n">
        <v>0</v>
      </c>
      <c r="O317" s="57" t="n">
        <v>0</v>
      </c>
      <c r="P317" s="57" t="n">
        <v>-995.75</v>
      </c>
      <c r="Q317" s="57" t="n">
        <v>0</v>
      </c>
      <c r="R317" s="57" t="n">
        <v>995.75</v>
      </c>
      <c r="S317" s="57" t="n">
        <v>0</v>
      </c>
      <c r="T317" s="57" t="n">
        <v>291.94</v>
      </c>
      <c r="U317" s="58" t="n">
        <v>0.2932</v>
      </c>
      <c r="V317" s="57" t="n">
        <v>995.75</v>
      </c>
      <c r="W317" s="58" t="n">
        <v>1</v>
      </c>
      <c r="X317" s="58" t="n">
        <v>0</v>
      </c>
      <c r="Y317" s="58" t="n">
        <v>0</v>
      </c>
      <c r="Z317" s="57" t="n">
        <v>0</v>
      </c>
      <c r="AA317" s="57" t="n">
        <v>-69.7</v>
      </c>
      <c r="AB317" s="56" t="inlineStr">
        <is>
          <t>FALSE</t>
        </is>
      </c>
      <c r="AC317" s="56" t="inlineStr">
        <is>
          <t>FALSE</t>
        </is>
      </c>
      <c r="AD317" s="57" t="n">
        <v>703.8099999999999</v>
      </c>
      <c r="AE317" s="57" t="n">
        <v>0</v>
      </c>
      <c r="AF317" s="57" t="n">
        <v>0</v>
      </c>
      <c r="AG317" s="57" t="n">
        <v>0</v>
      </c>
      <c r="AH317" s="57" t="n">
        <v>0</v>
      </c>
    </row>
    <row r="318">
      <c r="A318" s="56" t="inlineStr">
        <is>
          <t>2026-06-17</t>
        </is>
      </c>
      <c r="B318" s="56" t="inlineStr">
        <is>
          <t>2644918</t>
        </is>
      </c>
      <c r="C318" s="56" t="inlineStr">
        <is>
          <t>2026.1037 CV - Castle Rock</t>
        </is>
      </c>
      <c r="D318" s="56" t="inlineStr">
        <is>
          <t>TI</t>
        </is>
      </c>
      <c r="E318" s="56" t="inlineStr">
        <is>
          <t>Ben Garza</t>
        </is>
      </c>
      <c r="F318" s="56" t="inlineStr">
        <is>
          <t>Bischoff Construction, LLC</t>
        </is>
      </c>
      <c r="G318" s="56" t="inlineStr">
        <is>
          <t>ACTIVE</t>
        </is>
      </c>
      <c r="H318" s="57" t="n">
        <v>127451</v>
      </c>
      <c r="I318" s="57" t="n">
        <v>40451</v>
      </c>
      <c r="J318" s="57" t="n">
        <v>127451</v>
      </c>
      <c r="K318" s="57" t="n">
        <v>125451</v>
      </c>
      <c r="L318" s="57" t="n">
        <v>103762.97</v>
      </c>
      <c r="M318" s="57" t="n">
        <v>103762.97</v>
      </c>
      <c r="N318" s="58" t="n">
        <v>1</v>
      </c>
      <c r="O318" s="57" t="n">
        <v>127451</v>
      </c>
      <c r="P318" s="57" t="n">
        <v>0</v>
      </c>
      <c r="Q318" s="57" t="n">
        <v>-0</v>
      </c>
      <c r="R318" s="57" t="n">
        <v>0</v>
      </c>
      <c r="S318" s="57" t="n">
        <v>0</v>
      </c>
      <c r="T318" s="57" t="n">
        <v>23688.03</v>
      </c>
      <c r="U318" s="58" t="n">
        <v>0.1859</v>
      </c>
      <c r="V318" s="57" t="n">
        <v>23688.03</v>
      </c>
      <c r="W318" s="58" t="n">
        <v>0.1859</v>
      </c>
      <c r="X318" s="58" t="n">
        <v>0.1859</v>
      </c>
      <c r="Y318" s="58" t="n">
        <v>-0</v>
      </c>
      <c r="Z318" s="57" t="n">
        <v>0</v>
      </c>
      <c r="AA318" s="57" t="n">
        <v>2000</v>
      </c>
      <c r="AB318" s="56" t="inlineStr">
        <is>
          <t>TRUE</t>
        </is>
      </c>
      <c r="AC318" s="56" t="inlineStr">
        <is>
          <t>TRUE</t>
        </is>
      </c>
      <c r="AD318" s="57" t="n">
        <v>19775.57</v>
      </c>
      <c r="AE318" s="57" t="n">
        <v>71666.05</v>
      </c>
      <c r="AF318" s="57" t="n">
        <v>11728.81</v>
      </c>
      <c r="AG318" s="57" t="n">
        <v>592.54</v>
      </c>
      <c r="AH318" s="57" t="n">
        <v>0</v>
      </c>
    </row>
    <row r="319">
      <c r="A319" s="56" t="inlineStr">
        <is>
          <t>2026-06-17</t>
        </is>
      </c>
      <c r="B319" s="56" t="inlineStr">
        <is>
          <t>2644454</t>
        </is>
      </c>
      <c r="C319" s="56" t="inlineStr">
        <is>
          <t>2026.1036 Port Laredo Trade Center</t>
        </is>
      </c>
      <c r="D319" s="56" t="inlineStr">
        <is>
          <t>TI</t>
        </is>
      </c>
      <c r="E319" s="56" t="inlineStr">
        <is>
          <t>Ben Garza</t>
        </is>
      </c>
      <c r="F319" s="56" t="inlineStr">
        <is>
          <t>ARCO Design/Build</t>
        </is>
      </c>
      <c r="G319" s="56" t="inlineStr">
        <is>
          <t>ACTIVE</t>
        </is>
      </c>
      <c r="H319" s="57" t="n">
        <v>108475</v>
      </c>
      <c r="I319" s="57" t="n">
        <v>0</v>
      </c>
      <c r="J319" s="57" t="n">
        <v>108475</v>
      </c>
      <c r="K319" s="57" t="n">
        <v>0</v>
      </c>
      <c r="L319" s="57" t="n">
        <v>63550.88</v>
      </c>
      <c r="M319" s="57" t="n">
        <v>63550.88</v>
      </c>
      <c r="N319" s="58" t="n">
        <v>1</v>
      </c>
      <c r="O319" s="57" t="n">
        <v>108475</v>
      </c>
      <c r="P319" s="57" t="n">
        <v>0</v>
      </c>
      <c r="Q319" s="57" t="n">
        <v>0</v>
      </c>
      <c r="R319" s="57" t="n">
        <v>0</v>
      </c>
      <c r="S319" s="57" t="n">
        <v>0</v>
      </c>
      <c r="T319" s="57" t="n">
        <v>44924.12</v>
      </c>
      <c r="U319" s="58" t="n">
        <v>0.4141</v>
      </c>
      <c r="V319" s="57" t="n">
        <v>44924.12</v>
      </c>
      <c r="W319" s="58" t="n">
        <v>0.4141</v>
      </c>
      <c r="X319" s="58" t="n">
        <v>0.4141</v>
      </c>
      <c r="Y319" s="58" t="n">
        <v>0</v>
      </c>
      <c r="Z319" s="57" t="n">
        <v>0</v>
      </c>
      <c r="AA319" s="57" t="n">
        <v>108475</v>
      </c>
      <c r="AB319" s="56" t="inlineStr">
        <is>
          <t>TRUE</t>
        </is>
      </c>
      <c r="AC319" s="56" t="inlineStr">
        <is>
          <t>TRUE</t>
        </is>
      </c>
      <c r="AD319" s="57" t="n">
        <v>22007.74</v>
      </c>
      <c r="AE319" s="57" t="n">
        <v>41304.5</v>
      </c>
      <c r="AF319" s="57" t="n">
        <v>0</v>
      </c>
      <c r="AG319" s="57" t="n">
        <v>238.64</v>
      </c>
      <c r="AH319" s="57" t="n">
        <v>0</v>
      </c>
    </row>
    <row r="320">
      <c r="A320" s="56" t="inlineStr">
        <is>
          <t>2026-06-17</t>
        </is>
      </c>
      <c r="B320" s="56" t="inlineStr">
        <is>
          <t>2640941</t>
        </is>
      </c>
      <c r="C320" s="56" t="inlineStr">
        <is>
          <t>DS.2026.2381 Hunt Addition</t>
        </is>
      </c>
      <c r="D320" s="56" t="inlineStr">
        <is>
          <t>DW</t>
        </is>
      </c>
      <c r="E320" s="56" t="inlineStr">
        <is>
          <t>(Unassigned)</t>
        </is>
      </c>
      <c r="F320" s="56" t="inlineStr">
        <is>
          <t>Flores Drywall and Remodeling LLC</t>
        </is>
      </c>
      <c r="G320" s="56" t="inlineStr">
        <is>
          <t>ACTIVE</t>
        </is>
      </c>
      <c r="H320" s="57" t="n">
        <v>1497</v>
      </c>
      <c r="I320" s="57" t="n">
        <v>0</v>
      </c>
      <c r="J320" s="57" t="n">
        <v>1497</v>
      </c>
      <c r="K320" s="57" t="n">
        <v>1601.79</v>
      </c>
      <c r="L320" s="57" t="n">
        <v>0</v>
      </c>
      <c r="M320" s="57" t="n">
        <v>1022.88</v>
      </c>
      <c r="N320" s="58" t="n">
        <v>0</v>
      </c>
      <c r="O320" s="57" t="n">
        <v>0</v>
      </c>
      <c r="P320" s="57" t="n">
        <v>-1497</v>
      </c>
      <c r="Q320" s="57" t="n">
        <v>0</v>
      </c>
      <c r="R320" s="57" t="n">
        <v>1497</v>
      </c>
      <c r="S320" s="57" t="n">
        <v>0</v>
      </c>
      <c r="T320" s="57" t="n">
        <v>474.12</v>
      </c>
      <c r="U320" s="58" t="n">
        <v>0.3167</v>
      </c>
      <c r="V320" s="57" t="n">
        <v>1497</v>
      </c>
      <c r="W320" s="58" t="n">
        <v>1</v>
      </c>
      <c r="X320" s="58" t="n">
        <v>0</v>
      </c>
      <c r="Y320" s="58" t="n">
        <v>0</v>
      </c>
      <c r="Z320" s="57" t="n">
        <v>0</v>
      </c>
      <c r="AA320" s="57" t="n">
        <v>-104.79</v>
      </c>
      <c r="AB320" s="56" t="inlineStr">
        <is>
          <t>FALSE</t>
        </is>
      </c>
      <c r="AC320" s="56" t="inlineStr">
        <is>
          <t>FALSE</t>
        </is>
      </c>
      <c r="AD320" s="57" t="n">
        <v>1022.88</v>
      </c>
      <c r="AE320" s="57" t="n">
        <v>0</v>
      </c>
      <c r="AF320" s="57" t="n">
        <v>0</v>
      </c>
      <c r="AG320" s="57" t="n">
        <v>0</v>
      </c>
      <c r="AH320" s="57" t="n">
        <v>0</v>
      </c>
    </row>
    <row r="321">
      <c r="A321" s="56" t="inlineStr">
        <is>
          <t>2026-06-17</t>
        </is>
      </c>
      <c r="B321" s="56" t="inlineStr">
        <is>
          <t>2637503</t>
        </is>
      </c>
      <c r="C321" s="56" t="inlineStr">
        <is>
          <t>DS.2026.2380 Mike Valentine 0129</t>
        </is>
      </c>
      <c r="D321" s="56" t="inlineStr">
        <is>
          <t>DW</t>
        </is>
      </c>
      <c r="E321" s="56" t="inlineStr">
        <is>
          <t>(Unassigned)</t>
        </is>
      </c>
      <c r="F321" s="56" t="inlineStr">
        <is>
          <t>Michael Valentine</t>
        </is>
      </c>
      <c r="G321" s="56" t="inlineStr">
        <is>
          <t>ACTIVE</t>
        </is>
      </c>
      <c r="H321" s="57" t="n">
        <v>11616.94</v>
      </c>
      <c r="I321" s="57" t="n">
        <v>0</v>
      </c>
      <c r="J321" s="57" t="n">
        <v>11616.94</v>
      </c>
      <c r="K321" s="57" t="n">
        <v>0</v>
      </c>
      <c r="L321" s="57" t="n">
        <v>0</v>
      </c>
      <c r="M321" s="57" t="n">
        <v>7713.06</v>
      </c>
      <c r="N321" s="58" t="n">
        <v>0</v>
      </c>
      <c r="O321" s="57" t="n">
        <v>0</v>
      </c>
      <c r="P321" s="57" t="n">
        <v>-11616.94</v>
      </c>
      <c r="Q321" s="57" t="n">
        <v>0</v>
      </c>
      <c r="R321" s="57" t="n">
        <v>11616.94</v>
      </c>
      <c r="S321" s="57" t="n">
        <v>0</v>
      </c>
      <c r="T321" s="57" t="n">
        <v>3903.88</v>
      </c>
      <c r="U321" s="58" t="n">
        <v>0.3361</v>
      </c>
      <c r="V321" s="57" t="n">
        <v>11616.94</v>
      </c>
      <c r="W321" s="58" t="n">
        <v>1</v>
      </c>
      <c r="X321" s="58" t="n">
        <v>0</v>
      </c>
      <c r="Y321" s="58" t="n">
        <v>0</v>
      </c>
      <c r="Z321" s="57" t="n">
        <v>0</v>
      </c>
      <c r="AA321" s="57" t="n">
        <v>11616.94</v>
      </c>
      <c r="AB321" s="56" t="inlineStr">
        <is>
          <t>FALSE</t>
        </is>
      </c>
      <c r="AC321" s="56" t="inlineStr">
        <is>
          <t>FALSE</t>
        </is>
      </c>
      <c r="AD321" s="57" t="n">
        <v>7713.06</v>
      </c>
      <c r="AE321" s="57" t="n">
        <v>0</v>
      </c>
      <c r="AF321" s="57" t="n">
        <v>0</v>
      </c>
      <c r="AG321" s="57" t="n">
        <v>0</v>
      </c>
      <c r="AH321" s="57" t="n">
        <v>0</v>
      </c>
    </row>
    <row r="322">
      <c r="A322" s="56" t="inlineStr">
        <is>
          <t>2026-06-17</t>
        </is>
      </c>
      <c r="B322" s="56" t="inlineStr">
        <is>
          <t>2637443</t>
        </is>
      </c>
      <c r="C322" s="56" t="inlineStr">
        <is>
          <t>DS.2026.2379 124 S A Street</t>
        </is>
      </c>
      <c r="D322" s="56" t="inlineStr">
        <is>
          <t>DW</t>
        </is>
      </c>
      <c r="E322" s="56" t="inlineStr">
        <is>
          <t>(Unassigned)</t>
        </is>
      </c>
      <c r="F322" s="56" t="inlineStr">
        <is>
          <t>Flores Drywall and Remodeling LLC</t>
        </is>
      </c>
      <c r="G322" s="56" t="inlineStr">
        <is>
          <t>ACTIVE</t>
        </is>
      </c>
      <c r="H322" s="57" t="n">
        <v>2460.4</v>
      </c>
      <c r="I322" s="57" t="n">
        <v>0</v>
      </c>
      <c r="J322" s="57" t="n">
        <v>2460.4</v>
      </c>
      <c r="K322" s="57" t="n">
        <v>2632.63</v>
      </c>
      <c r="L322" s="57" t="n">
        <v>0</v>
      </c>
      <c r="M322" s="57" t="n">
        <v>1651.4</v>
      </c>
      <c r="N322" s="58" t="n">
        <v>0</v>
      </c>
      <c r="O322" s="57" t="n">
        <v>0</v>
      </c>
      <c r="P322" s="57" t="n">
        <v>-2460.4</v>
      </c>
      <c r="Q322" s="57" t="n">
        <v>0</v>
      </c>
      <c r="R322" s="57" t="n">
        <v>2460.4</v>
      </c>
      <c r="S322" s="57" t="n">
        <v>0</v>
      </c>
      <c r="T322" s="57" t="n">
        <v>809</v>
      </c>
      <c r="U322" s="58" t="n">
        <v>0.3288</v>
      </c>
      <c r="V322" s="57" t="n">
        <v>2460.4</v>
      </c>
      <c r="W322" s="58" t="n">
        <v>1</v>
      </c>
      <c r="X322" s="58" t="n">
        <v>0</v>
      </c>
      <c r="Y322" s="58" t="n">
        <v>0</v>
      </c>
      <c r="Z322" s="57" t="n">
        <v>0</v>
      </c>
      <c r="AA322" s="57" t="n">
        <v>-172.23</v>
      </c>
      <c r="AB322" s="56" t="inlineStr">
        <is>
          <t>FALSE</t>
        </is>
      </c>
      <c r="AC322" s="56" t="inlineStr">
        <is>
          <t>FALSE</t>
        </is>
      </c>
      <c r="AD322" s="57" t="n">
        <v>1651.4</v>
      </c>
      <c r="AE322" s="57" t="n">
        <v>0</v>
      </c>
      <c r="AF322" s="57" t="n">
        <v>0</v>
      </c>
      <c r="AG322" s="57" t="n">
        <v>0</v>
      </c>
      <c r="AH322" s="57" t="n">
        <v>0</v>
      </c>
    </row>
    <row r="323">
      <c r="A323" s="56" t="inlineStr">
        <is>
          <t>2026-06-17</t>
        </is>
      </c>
      <c r="B323" s="56" t="inlineStr">
        <is>
          <t>2637384</t>
        </is>
      </c>
      <c r="C323" s="56" t="inlineStr">
        <is>
          <t>DS.2026.2378 Courtyards of Westfield 108</t>
        </is>
      </c>
      <c r="D323" s="56" t="inlineStr">
        <is>
          <t>DW</t>
        </is>
      </c>
      <c r="E323" s="56" t="inlineStr">
        <is>
          <t>(Unassigned)</t>
        </is>
      </c>
      <c r="F323" s="56" t="inlineStr">
        <is>
          <t>Big Dawg Drywall</t>
        </is>
      </c>
      <c r="G323" s="56" t="inlineStr">
        <is>
          <t>ACTIVE</t>
        </is>
      </c>
      <c r="H323" s="57" t="n">
        <v>7137.73</v>
      </c>
      <c r="I323" s="57" t="n">
        <v>0</v>
      </c>
      <c r="J323" s="57" t="n">
        <v>7137.73</v>
      </c>
      <c r="K323" s="57" t="n">
        <v>273.77</v>
      </c>
      <c r="L323" s="57" t="n">
        <v>0</v>
      </c>
      <c r="M323" s="57" t="n">
        <v>4325.35</v>
      </c>
      <c r="N323" s="58" t="n">
        <v>0</v>
      </c>
      <c r="O323" s="57" t="n">
        <v>0</v>
      </c>
      <c r="P323" s="57" t="n">
        <v>-7137.73</v>
      </c>
      <c r="Q323" s="57" t="n">
        <v>0</v>
      </c>
      <c r="R323" s="57" t="n">
        <v>7137.73</v>
      </c>
      <c r="S323" s="57" t="n">
        <v>0</v>
      </c>
      <c r="T323" s="57" t="n">
        <v>2812.38</v>
      </c>
      <c r="U323" s="58" t="n">
        <v>0.394</v>
      </c>
      <c r="V323" s="57" t="n">
        <v>7137.73</v>
      </c>
      <c r="W323" s="58" t="n">
        <v>1</v>
      </c>
      <c r="X323" s="58" t="n">
        <v>0</v>
      </c>
      <c r="Y323" s="58" t="n">
        <v>0</v>
      </c>
      <c r="Z323" s="57" t="n">
        <v>0</v>
      </c>
      <c r="AA323" s="57" t="n">
        <v>6863.96</v>
      </c>
      <c r="AB323" s="56" t="inlineStr">
        <is>
          <t>FALSE</t>
        </is>
      </c>
      <c r="AC323" s="56" t="inlineStr">
        <is>
          <t>FALSE</t>
        </is>
      </c>
      <c r="AD323" s="57" t="n">
        <v>4325.35</v>
      </c>
      <c r="AE323" s="57" t="n">
        <v>0</v>
      </c>
      <c r="AF323" s="57" t="n">
        <v>0</v>
      </c>
      <c r="AG323" s="57" t="n">
        <v>0</v>
      </c>
      <c r="AH323" s="57" t="n">
        <v>0</v>
      </c>
    </row>
    <row r="324">
      <c r="A324" s="56" t="inlineStr">
        <is>
          <t>2026-06-17</t>
        </is>
      </c>
      <c r="B324" s="56" t="inlineStr">
        <is>
          <t>2637358</t>
        </is>
      </c>
      <c r="C324" s="56" t="inlineStr">
        <is>
          <t>DS.2026.2377 Courtyards of Cielo Ranch 38</t>
        </is>
      </c>
      <c r="D324" s="56" t="inlineStr">
        <is>
          <t>DW</t>
        </is>
      </c>
      <c r="E324" s="56" t="inlineStr">
        <is>
          <t>(Unassigned)</t>
        </is>
      </c>
      <c r="F324" s="56" t="inlineStr">
        <is>
          <t>Big Dawg Drywall</t>
        </is>
      </c>
      <c r="G324" s="56" t="inlineStr">
        <is>
          <t>ACTIVE</t>
        </is>
      </c>
      <c r="H324" s="57" t="n">
        <v>7078.51</v>
      </c>
      <c r="I324" s="57" t="n">
        <v>0</v>
      </c>
      <c r="J324" s="57" t="n">
        <v>7078.51</v>
      </c>
      <c r="K324" s="57" t="n">
        <v>7574.01</v>
      </c>
      <c r="L324" s="57" t="n">
        <v>0</v>
      </c>
      <c r="M324" s="57" t="n">
        <v>4703.35</v>
      </c>
      <c r="N324" s="58" t="n">
        <v>0</v>
      </c>
      <c r="O324" s="57" t="n">
        <v>0</v>
      </c>
      <c r="P324" s="57" t="n">
        <v>-7078.51</v>
      </c>
      <c r="Q324" s="57" t="n">
        <v>0</v>
      </c>
      <c r="R324" s="57" t="n">
        <v>7078.51</v>
      </c>
      <c r="S324" s="57" t="n">
        <v>0</v>
      </c>
      <c r="T324" s="57" t="n">
        <v>2375.16</v>
      </c>
      <c r="U324" s="58" t="n">
        <v>0.3355</v>
      </c>
      <c r="V324" s="57" t="n">
        <v>7078.51</v>
      </c>
      <c r="W324" s="58" t="n">
        <v>1</v>
      </c>
      <c r="X324" s="58" t="n">
        <v>0</v>
      </c>
      <c r="Y324" s="58" t="n">
        <v>0</v>
      </c>
      <c r="Z324" s="57" t="n">
        <v>0</v>
      </c>
      <c r="AA324" s="57" t="n">
        <v>-495.5</v>
      </c>
      <c r="AB324" s="56" t="inlineStr">
        <is>
          <t>FALSE</t>
        </is>
      </c>
      <c r="AC324" s="56" t="inlineStr">
        <is>
          <t>FALSE</t>
        </is>
      </c>
      <c r="AD324" s="57" t="n">
        <v>4703.35</v>
      </c>
      <c r="AE324" s="57" t="n">
        <v>0</v>
      </c>
      <c r="AF324" s="57" t="n">
        <v>0</v>
      </c>
      <c r="AG324" s="57" t="n">
        <v>0</v>
      </c>
      <c r="AH324" s="57" t="n">
        <v>0</v>
      </c>
    </row>
    <row r="325">
      <c r="A325" s="56" t="inlineStr">
        <is>
          <t>2026-06-17</t>
        </is>
      </c>
      <c r="B325" s="56" t="inlineStr">
        <is>
          <t>2637329</t>
        </is>
      </c>
      <c r="C325" s="56" t="inlineStr">
        <is>
          <t>DS.2026.2376 5724 E Southport Rd</t>
        </is>
      </c>
      <c r="D325" s="56" t="inlineStr">
        <is>
          <t>DW</t>
        </is>
      </c>
      <c r="E325" s="56" t="inlineStr">
        <is>
          <t>(Unassigned)</t>
        </is>
      </c>
      <c r="F325" s="56" t="inlineStr">
        <is>
          <t>Precision Dry Wall</t>
        </is>
      </c>
      <c r="G325" s="56" t="inlineStr">
        <is>
          <t>ACTIVE</t>
        </is>
      </c>
      <c r="H325" s="57" t="n">
        <v>16934.23</v>
      </c>
      <c r="I325" s="57" t="n">
        <v>0</v>
      </c>
      <c r="J325" s="57" t="n">
        <v>16934.23</v>
      </c>
      <c r="K325" s="57" t="n">
        <v>18119.63</v>
      </c>
      <c r="L325" s="57" t="n">
        <v>0</v>
      </c>
      <c r="M325" s="57" t="n">
        <v>12365.34</v>
      </c>
      <c r="N325" s="58" t="n">
        <v>0</v>
      </c>
      <c r="O325" s="57" t="n">
        <v>0</v>
      </c>
      <c r="P325" s="57" t="n">
        <v>-16934.23</v>
      </c>
      <c r="Q325" s="57" t="n">
        <v>0</v>
      </c>
      <c r="R325" s="57" t="n">
        <v>16934.23</v>
      </c>
      <c r="S325" s="57" t="n">
        <v>0</v>
      </c>
      <c r="T325" s="57" t="n">
        <v>4568.89</v>
      </c>
      <c r="U325" s="58" t="n">
        <v>0.2698</v>
      </c>
      <c r="V325" s="57" t="n">
        <v>16934.23</v>
      </c>
      <c r="W325" s="58" t="n">
        <v>1</v>
      </c>
      <c r="X325" s="58" t="n">
        <v>0</v>
      </c>
      <c r="Y325" s="58" t="n">
        <v>0</v>
      </c>
      <c r="Z325" s="57" t="n">
        <v>0</v>
      </c>
      <c r="AA325" s="57" t="n">
        <v>-1185.4</v>
      </c>
      <c r="AB325" s="56" t="inlineStr">
        <is>
          <t>FALSE</t>
        </is>
      </c>
      <c r="AC325" s="56" t="inlineStr">
        <is>
          <t>FALSE</t>
        </is>
      </c>
      <c r="AD325" s="57" t="n">
        <v>12365.34</v>
      </c>
      <c r="AE325" s="57" t="n">
        <v>0</v>
      </c>
      <c r="AF325" s="57" t="n">
        <v>0</v>
      </c>
      <c r="AG325" s="57" t="n">
        <v>0</v>
      </c>
      <c r="AH325" s="57" t="n">
        <v>0</v>
      </c>
    </row>
    <row r="326">
      <c r="A326" s="56" t="inlineStr">
        <is>
          <t>2026-06-17</t>
        </is>
      </c>
      <c r="B326" s="56" t="inlineStr">
        <is>
          <t>2637311</t>
        </is>
      </c>
      <c r="C326" s="56" t="inlineStr">
        <is>
          <t>DS.2026.2375 1802 Alabama St</t>
        </is>
      </c>
      <c r="D326" s="56" t="inlineStr">
        <is>
          <t>DW</t>
        </is>
      </c>
      <c r="E326" s="56" t="inlineStr">
        <is>
          <t>(Unassigned)</t>
        </is>
      </c>
      <c r="F326" s="56" t="inlineStr">
        <is>
          <t>Pro Fix Drywaller, LLC</t>
        </is>
      </c>
      <c r="G326" s="56" t="inlineStr">
        <is>
          <t>ACTIVE</t>
        </is>
      </c>
      <c r="H326" s="57" t="n">
        <v>8479.959999999999</v>
      </c>
      <c r="I326" s="57" t="n">
        <v>0</v>
      </c>
      <c r="J326" s="57" t="n">
        <v>8479.959999999999</v>
      </c>
      <c r="K326" s="57" t="n">
        <v>0</v>
      </c>
      <c r="L326" s="57" t="n">
        <v>0</v>
      </c>
      <c r="M326" s="57" t="n">
        <v>6545.15</v>
      </c>
      <c r="N326" s="58" t="n">
        <v>0</v>
      </c>
      <c r="O326" s="57" t="n">
        <v>0</v>
      </c>
      <c r="P326" s="57" t="n">
        <v>-8479.959999999999</v>
      </c>
      <c r="Q326" s="57" t="n">
        <v>0</v>
      </c>
      <c r="R326" s="57" t="n">
        <v>8479.959999999999</v>
      </c>
      <c r="S326" s="57" t="n">
        <v>0</v>
      </c>
      <c r="T326" s="57" t="n">
        <v>1934.81</v>
      </c>
      <c r="U326" s="58" t="n">
        <v>0.2282</v>
      </c>
      <c r="V326" s="57" t="n">
        <v>8479.959999999999</v>
      </c>
      <c r="W326" s="58" t="n">
        <v>1</v>
      </c>
      <c r="X326" s="58" t="n">
        <v>0</v>
      </c>
      <c r="Y326" s="58" t="n">
        <v>0</v>
      </c>
      <c r="Z326" s="57" t="n">
        <v>0</v>
      </c>
      <c r="AA326" s="57" t="n">
        <v>8479.959999999999</v>
      </c>
      <c r="AB326" s="56" t="inlineStr">
        <is>
          <t>FALSE</t>
        </is>
      </c>
      <c r="AC326" s="56" t="inlineStr">
        <is>
          <t>FALSE</t>
        </is>
      </c>
      <c r="AD326" s="57" t="n">
        <v>6545.15</v>
      </c>
      <c r="AE326" s="57" t="n">
        <v>0</v>
      </c>
      <c r="AF326" s="57" t="n">
        <v>0</v>
      </c>
      <c r="AG326" s="57" t="n">
        <v>0</v>
      </c>
      <c r="AH326" s="57" t="n">
        <v>0</v>
      </c>
    </row>
    <row r="327">
      <c r="A327" s="56" t="inlineStr">
        <is>
          <t>2026-06-17</t>
        </is>
      </c>
      <c r="B327" s="56" t="inlineStr">
        <is>
          <t>2636260</t>
        </is>
      </c>
      <c r="C327" s="56" t="inlineStr">
        <is>
          <t>DS.2026.2374 Precision Pickup 0127</t>
        </is>
      </c>
      <c r="D327" s="56" t="inlineStr">
        <is>
          <t>DW</t>
        </is>
      </c>
      <c r="E327" s="56" t="inlineStr">
        <is>
          <t>(Unassigned)</t>
        </is>
      </c>
      <c r="F327" s="56" t="inlineStr">
        <is>
          <t>Precision Dry Wall</t>
        </is>
      </c>
      <c r="G327" s="56" t="inlineStr">
        <is>
          <t>ACTIVE</t>
        </is>
      </c>
      <c r="H327" s="57" t="n">
        <v>1076.05</v>
      </c>
      <c r="I327" s="57" t="n">
        <v>0</v>
      </c>
      <c r="J327" s="57" t="n">
        <v>1076.05</v>
      </c>
      <c r="K327" s="57" t="n">
        <v>1151.37</v>
      </c>
      <c r="L327" s="57" t="n">
        <v>0</v>
      </c>
      <c r="M327" s="57" t="n">
        <v>718.08</v>
      </c>
      <c r="N327" s="58" t="n">
        <v>0</v>
      </c>
      <c r="O327" s="57" t="n">
        <v>0</v>
      </c>
      <c r="P327" s="57" t="n">
        <v>-1076.05</v>
      </c>
      <c r="Q327" s="57" t="n">
        <v>0</v>
      </c>
      <c r="R327" s="57" t="n">
        <v>1076.05</v>
      </c>
      <c r="S327" s="57" t="n">
        <v>0</v>
      </c>
      <c r="T327" s="57" t="n">
        <v>357.97</v>
      </c>
      <c r="U327" s="58" t="n">
        <v>0.3327</v>
      </c>
      <c r="V327" s="57" t="n">
        <v>1076.05</v>
      </c>
      <c r="W327" s="58" t="n">
        <v>1</v>
      </c>
      <c r="X327" s="58" t="n">
        <v>0</v>
      </c>
      <c r="Y327" s="58" t="n">
        <v>0</v>
      </c>
      <c r="Z327" s="57" t="n">
        <v>0</v>
      </c>
      <c r="AA327" s="57" t="n">
        <v>-75.31999999999999</v>
      </c>
      <c r="AB327" s="56" t="inlineStr">
        <is>
          <t>FALSE</t>
        </is>
      </c>
      <c r="AC327" s="56" t="inlineStr">
        <is>
          <t>FALSE</t>
        </is>
      </c>
      <c r="AD327" s="57" t="n">
        <v>718.08</v>
      </c>
      <c r="AE327" s="57" t="n">
        <v>0</v>
      </c>
      <c r="AF327" s="57" t="n">
        <v>0</v>
      </c>
      <c r="AG327" s="57" t="n">
        <v>0</v>
      </c>
      <c r="AH327" s="57" t="n">
        <v>0</v>
      </c>
    </row>
    <row r="328">
      <c r="A328" s="56" t="inlineStr">
        <is>
          <t>2026-06-17</t>
        </is>
      </c>
      <c r="B328" s="56" t="inlineStr">
        <is>
          <t>2623919</t>
        </is>
      </c>
      <c r="C328" s="56" t="inlineStr">
        <is>
          <t>DS.2026.2373 Precision Pickup 0120</t>
        </is>
      </c>
      <c r="D328" s="56" t="inlineStr">
        <is>
          <t>DW</t>
        </is>
      </c>
      <c r="E328" s="56" t="inlineStr">
        <is>
          <t>(Unassigned)</t>
        </is>
      </c>
      <c r="F328" s="56" t="inlineStr">
        <is>
          <t>Precision Dry Wall</t>
        </is>
      </c>
      <c r="G328" s="56" t="inlineStr">
        <is>
          <t>ACTIVE</t>
        </is>
      </c>
      <c r="H328" s="57" t="n">
        <v>156.8</v>
      </c>
      <c r="I328" s="57" t="n">
        <v>0</v>
      </c>
      <c r="J328" s="57" t="n">
        <v>156.8</v>
      </c>
      <c r="K328" s="57" t="n">
        <v>167.78</v>
      </c>
      <c r="L328" s="57" t="n">
        <v>0</v>
      </c>
      <c r="M328" s="57" t="n">
        <v>105.84</v>
      </c>
      <c r="N328" s="58" t="n">
        <v>0</v>
      </c>
      <c r="O328" s="57" t="n">
        <v>0</v>
      </c>
      <c r="P328" s="57" t="n">
        <v>-156.8</v>
      </c>
      <c r="Q328" s="57" t="n">
        <v>0</v>
      </c>
      <c r="R328" s="57" t="n">
        <v>156.8</v>
      </c>
      <c r="S328" s="57" t="n">
        <v>0</v>
      </c>
      <c r="T328" s="57" t="n">
        <v>50.96</v>
      </c>
      <c r="U328" s="58" t="n">
        <v>0.325</v>
      </c>
      <c r="V328" s="57" t="n">
        <v>156.8</v>
      </c>
      <c r="W328" s="58" t="n">
        <v>1</v>
      </c>
      <c r="X328" s="58" t="n">
        <v>0</v>
      </c>
      <c r="Y328" s="58" t="n">
        <v>0</v>
      </c>
      <c r="Z328" s="57" t="n">
        <v>0</v>
      </c>
      <c r="AA328" s="57" t="n">
        <v>-10.98</v>
      </c>
      <c r="AB328" s="56" t="inlineStr">
        <is>
          <t>FALSE</t>
        </is>
      </c>
      <c r="AC328" s="56" t="inlineStr">
        <is>
          <t>FALSE</t>
        </is>
      </c>
      <c r="AD328" s="57" t="n">
        <v>105.84</v>
      </c>
      <c r="AE328" s="57" t="n">
        <v>0</v>
      </c>
      <c r="AF328" s="57" t="n">
        <v>0</v>
      </c>
      <c r="AG328" s="57" t="n">
        <v>0</v>
      </c>
      <c r="AH328" s="57" t="n">
        <v>0</v>
      </c>
    </row>
    <row r="329">
      <c r="A329" s="56" t="inlineStr">
        <is>
          <t>2026-06-17</t>
        </is>
      </c>
      <c r="B329" s="56" t="inlineStr">
        <is>
          <t>2623903</t>
        </is>
      </c>
      <c r="C329" s="56" t="inlineStr">
        <is>
          <t>DS.2026.2372 Big Dawg Pickup 0115</t>
        </is>
      </c>
      <c r="D329" s="56" t="inlineStr">
        <is>
          <t>DW</t>
        </is>
      </c>
      <c r="E329" s="56" t="inlineStr">
        <is>
          <t>(Unassigned)</t>
        </is>
      </c>
      <c r="F329" s="56" t="inlineStr">
        <is>
          <t>Big Dawg Drywall</t>
        </is>
      </c>
      <c r="G329" s="56" t="inlineStr">
        <is>
          <t>ACTIVE</t>
        </is>
      </c>
      <c r="H329" s="57" t="n">
        <v>3652.08</v>
      </c>
      <c r="I329" s="57" t="n">
        <v>0</v>
      </c>
      <c r="J329" s="57" t="n">
        <v>3652.08</v>
      </c>
      <c r="K329" s="57" t="n">
        <v>3907.73</v>
      </c>
      <c r="L329" s="57" t="n">
        <v>0</v>
      </c>
      <c r="M329" s="57" t="n">
        <v>2032</v>
      </c>
      <c r="N329" s="58" t="n">
        <v>0</v>
      </c>
      <c r="O329" s="57" t="n">
        <v>0</v>
      </c>
      <c r="P329" s="57" t="n">
        <v>-3652.08</v>
      </c>
      <c r="Q329" s="57" t="n">
        <v>0</v>
      </c>
      <c r="R329" s="57" t="n">
        <v>3652.08</v>
      </c>
      <c r="S329" s="57" t="n">
        <v>0</v>
      </c>
      <c r="T329" s="57" t="n">
        <v>1620.08</v>
      </c>
      <c r="U329" s="58" t="n">
        <v>0.4436</v>
      </c>
      <c r="V329" s="57" t="n">
        <v>3652.08</v>
      </c>
      <c r="W329" s="58" t="n">
        <v>1</v>
      </c>
      <c r="X329" s="58" t="n">
        <v>0</v>
      </c>
      <c r="Y329" s="58" t="n">
        <v>0</v>
      </c>
      <c r="Z329" s="57" t="n">
        <v>0</v>
      </c>
      <c r="AA329" s="57" t="n">
        <v>-255.65</v>
      </c>
      <c r="AB329" s="56" t="inlineStr">
        <is>
          <t>FALSE</t>
        </is>
      </c>
      <c r="AC329" s="56" t="inlineStr">
        <is>
          <t>FALSE</t>
        </is>
      </c>
      <c r="AD329" s="57" t="n">
        <v>2032</v>
      </c>
      <c r="AE329" s="57" t="n">
        <v>0</v>
      </c>
      <c r="AF329" s="57" t="n">
        <v>0</v>
      </c>
      <c r="AG329" s="57" t="n">
        <v>0</v>
      </c>
      <c r="AH329" s="57" t="n">
        <v>0</v>
      </c>
    </row>
    <row r="330">
      <c r="A330" s="56" t="inlineStr">
        <is>
          <t>2026-06-17</t>
        </is>
      </c>
      <c r="B330" s="56" t="inlineStr">
        <is>
          <t>2623826</t>
        </is>
      </c>
      <c r="C330" s="56" t="inlineStr">
        <is>
          <t>DS.2026.2371 13429 E 116th St</t>
        </is>
      </c>
      <c r="D330" s="56" t="inlineStr">
        <is>
          <t>DW</t>
        </is>
      </c>
      <c r="E330" s="56" t="inlineStr">
        <is>
          <t>(Unassigned)</t>
        </is>
      </c>
      <c r="F330" s="56" t="inlineStr">
        <is>
          <t>Precision Dry Wall</t>
        </is>
      </c>
      <c r="G330" s="56" t="inlineStr">
        <is>
          <t>ACTIVE</t>
        </is>
      </c>
      <c r="H330" s="57" t="n">
        <v>6360.82</v>
      </c>
      <c r="I330" s="57" t="n">
        <v>0</v>
      </c>
      <c r="J330" s="57" t="n">
        <v>6360.82</v>
      </c>
      <c r="K330" s="57" t="n">
        <v>6806.08</v>
      </c>
      <c r="L330" s="57" t="n">
        <v>0</v>
      </c>
      <c r="M330" s="57" t="n">
        <v>4575.9</v>
      </c>
      <c r="N330" s="58" t="n">
        <v>0</v>
      </c>
      <c r="O330" s="57" t="n">
        <v>0</v>
      </c>
      <c r="P330" s="57" t="n">
        <v>-6360.82</v>
      </c>
      <c r="Q330" s="57" t="n">
        <v>0</v>
      </c>
      <c r="R330" s="57" t="n">
        <v>6360.82</v>
      </c>
      <c r="S330" s="57" t="n">
        <v>0</v>
      </c>
      <c r="T330" s="57" t="n">
        <v>1784.92</v>
      </c>
      <c r="U330" s="58" t="n">
        <v>0.2806</v>
      </c>
      <c r="V330" s="57" t="n">
        <v>6360.82</v>
      </c>
      <c r="W330" s="58" t="n">
        <v>1</v>
      </c>
      <c r="X330" s="58" t="n">
        <v>0</v>
      </c>
      <c r="Y330" s="58" t="n">
        <v>0</v>
      </c>
      <c r="Z330" s="57" t="n">
        <v>0</v>
      </c>
      <c r="AA330" s="57" t="n">
        <v>-445.26</v>
      </c>
      <c r="AB330" s="56" t="inlineStr">
        <is>
          <t>FALSE</t>
        </is>
      </c>
      <c r="AC330" s="56" t="inlineStr">
        <is>
          <t>FALSE</t>
        </is>
      </c>
      <c r="AD330" s="57" t="n">
        <v>4575.9</v>
      </c>
      <c r="AE330" s="57" t="n">
        <v>0</v>
      </c>
      <c r="AF330" s="57" t="n">
        <v>0</v>
      </c>
      <c r="AG330" s="57" t="n">
        <v>0</v>
      </c>
      <c r="AH330" s="57" t="n">
        <v>0</v>
      </c>
    </row>
    <row r="331">
      <c r="A331" s="56" t="inlineStr">
        <is>
          <t>2026-06-17</t>
        </is>
      </c>
      <c r="B331" s="56" t="inlineStr">
        <is>
          <t>2623802</t>
        </is>
      </c>
      <c r="C331" s="56" t="inlineStr">
        <is>
          <t>DS.2026.2370 Courtyards of Westfield 106</t>
        </is>
      </c>
      <c r="D331" s="56" t="inlineStr">
        <is>
          <t>DW</t>
        </is>
      </c>
      <c r="E331" s="56" t="inlineStr">
        <is>
          <t>(Unassigned)</t>
        </is>
      </c>
      <c r="F331" s="56" t="inlineStr">
        <is>
          <t>Big Dawg Drywall</t>
        </is>
      </c>
      <c r="G331" s="56" t="inlineStr">
        <is>
          <t>ACTIVE</t>
        </is>
      </c>
      <c r="H331" s="57" t="n">
        <v>5580.89</v>
      </c>
      <c r="I331" s="57" t="n">
        <v>0</v>
      </c>
      <c r="J331" s="57" t="n">
        <v>5580.89</v>
      </c>
      <c r="K331" s="57" t="n">
        <v>5971.55</v>
      </c>
      <c r="L331" s="57" t="n">
        <v>0</v>
      </c>
      <c r="M331" s="57" t="n">
        <v>3915.47</v>
      </c>
      <c r="N331" s="58" t="n">
        <v>0</v>
      </c>
      <c r="O331" s="57" t="n">
        <v>0</v>
      </c>
      <c r="P331" s="57" t="n">
        <v>-5580.89</v>
      </c>
      <c r="Q331" s="57" t="n">
        <v>0</v>
      </c>
      <c r="R331" s="57" t="n">
        <v>5580.89</v>
      </c>
      <c r="S331" s="57" t="n">
        <v>0</v>
      </c>
      <c r="T331" s="57" t="n">
        <v>1665.42</v>
      </c>
      <c r="U331" s="58" t="n">
        <v>0.2984</v>
      </c>
      <c r="V331" s="57" t="n">
        <v>5580.89</v>
      </c>
      <c r="W331" s="58" t="n">
        <v>1</v>
      </c>
      <c r="X331" s="58" t="n">
        <v>0</v>
      </c>
      <c r="Y331" s="58" t="n">
        <v>0</v>
      </c>
      <c r="Z331" s="57" t="n">
        <v>0</v>
      </c>
      <c r="AA331" s="57" t="n">
        <v>-390.66</v>
      </c>
      <c r="AB331" s="56" t="inlineStr">
        <is>
          <t>FALSE</t>
        </is>
      </c>
      <c r="AC331" s="56" t="inlineStr">
        <is>
          <t>FALSE</t>
        </is>
      </c>
      <c r="AD331" s="57" t="n">
        <v>3915.47</v>
      </c>
      <c r="AE331" s="57" t="n">
        <v>0</v>
      </c>
      <c r="AF331" s="57" t="n">
        <v>0</v>
      </c>
      <c r="AG331" s="57" t="n">
        <v>0</v>
      </c>
      <c r="AH331" s="57" t="n">
        <v>0</v>
      </c>
    </row>
    <row r="332">
      <c r="A332" s="56" t="inlineStr">
        <is>
          <t>2026-06-17</t>
        </is>
      </c>
      <c r="B332" s="56" t="inlineStr">
        <is>
          <t>2623780</t>
        </is>
      </c>
      <c r="C332" s="56" t="inlineStr">
        <is>
          <t>DS.2026.2369 Courtyards of Westfield 111</t>
        </is>
      </c>
      <c r="D332" s="56" t="inlineStr">
        <is>
          <t>DW</t>
        </is>
      </c>
      <c r="E332" s="56" t="inlineStr">
        <is>
          <t>(Unassigned)</t>
        </is>
      </c>
      <c r="F332" s="56" t="inlineStr">
        <is>
          <t>Big Dawg Drywall</t>
        </is>
      </c>
      <c r="G332" s="56" t="inlineStr">
        <is>
          <t>ACTIVE</t>
        </is>
      </c>
      <c r="H332" s="57" t="n">
        <v>7078.51</v>
      </c>
      <c r="I332" s="57" t="n">
        <v>0</v>
      </c>
      <c r="J332" s="57" t="n">
        <v>7078.51</v>
      </c>
      <c r="K332" s="57" t="n">
        <v>7574.01</v>
      </c>
      <c r="L332" s="57" t="n">
        <v>0</v>
      </c>
      <c r="M332" s="57" t="n">
        <v>4978.66</v>
      </c>
      <c r="N332" s="58" t="n">
        <v>0</v>
      </c>
      <c r="O332" s="57" t="n">
        <v>0</v>
      </c>
      <c r="P332" s="57" t="n">
        <v>-7078.51</v>
      </c>
      <c r="Q332" s="57" t="n">
        <v>0</v>
      </c>
      <c r="R332" s="57" t="n">
        <v>7078.51</v>
      </c>
      <c r="S332" s="57" t="n">
        <v>0</v>
      </c>
      <c r="T332" s="57" t="n">
        <v>2099.85</v>
      </c>
      <c r="U332" s="58" t="n">
        <v>0.2967</v>
      </c>
      <c r="V332" s="57" t="n">
        <v>7078.51</v>
      </c>
      <c r="W332" s="58" t="n">
        <v>1</v>
      </c>
      <c r="X332" s="58" t="n">
        <v>0</v>
      </c>
      <c r="Y332" s="58" t="n">
        <v>0</v>
      </c>
      <c r="Z332" s="57" t="n">
        <v>0</v>
      </c>
      <c r="AA332" s="57" t="n">
        <v>-495.5</v>
      </c>
      <c r="AB332" s="56" t="inlineStr">
        <is>
          <t>FALSE</t>
        </is>
      </c>
      <c r="AC332" s="56" t="inlineStr">
        <is>
          <t>FALSE</t>
        </is>
      </c>
      <c r="AD332" s="57" t="n">
        <v>4978.66</v>
      </c>
      <c r="AE332" s="57" t="n">
        <v>0</v>
      </c>
      <c r="AF332" s="57" t="n">
        <v>0</v>
      </c>
      <c r="AG332" s="57" t="n">
        <v>0</v>
      </c>
      <c r="AH332" s="57" t="n">
        <v>0</v>
      </c>
    </row>
    <row r="333">
      <c r="A333" s="56" t="inlineStr">
        <is>
          <t>2026-06-17</t>
        </is>
      </c>
      <c r="B333" s="56" t="inlineStr">
        <is>
          <t>2612889</t>
        </is>
      </c>
      <c r="C333" s="56" t="inlineStr">
        <is>
          <t>DS.2026.2368 Courtyards of Russell Oaks 60</t>
        </is>
      </c>
      <c r="D333" s="56" t="inlineStr">
        <is>
          <t>DW</t>
        </is>
      </c>
      <c r="E333" s="56" t="inlineStr">
        <is>
          <t>(Unassigned)</t>
        </is>
      </c>
      <c r="F333" s="56" t="inlineStr">
        <is>
          <t>Big Dawg Drywall</t>
        </is>
      </c>
      <c r="G333" s="56" t="inlineStr">
        <is>
          <t>ACTIVE</t>
        </is>
      </c>
      <c r="H333" s="57" t="n">
        <v>6769.86</v>
      </c>
      <c r="I333" s="57" t="n">
        <v>0</v>
      </c>
      <c r="J333" s="57" t="n">
        <v>6769.86</v>
      </c>
      <c r="K333" s="57" t="n">
        <v>7243.75</v>
      </c>
      <c r="L333" s="57" t="n">
        <v>0</v>
      </c>
      <c r="M333" s="57" t="n">
        <v>4990.25</v>
      </c>
      <c r="N333" s="58" t="n">
        <v>0</v>
      </c>
      <c r="O333" s="57" t="n">
        <v>0</v>
      </c>
      <c r="P333" s="57" t="n">
        <v>-6769.86</v>
      </c>
      <c r="Q333" s="57" t="n">
        <v>0</v>
      </c>
      <c r="R333" s="57" t="n">
        <v>6769.86</v>
      </c>
      <c r="S333" s="57" t="n">
        <v>0</v>
      </c>
      <c r="T333" s="57" t="n">
        <v>1779.61</v>
      </c>
      <c r="U333" s="58" t="n">
        <v>0.2629</v>
      </c>
      <c r="V333" s="57" t="n">
        <v>6769.86</v>
      </c>
      <c r="W333" s="58" t="n">
        <v>1</v>
      </c>
      <c r="X333" s="58" t="n">
        <v>0</v>
      </c>
      <c r="Y333" s="58" t="n">
        <v>0</v>
      </c>
      <c r="Z333" s="57" t="n">
        <v>0</v>
      </c>
      <c r="AA333" s="57" t="n">
        <v>-473.89</v>
      </c>
      <c r="AB333" s="56" t="inlineStr">
        <is>
          <t>FALSE</t>
        </is>
      </c>
      <c r="AC333" s="56" t="inlineStr">
        <is>
          <t>FALSE</t>
        </is>
      </c>
      <c r="AD333" s="57" t="n">
        <v>4990.25</v>
      </c>
      <c r="AE333" s="57" t="n">
        <v>0</v>
      </c>
      <c r="AF333" s="57" t="n">
        <v>0</v>
      </c>
      <c r="AG333" s="57" t="n">
        <v>0</v>
      </c>
      <c r="AH333" s="57" t="n">
        <v>0</v>
      </c>
    </row>
    <row r="334">
      <c r="A334" s="56" t="inlineStr">
        <is>
          <t>2026-06-17</t>
        </is>
      </c>
      <c r="B334" s="56" t="inlineStr">
        <is>
          <t>2607541</t>
        </is>
      </c>
      <c r="C334" s="56" t="inlineStr">
        <is>
          <t>DS.2026.2367 Courtyards of Russell Oaks 126</t>
        </is>
      </c>
      <c r="D334" s="56" t="inlineStr">
        <is>
          <t>DW</t>
        </is>
      </c>
      <c r="E334" s="56" t="inlineStr">
        <is>
          <t>(Unassigned)</t>
        </is>
      </c>
      <c r="F334" s="56" t="inlineStr">
        <is>
          <t>Big Dawg Drywall</t>
        </is>
      </c>
      <c r="G334" s="56" t="inlineStr">
        <is>
          <t>ACTIVE</t>
        </is>
      </c>
      <c r="H334" s="57" t="n">
        <v>336.96</v>
      </c>
      <c r="I334" s="57" t="n">
        <v>0</v>
      </c>
      <c r="J334" s="57" t="n">
        <v>336.96</v>
      </c>
      <c r="K334" s="57" t="n">
        <v>360.55</v>
      </c>
      <c r="L334" s="57" t="n">
        <v>0</v>
      </c>
      <c r="M334" s="57" t="n">
        <v>233.28</v>
      </c>
      <c r="N334" s="58" t="n">
        <v>0</v>
      </c>
      <c r="O334" s="57" t="n">
        <v>0</v>
      </c>
      <c r="P334" s="57" t="n">
        <v>-336.96</v>
      </c>
      <c r="Q334" s="57" t="n">
        <v>0</v>
      </c>
      <c r="R334" s="57" t="n">
        <v>336.96</v>
      </c>
      <c r="S334" s="57" t="n">
        <v>0</v>
      </c>
      <c r="T334" s="57" t="n">
        <v>103.68</v>
      </c>
      <c r="U334" s="58" t="n">
        <v>0.3077</v>
      </c>
      <c r="V334" s="57" t="n">
        <v>336.96</v>
      </c>
      <c r="W334" s="58" t="n">
        <v>1</v>
      </c>
      <c r="X334" s="58" t="n">
        <v>0</v>
      </c>
      <c r="Y334" s="58" t="n">
        <v>0</v>
      </c>
      <c r="Z334" s="57" t="n">
        <v>0</v>
      </c>
      <c r="AA334" s="57" t="n">
        <v>-23.59</v>
      </c>
      <c r="AB334" s="56" t="inlineStr">
        <is>
          <t>FALSE</t>
        </is>
      </c>
      <c r="AC334" s="56" t="inlineStr">
        <is>
          <t>FALSE</t>
        </is>
      </c>
      <c r="AD334" s="57" t="n">
        <v>233.28</v>
      </c>
      <c r="AE334" s="57" t="n">
        <v>0</v>
      </c>
      <c r="AF334" s="57" t="n">
        <v>0</v>
      </c>
      <c r="AG334" s="57" t="n">
        <v>0</v>
      </c>
      <c r="AH334" s="57" t="n">
        <v>0</v>
      </c>
    </row>
    <row r="335">
      <c r="A335" s="56" t="inlineStr">
        <is>
          <t>2026-06-17</t>
        </is>
      </c>
      <c r="B335" s="56" t="inlineStr">
        <is>
          <t>2601418</t>
        </is>
      </c>
      <c r="C335" s="56" t="inlineStr">
        <is>
          <t>DS.2026.2366 Courtyards of Cielo Ranch 15</t>
        </is>
      </c>
      <c r="D335" s="56" t="inlineStr">
        <is>
          <t>DW</t>
        </is>
      </c>
      <c r="E335" s="56" t="inlineStr">
        <is>
          <t>(Unassigned)</t>
        </is>
      </c>
      <c r="F335" s="56" t="inlineStr">
        <is>
          <t>Big Dawg Drywall</t>
        </is>
      </c>
      <c r="G335" s="56" t="inlineStr">
        <is>
          <t>ACTIVE</t>
        </is>
      </c>
      <c r="H335" s="57" t="n">
        <v>5628.92</v>
      </c>
      <c r="I335" s="57" t="n">
        <v>0</v>
      </c>
      <c r="J335" s="57" t="n">
        <v>5628.92</v>
      </c>
      <c r="K335" s="57" t="n">
        <v>6022.94</v>
      </c>
      <c r="L335" s="57" t="n">
        <v>0</v>
      </c>
      <c r="M335" s="57" t="n">
        <v>4200.66</v>
      </c>
      <c r="N335" s="58" t="n">
        <v>0</v>
      </c>
      <c r="O335" s="57" t="n">
        <v>0</v>
      </c>
      <c r="P335" s="57" t="n">
        <v>-5628.92</v>
      </c>
      <c r="Q335" s="57" t="n">
        <v>0</v>
      </c>
      <c r="R335" s="57" t="n">
        <v>5628.92</v>
      </c>
      <c r="S335" s="57" t="n">
        <v>0</v>
      </c>
      <c r="T335" s="57" t="n">
        <v>1428.26</v>
      </c>
      <c r="U335" s="58" t="n">
        <v>0.2537</v>
      </c>
      <c r="V335" s="57" t="n">
        <v>5628.92</v>
      </c>
      <c r="W335" s="58" t="n">
        <v>1</v>
      </c>
      <c r="X335" s="58" t="n">
        <v>0</v>
      </c>
      <c r="Y335" s="58" t="n">
        <v>0</v>
      </c>
      <c r="Z335" s="57" t="n">
        <v>0</v>
      </c>
      <c r="AA335" s="57" t="n">
        <v>-394.02</v>
      </c>
      <c r="AB335" s="56" t="inlineStr">
        <is>
          <t>FALSE</t>
        </is>
      </c>
      <c r="AC335" s="56" t="inlineStr">
        <is>
          <t>FALSE</t>
        </is>
      </c>
      <c r="AD335" s="57" t="n">
        <v>4200.66</v>
      </c>
      <c r="AE335" s="57" t="n">
        <v>0</v>
      </c>
      <c r="AF335" s="57" t="n">
        <v>0</v>
      </c>
      <c r="AG335" s="57" t="n">
        <v>0</v>
      </c>
      <c r="AH335" s="57" t="n">
        <v>0</v>
      </c>
    </row>
    <row r="336">
      <c r="A336" s="56" t="inlineStr">
        <is>
          <t>2026-06-17</t>
        </is>
      </c>
      <c r="B336" s="56" t="inlineStr">
        <is>
          <t>2594757</t>
        </is>
      </c>
      <c r="C336" s="56" t="inlineStr">
        <is>
          <t>DS.2026.2365 GSI Sackstedor Bloomington</t>
        </is>
      </c>
      <c r="D336" s="56" t="inlineStr">
        <is>
          <t>DW</t>
        </is>
      </c>
      <c r="E336" s="56" t="inlineStr">
        <is>
          <t>(Unassigned)</t>
        </is>
      </c>
      <c r="F336" s="56" t="inlineStr">
        <is>
          <t>GSI - Gregory Scott Inabnit LLC</t>
        </is>
      </c>
      <c r="G336" s="56" t="inlineStr">
        <is>
          <t>ACTIVE</t>
        </is>
      </c>
      <c r="H336" s="57" t="n">
        <v>10845.01</v>
      </c>
      <c r="I336" s="57" t="n">
        <v>0</v>
      </c>
      <c r="J336" s="57" t="n">
        <v>10845.01</v>
      </c>
      <c r="K336" s="57" t="n">
        <v>0</v>
      </c>
      <c r="L336" s="57" t="n">
        <v>0</v>
      </c>
      <c r="M336" s="57" t="n">
        <v>7813.1</v>
      </c>
      <c r="N336" s="58" t="n">
        <v>0</v>
      </c>
      <c r="O336" s="57" t="n">
        <v>0</v>
      </c>
      <c r="P336" s="57" t="n">
        <v>-10845.01</v>
      </c>
      <c r="Q336" s="57" t="n">
        <v>0</v>
      </c>
      <c r="R336" s="57" t="n">
        <v>10845.01</v>
      </c>
      <c r="S336" s="57" t="n">
        <v>0</v>
      </c>
      <c r="T336" s="57" t="n">
        <v>3031.91</v>
      </c>
      <c r="U336" s="58" t="n">
        <v>0.2796</v>
      </c>
      <c r="V336" s="57" t="n">
        <v>10845.01</v>
      </c>
      <c r="W336" s="58" t="n">
        <v>1</v>
      </c>
      <c r="X336" s="58" t="n">
        <v>0</v>
      </c>
      <c r="Y336" s="58" t="n">
        <v>0</v>
      </c>
      <c r="Z336" s="57" t="n">
        <v>0</v>
      </c>
      <c r="AA336" s="57" t="n">
        <v>10845.01</v>
      </c>
      <c r="AB336" s="56" t="inlineStr">
        <is>
          <t>FALSE</t>
        </is>
      </c>
      <c r="AC336" s="56" t="inlineStr">
        <is>
          <t>FALSE</t>
        </is>
      </c>
      <c r="AD336" s="57" t="n">
        <v>7813.1</v>
      </c>
      <c r="AE336" s="57" t="n">
        <v>0</v>
      </c>
      <c r="AF336" s="57" t="n">
        <v>0</v>
      </c>
      <c r="AG336" s="57" t="n">
        <v>0</v>
      </c>
      <c r="AH336" s="57" t="n">
        <v>0</v>
      </c>
    </row>
    <row r="337">
      <c r="A337" s="56" t="inlineStr">
        <is>
          <t>2026-06-17</t>
        </is>
      </c>
      <c r="B337" s="56" t="inlineStr">
        <is>
          <t>2594626</t>
        </is>
      </c>
      <c r="C337" s="56" t="inlineStr">
        <is>
          <t>DS.2026.2364 GSI 1-6</t>
        </is>
      </c>
      <c r="D337" s="56" t="inlineStr">
        <is>
          <t>DW</t>
        </is>
      </c>
      <c r="E337" s="56" t="inlineStr">
        <is>
          <t>(Unassigned)</t>
        </is>
      </c>
      <c r="F337" s="56" t="inlineStr">
        <is>
          <t>GSI - Gregory Scott Inabnit LLC</t>
        </is>
      </c>
      <c r="G337" s="56" t="inlineStr">
        <is>
          <t>ACTIVE</t>
        </is>
      </c>
      <c r="H337" s="57" t="n">
        <v>3516.46</v>
      </c>
      <c r="I337" s="57" t="n">
        <v>0</v>
      </c>
      <c r="J337" s="57" t="n">
        <v>3516.46</v>
      </c>
      <c r="K337" s="57" t="n">
        <v>0</v>
      </c>
      <c r="L337" s="57" t="n">
        <v>0</v>
      </c>
      <c r="M337" s="57" t="n">
        <v>2314.78</v>
      </c>
      <c r="N337" s="58" t="n">
        <v>0</v>
      </c>
      <c r="O337" s="57" t="n">
        <v>0</v>
      </c>
      <c r="P337" s="57" t="n">
        <v>-3516.46</v>
      </c>
      <c r="Q337" s="57" t="n">
        <v>0</v>
      </c>
      <c r="R337" s="57" t="n">
        <v>3516.46</v>
      </c>
      <c r="S337" s="57" t="n">
        <v>0</v>
      </c>
      <c r="T337" s="57" t="n">
        <v>1201.68</v>
      </c>
      <c r="U337" s="58" t="n">
        <v>0.3417</v>
      </c>
      <c r="V337" s="57" t="n">
        <v>3516.46</v>
      </c>
      <c r="W337" s="58" t="n">
        <v>1</v>
      </c>
      <c r="X337" s="58" t="n">
        <v>0</v>
      </c>
      <c r="Y337" s="58" t="n">
        <v>0</v>
      </c>
      <c r="Z337" s="57" t="n">
        <v>0</v>
      </c>
      <c r="AA337" s="57" t="n">
        <v>3516.46</v>
      </c>
      <c r="AB337" s="56" t="inlineStr">
        <is>
          <t>FALSE</t>
        </is>
      </c>
      <c r="AC337" s="56" t="inlineStr">
        <is>
          <t>FALSE</t>
        </is>
      </c>
      <c r="AD337" s="57" t="n">
        <v>2314.78</v>
      </c>
      <c r="AE337" s="57" t="n">
        <v>0</v>
      </c>
      <c r="AF337" s="57" t="n">
        <v>0</v>
      </c>
      <c r="AG337" s="57" t="n">
        <v>0</v>
      </c>
      <c r="AH337" s="57" t="n">
        <v>0</v>
      </c>
    </row>
    <row r="338">
      <c r="A338" s="56" t="inlineStr">
        <is>
          <t>2026-06-17</t>
        </is>
      </c>
      <c r="B338" s="56" t="inlineStr">
        <is>
          <t>2594581</t>
        </is>
      </c>
      <c r="C338" s="56" t="inlineStr">
        <is>
          <t>DS.2026.2363 Courtyards of Westfield 96</t>
        </is>
      </c>
      <c r="D338" s="56" t="inlineStr">
        <is>
          <t>DW</t>
        </is>
      </c>
      <c r="E338" s="56" t="inlineStr">
        <is>
          <t>(Unassigned)</t>
        </is>
      </c>
      <c r="F338" s="56" t="inlineStr">
        <is>
          <t>Big Dawg Drywall</t>
        </is>
      </c>
      <c r="G338" s="56" t="inlineStr">
        <is>
          <t>ACTIVE</t>
        </is>
      </c>
      <c r="H338" s="57" t="n">
        <v>7196.75</v>
      </c>
      <c r="I338" s="57" t="n">
        <v>0</v>
      </c>
      <c r="J338" s="57" t="n">
        <v>7196.75</v>
      </c>
      <c r="K338" s="57" t="n">
        <v>7700.52</v>
      </c>
      <c r="L338" s="57" t="n">
        <v>0</v>
      </c>
      <c r="M338" s="57" t="n">
        <v>5327.43</v>
      </c>
      <c r="N338" s="58" t="n">
        <v>0</v>
      </c>
      <c r="O338" s="57" t="n">
        <v>0</v>
      </c>
      <c r="P338" s="57" t="n">
        <v>-7196.75</v>
      </c>
      <c r="Q338" s="57" t="n">
        <v>0</v>
      </c>
      <c r="R338" s="57" t="n">
        <v>7196.75</v>
      </c>
      <c r="S338" s="57" t="n">
        <v>0</v>
      </c>
      <c r="T338" s="57" t="n">
        <v>1869.32</v>
      </c>
      <c r="U338" s="58" t="n">
        <v>0.2597</v>
      </c>
      <c r="V338" s="57" t="n">
        <v>7196.75</v>
      </c>
      <c r="W338" s="58" t="n">
        <v>1</v>
      </c>
      <c r="X338" s="58" t="n">
        <v>0</v>
      </c>
      <c r="Y338" s="58" t="n">
        <v>0</v>
      </c>
      <c r="Z338" s="57" t="n">
        <v>0</v>
      </c>
      <c r="AA338" s="57" t="n">
        <v>-503.77</v>
      </c>
      <c r="AB338" s="56" t="inlineStr">
        <is>
          <t>FALSE</t>
        </is>
      </c>
      <c r="AC338" s="56" t="inlineStr">
        <is>
          <t>FALSE</t>
        </is>
      </c>
      <c r="AD338" s="57" t="n">
        <v>5327.43</v>
      </c>
      <c r="AE338" s="57" t="n">
        <v>0</v>
      </c>
      <c r="AF338" s="57" t="n">
        <v>0</v>
      </c>
      <c r="AG338" s="57" t="n">
        <v>0</v>
      </c>
      <c r="AH338" s="57" t="n">
        <v>0</v>
      </c>
    </row>
    <row r="339">
      <c r="A339" s="56" t="inlineStr">
        <is>
          <t>2026-06-17</t>
        </is>
      </c>
      <c r="B339" s="56" t="inlineStr">
        <is>
          <t>2589539</t>
        </is>
      </c>
      <c r="C339" s="56" t="inlineStr">
        <is>
          <t>DS.2026.2362 Courtyards of Russel Oaks 127</t>
        </is>
      </c>
      <c r="D339" s="56" t="inlineStr">
        <is>
          <t>DW</t>
        </is>
      </c>
      <c r="E339" s="56" t="inlineStr">
        <is>
          <t>(Unassigned)</t>
        </is>
      </c>
      <c r="F339" s="56" t="inlineStr">
        <is>
          <t>Big Dawg Drywall</t>
        </is>
      </c>
      <c r="G339" s="56" t="inlineStr">
        <is>
          <t>ACTIVE</t>
        </is>
      </c>
      <c r="H339" s="57" t="n">
        <v>280</v>
      </c>
      <c r="I339" s="57" t="n">
        <v>0</v>
      </c>
      <c r="J339" s="57" t="n">
        <v>280</v>
      </c>
      <c r="K339" s="57" t="n">
        <v>299.6</v>
      </c>
      <c r="L339" s="57" t="n">
        <v>0</v>
      </c>
      <c r="M339" s="57" t="n">
        <v>255</v>
      </c>
      <c r="N339" s="58" t="n">
        <v>0</v>
      </c>
      <c r="O339" s="57" t="n">
        <v>0</v>
      </c>
      <c r="P339" s="57" t="n">
        <v>-280</v>
      </c>
      <c r="Q339" s="57" t="n">
        <v>0</v>
      </c>
      <c r="R339" s="57" t="n">
        <v>280</v>
      </c>
      <c r="S339" s="57" t="n">
        <v>0</v>
      </c>
      <c r="T339" s="57" t="n">
        <v>25</v>
      </c>
      <c r="U339" s="58" t="n">
        <v>0.0893</v>
      </c>
      <c r="V339" s="57" t="n">
        <v>280</v>
      </c>
      <c r="W339" s="58" t="n">
        <v>1</v>
      </c>
      <c r="X339" s="58" t="n">
        <v>0</v>
      </c>
      <c r="Y339" s="58" t="n">
        <v>0</v>
      </c>
      <c r="Z339" s="57" t="n">
        <v>0</v>
      </c>
      <c r="AA339" s="57" t="n">
        <v>-19.6</v>
      </c>
      <c r="AB339" s="56" t="inlineStr">
        <is>
          <t>FALSE</t>
        </is>
      </c>
      <c r="AC339" s="56" t="inlineStr">
        <is>
          <t>FALSE</t>
        </is>
      </c>
      <c r="AD339" s="57" t="n">
        <v>255</v>
      </c>
      <c r="AE339" s="57" t="n">
        <v>0</v>
      </c>
      <c r="AF339" s="57" t="n">
        <v>0</v>
      </c>
      <c r="AG339" s="57" t="n">
        <v>0</v>
      </c>
      <c r="AH339" s="57" t="n">
        <v>0</v>
      </c>
    </row>
    <row r="340">
      <c r="A340" s="56" t="inlineStr">
        <is>
          <t>2026-06-17</t>
        </is>
      </c>
      <c r="B340" s="56" t="inlineStr">
        <is>
          <t>2586526</t>
        </is>
      </c>
      <c r="C340" s="56" t="inlineStr">
        <is>
          <t>2026.1033 Avon Demising Wall</t>
        </is>
      </c>
      <c r="D340" s="56" t="inlineStr">
        <is>
          <t>TI</t>
        </is>
      </c>
      <c r="E340" s="56" t="inlineStr">
        <is>
          <t>Ben Garza</t>
        </is>
      </c>
      <c r="F340" s="56" t="inlineStr">
        <is>
          <t>The Peterson Company, LLC</t>
        </is>
      </c>
      <c r="G340" s="56" t="inlineStr">
        <is>
          <t>ACTIVE</t>
        </is>
      </c>
      <c r="H340" s="57" t="n">
        <v>181500</v>
      </c>
      <c r="I340" s="57" t="n">
        <v>-150700</v>
      </c>
      <c r="J340" s="57" t="n">
        <v>181500</v>
      </c>
      <c r="K340" s="57" t="n">
        <v>0</v>
      </c>
      <c r="L340" s="57" t="n">
        <v>117712.76</v>
      </c>
      <c r="M340" s="57" t="n">
        <v>117712.76</v>
      </c>
      <c r="N340" s="58" t="n">
        <v>1</v>
      </c>
      <c r="O340" s="57" t="n">
        <v>181500</v>
      </c>
      <c r="P340" s="57" t="n">
        <v>0</v>
      </c>
      <c r="Q340" s="57" t="n">
        <v>0</v>
      </c>
      <c r="R340" s="57" t="n">
        <v>0</v>
      </c>
      <c r="S340" s="57" t="n">
        <v>0</v>
      </c>
      <c r="T340" s="57" t="n">
        <v>63787.24</v>
      </c>
      <c r="U340" s="58" t="n">
        <v>0.3514</v>
      </c>
      <c r="V340" s="57" t="n">
        <v>63787.24</v>
      </c>
      <c r="W340" s="58" t="n">
        <v>0.3514</v>
      </c>
      <c r="X340" s="58" t="n">
        <v>0.3514</v>
      </c>
      <c r="Y340" s="58" t="n">
        <v>0</v>
      </c>
      <c r="Z340" s="57" t="n">
        <v>0</v>
      </c>
      <c r="AA340" s="57" t="n">
        <v>181500</v>
      </c>
      <c r="AB340" s="56" t="inlineStr">
        <is>
          <t>TRUE</t>
        </is>
      </c>
      <c r="AC340" s="56" t="inlineStr">
        <is>
          <t>TRUE</t>
        </is>
      </c>
      <c r="AD340" s="57" t="n">
        <v>79169.44</v>
      </c>
      <c r="AE340" s="57" t="n">
        <v>36939.7</v>
      </c>
      <c r="AF340" s="57" t="n">
        <v>1603.62</v>
      </c>
      <c r="AG340" s="57" t="n">
        <v>0</v>
      </c>
      <c r="AH340" s="57" t="n">
        <v>0</v>
      </c>
    </row>
    <row r="341">
      <c r="A341" s="56" t="inlineStr">
        <is>
          <t>2026-06-17</t>
        </is>
      </c>
      <c r="B341" s="56" t="inlineStr">
        <is>
          <t>2585536</t>
        </is>
      </c>
      <c r="C341" s="56" t="inlineStr">
        <is>
          <t>DS.2025.2361 Courtyards of Westfield 104</t>
        </is>
      </c>
      <c r="D341" s="56" t="inlineStr">
        <is>
          <t>DW</t>
        </is>
      </c>
      <c r="E341" s="56" t="inlineStr">
        <is>
          <t>(Unassigned)</t>
        </is>
      </c>
      <c r="F341" s="56" t="inlineStr">
        <is>
          <t>Big Dawg Drywall</t>
        </is>
      </c>
      <c r="G341" s="56" t="inlineStr">
        <is>
          <t>ACTIVE</t>
        </is>
      </c>
      <c r="H341" s="57" t="n">
        <v>6977.16</v>
      </c>
      <c r="I341" s="57" t="n">
        <v>0</v>
      </c>
      <c r="J341" s="57" t="n">
        <v>6977.16</v>
      </c>
      <c r="K341" s="57" t="n">
        <v>7465.56</v>
      </c>
      <c r="L341" s="57" t="n">
        <v>0</v>
      </c>
      <c r="M341" s="57" t="n">
        <v>5142.81</v>
      </c>
      <c r="N341" s="58" t="n">
        <v>0</v>
      </c>
      <c r="O341" s="57" t="n">
        <v>0</v>
      </c>
      <c r="P341" s="57" t="n">
        <v>-6977.16</v>
      </c>
      <c r="Q341" s="57" t="n">
        <v>0</v>
      </c>
      <c r="R341" s="57" t="n">
        <v>6977.16</v>
      </c>
      <c r="S341" s="57" t="n">
        <v>0</v>
      </c>
      <c r="T341" s="57" t="n">
        <v>1834.35</v>
      </c>
      <c r="U341" s="58" t="n">
        <v>0.2629</v>
      </c>
      <c r="V341" s="57" t="n">
        <v>6977.16</v>
      </c>
      <c r="W341" s="58" t="n">
        <v>1</v>
      </c>
      <c r="X341" s="58" t="n">
        <v>0</v>
      </c>
      <c r="Y341" s="58" t="n">
        <v>0</v>
      </c>
      <c r="Z341" s="57" t="n">
        <v>0</v>
      </c>
      <c r="AA341" s="57" t="n">
        <v>-488.4</v>
      </c>
      <c r="AB341" s="56" t="inlineStr">
        <is>
          <t>FALSE</t>
        </is>
      </c>
      <c r="AC341" s="56" t="inlineStr">
        <is>
          <t>FALSE</t>
        </is>
      </c>
      <c r="AD341" s="57" t="n">
        <v>5142.81</v>
      </c>
      <c r="AE341" s="57" t="n">
        <v>0</v>
      </c>
      <c r="AF341" s="57" t="n">
        <v>0</v>
      </c>
      <c r="AG341" s="57" t="n">
        <v>0</v>
      </c>
      <c r="AH341" s="57" t="n">
        <v>0</v>
      </c>
    </row>
    <row r="342">
      <c r="A342" s="56" t="inlineStr">
        <is>
          <t>2026-06-17</t>
        </is>
      </c>
      <c r="B342" s="56" t="inlineStr">
        <is>
          <t>2584758</t>
        </is>
      </c>
      <c r="C342" s="56" t="inlineStr">
        <is>
          <t>DS.2025.2360 GSI Duplex Bloomington</t>
        </is>
      </c>
      <c r="D342" s="56" t="inlineStr">
        <is>
          <t>DW</t>
        </is>
      </c>
      <c r="E342" s="56" t="inlineStr">
        <is>
          <t>(Unassigned)</t>
        </is>
      </c>
      <c r="F342" s="56" t="inlineStr">
        <is>
          <t>GSI - Gregory Scott Inabnit LLC</t>
        </is>
      </c>
      <c r="G342" s="56" t="inlineStr">
        <is>
          <t>ACTIVE</t>
        </is>
      </c>
      <c r="H342" s="57" t="n">
        <v>3176.47</v>
      </c>
      <c r="I342" s="57" t="n">
        <v>0</v>
      </c>
      <c r="J342" s="57" t="n">
        <v>3176.47</v>
      </c>
      <c r="K342" s="57" t="n">
        <v>0</v>
      </c>
      <c r="L342" s="57" t="n">
        <v>0</v>
      </c>
      <c r="M342" s="57" t="n">
        <v>2134.51</v>
      </c>
      <c r="N342" s="58" t="n">
        <v>0</v>
      </c>
      <c r="O342" s="57" t="n">
        <v>0</v>
      </c>
      <c r="P342" s="57" t="n">
        <v>-3176.47</v>
      </c>
      <c r="Q342" s="57" t="n">
        <v>0</v>
      </c>
      <c r="R342" s="57" t="n">
        <v>3176.47</v>
      </c>
      <c r="S342" s="57" t="n">
        <v>0</v>
      </c>
      <c r="T342" s="57" t="n">
        <v>1041.96</v>
      </c>
      <c r="U342" s="58" t="n">
        <v>0.328</v>
      </c>
      <c r="V342" s="57" t="n">
        <v>3176.47</v>
      </c>
      <c r="W342" s="58" t="n">
        <v>1</v>
      </c>
      <c r="X342" s="58" t="n">
        <v>0</v>
      </c>
      <c r="Y342" s="58" t="n">
        <v>0</v>
      </c>
      <c r="Z342" s="57" t="n">
        <v>0</v>
      </c>
      <c r="AA342" s="57" t="n">
        <v>3176.47</v>
      </c>
      <c r="AB342" s="56" t="inlineStr">
        <is>
          <t>FALSE</t>
        </is>
      </c>
      <c r="AC342" s="56" t="inlineStr">
        <is>
          <t>FALSE</t>
        </is>
      </c>
      <c r="AD342" s="57" t="n">
        <v>2134.51</v>
      </c>
      <c r="AE342" s="57" t="n">
        <v>0</v>
      </c>
      <c r="AF342" s="57" t="n">
        <v>0</v>
      </c>
      <c r="AG342" s="57" t="n">
        <v>0</v>
      </c>
      <c r="AH342" s="57" t="n">
        <v>0</v>
      </c>
    </row>
    <row r="343">
      <c r="A343" s="56" t="inlineStr">
        <is>
          <t>2026-06-17</t>
        </is>
      </c>
      <c r="B343" s="56" t="inlineStr">
        <is>
          <t>2584752</t>
        </is>
      </c>
      <c r="C343" s="56" t="inlineStr">
        <is>
          <t>DS.2025.2359 Courtyards of Westfield 105</t>
        </is>
      </c>
      <c r="D343" s="56" t="inlineStr">
        <is>
          <t>DW</t>
        </is>
      </c>
      <c r="E343" s="56" t="inlineStr">
        <is>
          <t>(Unassigned)</t>
        </is>
      </c>
      <c r="F343" s="56" t="inlineStr">
        <is>
          <t>Big Dawg Drywall</t>
        </is>
      </c>
      <c r="G343" s="56" t="inlineStr">
        <is>
          <t>ACTIVE</t>
        </is>
      </c>
      <c r="H343" s="57" t="n">
        <v>6540.06</v>
      </c>
      <c r="I343" s="57" t="n">
        <v>0</v>
      </c>
      <c r="J343" s="57" t="n">
        <v>6540.06</v>
      </c>
      <c r="K343" s="57" t="n">
        <v>6997.86</v>
      </c>
      <c r="L343" s="57" t="n">
        <v>0</v>
      </c>
      <c r="M343" s="57" t="n">
        <v>4832.67</v>
      </c>
      <c r="N343" s="58" t="n">
        <v>0</v>
      </c>
      <c r="O343" s="57" t="n">
        <v>0</v>
      </c>
      <c r="P343" s="57" t="n">
        <v>-6540.06</v>
      </c>
      <c r="Q343" s="57" t="n">
        <v>0</v>
      </c>
      <c r="R343" s="57" t="n">
        <v>6540.06</v>
      </c>
      <c r="S343" s="57" t="n">
        <v>0</v>
      </c>
      <c r="T343" s="57" t="n">
        <v>1707.39</v>
      </c>
      <c r="U343" s="58" t="n">
        <v>0.2611</v>
      </c>
      <c r="V343" s="57" t="n">
        <v>6540.06</v>
      </c>
      <c r="W343" s="58" t="n">
        <v>1</v>
      </c>
      <c r="X343" s="58" t="n">
        <v>0</v>
      </c>
      <c r="Y343" s="58" t="n">
        <v>0</v>
      </c>
      <c r="Z343" s="57" t="n">
        <v>0</v>
      </c>
      <c r="AA343" s="57" t="n">
        <v>-457.8</v>
      </c>
      <c r="AB343" s="56" t="inlineStr">
        <is>
          <t>FALSE</t>
        </is>
      </c>
      <c r="AC343" s="56" t="inlineStr">
        <is>
          <t>FALSE</t>
        </is>
      </c>
      <c r="AD343" s="57" t="n">
        <v>4832.67</v>
      </c>
      <c r="AE343" s="57" t="n">
        <v>0</v>
      </c>
      <c r="AF343" s="57" t="n">
        <v>0</v>
      </c>
      <c r="AG343" s="57" t="n">
        <v>0</v>
      </c>
      <c r="AH343" s="57" t="n">
        <v>0</v>
      </c>
    </row>
    <row r="344">
      <c r="A344" s="56" t="inlineStr">
        <is>
          <t>2026-06-17</t>
        </is>
      </c>
      <c r="B344" s="56" t="inlineStr">
        <is>
          <t>2584749</t>
        </is>
      </c>
      <c r="C344" s="56" t="inlineStr">
        <is>
          <t>DS.2025.2358 Courtyards of Cielo Ranch 7</t>
        </is>
      </c>
      <c r="D344" s="56" t="inlineStr">
        <is>
          <t>DW</t>
        </is>
      </c>
      <c r="E344" s="56" t="inlineStr">
        <is>
          <t>(Unassigned)</t>
        </is>
      </c>
      <c r="F344" s="56" t="inlineStr">
        <is>
          <t>Big Dawg Drywall</t>
        </is>
      </c>
      <c r="G344" s="56" t="inlineStr">
        <is>
          <t>ACTIVE</t>
        </is>
      </c>
      <c r="H344" s="57" t="n">
        <v>6662.19</v>
      </c>
      <c r="I344" s="57" t="n">
        <v>0</v>
      </c>
      <c r="J344" s="57" t="n">
        <v>6662.19</v>
      </c>
      <c r="K344" s="57" t="n">
        <v>7128.54</v>
      </c>
      <c r="L344" s="57" t="n">
        <v>0</v>
      </c>
      <c r="M344" s="57" t="n">
        <v>4928.52</v>
      </c>
      <c r="N344" s="58" t="n">
        <v>0</v>
      </c>
      <c r="O344" s="57" t="n">
        <v>0</v>
      </c>
      <c r="P344" s="57" t="n">
        <v>-6662.19</v>
      </c>
      <c r="Q344" s="57" t="n">
        <v>0</v>
      </c>
      <c r="R344" s="57" t="n">
        <v>6662.19</v>
      </c>
      <c r="S344" s="57" t="n">
        <v>0</v>
      </c>
      <c r="T344" s="57" t="n">
        <v>1733.67</v>
      </c>
      <c r="U344" s="58" t="n">
        <v>0.2602</v>
      </c>
      <c r="V344" s="57" t="n">
        <v>6662.19</v>
      </c>
      <c r="W344" s="58" t="n">
        <v>1</v>
      </c>
      <c r="X344" s="58" t="n">
        <v>0</v>
      </c>
      <c r="Y344" s="58" t="n">
        <v>0</v>
      </c>
      <c r="Z344" s="57" t="n">
        <v>0</v>
      </c>
      <c r="AA344" s="57" t="n">
        <v>-466.35</v>
      </c>
      <c r="AB344" s="56" t="inlineStr">
        <is>
          <t>FALSE</t>
        </is>
      </c>
      <c r="AC344" s="56" t="inlineStr">
        <is>
          <t>FALSE</t>
        </is>
      </c>
      <c r="AD344" s="57" t="n">
        <v>4928.52</v>
      </c>
      <c r="AE344" s="57" t="n">
        <v>0</v>
      </c>
      <c r="AF344" s="57" t="n">
        <v>0</v>
      </c>
      <c r="AG344" s="57" t="n">
        <v>0</v>
      </c>
      <c r="AH344" s="57" t="n">
        <v>0</v>
      </c>
    </row>
    <row r="345">
      <c r="A345" s="56" t="inlineStr">
        <is>
          <t>2026-06-17</t>
        </is>
      </c>
      <c r="B345" s="56" t="inlineStr">
        <is>
          <t>2584742</t>
        </is>
      </c>
      <c r="C345" s="56" t="inlineStr">
        <is>
          <t>DS.2025.2357 3704 South Whetstine Rd</t>
        </is>
      </c>
      <c r="D345" s="56" t="inlineStr">
        <is>
          <t>DW</t>
        </is>
      </c>
      <c r="E345" s="56" t="inlineStr">
        <is>
          <t>(Unassigned)</t>
        </is>
      </c>
      <c r="F345" s="56" t="inlineStr">
        <is>
          <t>Total Drywall Solutions Inc</t>
        </is>
      </c>
      <c r="G345" s="56" t="inlineStr">
        <is>
          <t>ACTIVE</t>
        </is>
      </c>
      <c r="H345" s="57" t="n">
        <v>9710.18</v>
      </c>
      <c r="I345" s="57" t="n">
        <v>0</v>
      </c>
      <c r="J345" s="57" t="n">
        <v>9710.18</v>
      </c>
      <c r="K345" s="57" t="n">
        <v>10389.89</v>
      </c>
      <c r="L345" s="57" t="n">
        <v>0</v>
      </c>
      <c r="M345" s="57" t="n">
        <v>7062.38</v>
      </c>
      <c r="N345" s="58" t="n">
        <v>0</v>
      </c>
      <c r="O345" s="57" t="n">
        <v>0</v>
      </c>
      <c r="P345" s="57" t="n">
        <v>-9710.18</v>
      </c>
      <c r="Q345" s="57" t="n">
        <v>0</v>
      </c>
      <c r="R345" s="57" t="n">
        <v>9710.18</v>
      </c>
      <c r="S345" s="57" t="n">
        <v>0</v>
      </c>
      <c r="T345" s="57" t="n">
        <v>2647.8</v>
      </c>
      <c r="U345" s="58" t="n">
        <v>0.2727</v>
      </c>
      <c r="V345" s="57" t="n">
        <v>9710.18</v>
      </c>
      <c r="W345" s="58" t="n">
        <v>1</v>
      </c>
      <c r="X345" s="58" t="n">
        <v>0</v>
      </c>
      <c r="Y345" s="58" t="n">
        <v>0</v>
      </c>
      <c r="Z345" s="57" t="n">
        <v>0</v>
      </c>
      <c r="AA345" s="57" t="n">
        <v>-679.71</v>
      </c>
      <c r="AB345" s="56" t="inlineStr">
        <is>
          <t>FALSE</t>
        </is>
      </c>
      <c r="AC345" s="56" t="inlineStr">
        <is>
          <t>FALSE</t>
        </is>
      </c>
      <c r="AD345" s="57" t="n">
        <v>7062.38</v>
      </c>
      <c r="AE345" s="57" t="n">
        <v>0</v>
      </c>
      <c r="AF345" s="57" t="n">
        <v>0</v>
      </c>
      <c r="AG345" s="57" t="n">
        <v>0</v>
      </c>
      <c r="AH345" s="57" t="n">
        <v>0</v>
      </c>
    </row>
    <row r="346">
      <c r="A346" s="56" t="inlineStr">
        <is>
          <t>2026-06-17</t>
        </is>
      </c>
      <c r="B346" s="56" t="inlineStr">
        <is>
          <t>2579439</t>
        </is>
      </c>
      <c r="C346" s="56" t="inlineStr">
        <is>
          <t>Priority Way Office</t>
        </is>
      </c>
      <c r="D346" s="56" t="inlineStr">
        <is>
          <t>UN</t>
        </is>
      </c>
      <c r="E346" s="56" t="inlineStr">
        <is>
          <t>(Unassigned)</t>
        </is>
      </c>
      <c r="F346" s="56" t="inlineStr">
        <is>
          <t>MDG Real Estate LLC</t>
        </is>
      </c>
      <c r="G346" s="56" t="inlineStr">
        <is>
          <t>ACTIVE</t>
        </is>
      </c>
      <c r="H346" s="57" t="n">
        <v>413250</v>
      </c>
      <c r="I346" s="57" t="n">
        <v>0</v>
      </c>
      <c r="J346" s="57" t="n">
        <v>413250</v>
      </c>
      <c r="K346" s="57" t="n">
        <v>413250</v>
      </c>
      <c r="L346" s="57" t="n">
        <v>413250</v>
      </c>
      <c r="M346" s="57" t="n">
        <v>401821.61</v>
      </c>
      <c r="N346" s="58" t="n">
        <v>0.9723000000000001</v>
      </c>
      <c r="O346" s="57" t="n">
        <v>401802.98</v>
      </c>
      <c r="P346" s="57" t="n">
        <v>-11447.02</v>
      </c>
      <c r="Q346" s="57" t="n">
        <v>-11428.39</v>
      </c>
      <c r="R346" s="57" t="n">
        <v>11447.02</v>
      </c>
      <c r="S346" s="57" t="n">
        <v>0</v>
      </c>
      <c r="T346" s="57" t="n">
        <v>11428.39</v>
      </c>
      <c r="U346" s="58" t="n">
        <v>0.0277</v>
      </c>
      <c r="V346" s="57" t="n">
        <v>0</v>
      </c>
      <c r="W346" s="58" t="n">
        <v>0</v>
      </c>
      <c r="X346" s="58" t="n">
        <v>0</v>
      </c>
      <c r="Y346" s="58" t="n">
        <v>-0.0277</v>
      </c>
      <c r="Z346" s="57" t="n">
        <v>0</v>
      </c>
      <c r="AA346" s="57" t="n">
        <v>0</v>
      </c>
      <c r="AB346" s="56" t="inlineStr">
        <is>
          <t>TRUE</t>
        </is>
      </c>
      <c r="AC346" s="56" t="inlineStr">
        <is>
          <t>FALSE</t>
        </is>
      </c>
      <c r="AD346" s="57" t="n">
        <v>129479.47</v>
      </c>
      <c r="AE346" s="57" t="n">
        <v>268279.15</v>
      </c>
      <c r="AF346" s="57" t="n">
        <v>-54.44</v>
      </c>
      <c r="AG346" s="57" t="n">
        <v>4117.43</v>
      </c>
      <c r="AH346" s="57" t="n">
        <v>0</v>
      </c>
    </row>
    <row r="347">
      <c r="A347" s="56" t="inlineStr">
        <is>
          <t>2026-06-17</t>
        </is>
      </c>
      <c r="B347" s="56" t="inlineStr">
        <is>
          <t>2579268</t>
        </is>
      </c>
      <c r="C347" s="56" t="inlineStr">
        <is>
          <t>DS.2025.2356 Courtyards of Ceilo Ranch 127</t>
        </is>
      </c>
      <c r="D347" s="56" t="inlineStr">
        <is>
          <t>DW</t>
        </is>
      </c>
      <c r="E347" s="56" t="inlineStr">
        <is>
          <t>(Unassigned)</t>
        </is>
      </c>
      <c r="F347" s="56" t="inlineStr">
        <is>
          <t>Big Dawg Drywall</t>
        </is>
      </c>
      <c r="G347" s="56" t="inlineStr">
        <is>
          <t>ACTIVE</t>
        </is>
      </c>
      <c r="H347" s="57" t="n">
        <v>8915.92</v>
      </c>
      <c r="I347" s="57" t="n">
        <v>0</v>
      </c>
      <c r="J347" s="57" t="n">
        <v>8915.92</v>
      </c>
      <c r="K347" s="57" t="n">
        <v>9540.030000000001</v>
      </c>
      <c r="L347" s="57" t="n">
        <v>0</v>
      </c>
      <c r="M347" s="57" t="n">
        <v>6509.72</v>
      </c>
      <c r="N347" s="58" t="n">
        <v>0</v>
      </c>
      <c r="O347" s="57" t="n">
        <v>0</v>
      </c>
      <c r="P347" s="57" t="n">
        <v>-8915.92</v>
      </c>
      <c r="Q347" s="57" t="n">
        <v>0</v>
      </c>
      <c r="R347" s="57" t="n">
        <v>8915.92</v>
      </c>
      <c r="S347" s="57" t="n">
        <v>0</v>
      </c>
      <c r="T347" s="57" t="n">
        <v>2406.2</v>
      </c>
      <c r="U347" s="58" t="n">
        <v>0.2699</v>
      </c>
      <c r="V347" s="57" t="n">
        <v>8915.92</v>
      </c>
      <c r="W347" s="58" t="n">
        <v>1</v>
      </c>
      <c r="X347" s="58" t="n">
        <v>0</v>
      </c>
      <c r="Y347" s="58" t="n">
        <v>0</v>
      </c>
      <c r="Z347" s="57" t="n">
        <v>0</v>
      </c>
      <c r="AA347" s="57" t="n">
        <v>-624.11</v>
      </c>
      <c r="AB347" s="56" t="inlineStr">
        <is>
          <t>FALSE</t>
        </is>
      </c>
      <c r="AC347" s="56" t="inlineStr">
        <is>
          <t>FALSE</t>
        </is>
      </c>
      <c r="AD347" s="57" t="n">
        <v>6509.72</v>
      </c>
      <c r="AE347" s="57" t="n">
        <v>0</v>
      </c>
      <c r="AF347" s="57" t="n">
        <v>0</v>
      </c>
      <c r="AG347" s="57" t="n">
        <v>0</v>
      </c>
      <c r="AH347" s="57" t="n">
        <v>0</v>
      </c>
    </row>
    <row r="348">
      <c r="A348" s="56" t="inlineStr">
        <is>
          <t>2026-06-17</t>
        </is>
      </c>
      <c r="B348" s="56" t="inlineStr">
        <is>
          <t>2579242</t>
        </is>
      </c>
      <c r="C348" s="56" t="inlineStr">
        <is>
          <t>DS.2025.2355 Courtyards of Ceilo Ranch 36</t>
        </is>
      </c>
      <c r="D348" s="56" t="inlineStr">
        <is>
          <t>DW</t>
        </is>
      </c>
      <c r="E348" s="56" t="inlineStr">
        <is>
          <t>(Unassigned)</t>
        </is>
      </c>
      <c r="F348" s="56" t="inlineStr">
        <is>
          <t>Big Dawg Drywall</t>
        </is>
      </c>
      <c r="G348" s="56" t="inlineStr">
        <is>
          <t>ACTIVE</t>
        </is>
      </c>
      <c r="H348" s="57" t="n">
        <v>6701.19</v>
      </c>
      <c r="I348" s="57" t="n">
        <v>0</v>
      </c>
      <c r="J348" s="57" t="n">
        <v>6701.19</v>
      </c>
      <c r="K348" s="57" t="n">
        <v>7170.27</v>
      </c>
      <c r="L348" s="57" t="n">
        <v>0</v>
      </c>
      <c r="M348" s="57" t="n">
        <v>4968.22</v>
      </c>
      <c r="N348" s="58" t="n">
        <v>0</v>
      </c>
      <c r="O348" s="57" t="n">
        <v>0</v>
      </c>
      <c r="P348" s="57" t="n">
        <v>-6701.19</v>
      </c>
      <c r="Q348" s="57" t="n">
        <v>0</v>
      </c>
      <c r="R348" s="57" t="n">
        <v>6701.19</v>
      </c>
      <c r="S348" s="57" t="n">
        <v>0</v>
      </c>
      <c r="T348" s="57" t="n">
        <v>1732.97</v>
      </c>
      <c r="U348" s="58" t="n">
        <v>0.2586</v>
      </c>
      <c r="V348" s="57" t="n">
        <v>6701.19</v>
      </c>
      <c r="W348" s="58" t="n">
        <v>1</v>
      </c>
      <c r="X348" s="58" t="n">
        <v>0</v>
      </c>
      <c r="Y348" s="58" t="n">
        <v>0</v>
      </c>
      <c r="Z348" s="57" t="n">
        <v>0</v>
      </c>
      <c r="AA348" s="57" t="n">
        <v>-469.08</v>
      </c>
      <c r="AB348" s="56" t="inlineStr">
        <is>
          <t>FALSE</t>
        </is>
      </c>
      <c r="AC348" s="56" t="inlineStr">
        <is>
          <t>FALSE</t>
        </is>
      </c>
      <c r="AD348" s="57" t="n">
        <v>4968.22</v>
      </c>
      <c r="AE348" s="57" t="n">
        <v>0</v>
      </c>
      <c r="AF348" s="57" t="n">
        <v>0</v>
      </c>
      <c r="AG348" s="57" t="n">
        <v>0</v>
      </c>
      <c r="AH348" s="57" t="n">
        <v>0</v>
      </c>
    </row>
    <row r="349">
      <c r="A349" s="56" t="inlineStr">
        <is>
          <t>2026-06-17</t>
        </is>
      </c>
      <c r="B349" s="56" t="inlineStr">
        <is>
          <t>2575648</t>
        </is>
      </c>
      <c r="C349" s="56" t="inlineStr">
        <is>
          <t>DS.2025.2354 GSI Triplex</t>
        </is>
      </c>
      <c r="D349" s="56" t="inlineStr">
        <is>
          <t>DW</t>
        </is>
      </c>
      <c r="E349" s="56" t="inlineStr">
        <is>
          <t>(Unassigned)</t>
        </is>
      </c>
      <c r="F349" s="56" t="inlineStr">
        <is>
          <t>GSI - Gregory Scott Inabnit LLC</t>
        </is>
      </c>
      <c r="G349" s="56" t="inlineStr">
        <is>
          <t>ACTIVE</t>
        </is>
      </c>
      <c r="H349" s="57" t="n">
        <v>11279.53</v>
      </c>
      <c r="I349" s="57" t="n">
        <v>0</v>
      </c>
      <c r="J349" s="57" t="n">
        <v>11279.53</v>
      </c>
      <c r="K349" s="57" t="n">
        <v>0</v>
      </c>
      <c r="L349" s="57" t="n">
        <v>0</v>
      </c>
      <c r="M349" s="57" t="n">
        <v>7717.81</v>
      </c>
      <c r="N349" s="58" t="n">
        <v>0</v>
      </c>
      <c r="O349" s="57" t="n">
        <v>0</v>
      </c>
      <c r="P349" s="57" t="n">
        <v>-11279.53</v>
      </c>
      <c r="Q349" s="57" t="n">
        <v>0</v>
      </c>
      <c r="R349" s="57" t="n">
        <v>11279.53</v>
      </c>
      <c r="S349" s="57" t="n">
        <v>0</v>
      </c>
      <c r="T349" s="57" t="n">
        <v>3561.72</v>
      </c>
      <c r="U349" s="58" t="n">
        <v>0.3158</v>
      </c>
      <c r="V349" s="57" t="n">
        <v>11279.53</v>
      </c>
      <c r="W349" s="58" t="n">
        <v>1</v>
      </c>
      <c r="X349" s="58" t="n">
        <v>0</v>
      </c>
      <c r="Y349" s="58" t="n">
        <v>0</v>
      </c>
      <c r="Z349" s="57" t="n">
        <v>0</v>
      </c>
      <c r="AA349" s="57" t="n">
        <v>11279.53</v>
      </c>
      <c r="AB349" s="56" t="inlineStr">
        <is>
          <t>FALSE</t>
        </is>
      </c>
      <c r="AC349" s="56" t="inlineStr">
        <is>
          <t>FALSE</t>
        </is>
      </c>
      <c r="AD349" s="57" t="n">
        <v>7717.81</v>
      </c>
      <c r="AE349" s="57" t="n">
        <v>0</v>
      </c>
      <c r="AF349" s="57" t="n">
        <v>0</v>
      </c>
      <c r="AG349" s="57" t="n">
        <v>0</v>
      </c>
      <c r="AH349" s="57" t="n">
        <v>0</v>
      </c>
    </row>
    <row r="350">
      <c r="A350" s="56" t="inlineStr">
        <is>
          <t>2026-06-17</t>
        </is>
      </c>
      <c r="B350" s="56" t="inlineStr">
        <is>
          <t>2575437</t>
        </is>
      </c>
      <c r="C350" s="56" t="inlineStr">
        <is>
          <t>DS.2025.2353 Courtyards of Westfield 95</t>
        </is>
      </c>
      <c r="D350" s="56" t="inlineStr">
        <is>
          <t>DW</t>
        </is>
      </c>
      <c r="E350" s="56" t="inlineStr">
        <is>
          <t>(Unassigned)</t>
        </is>
      </c>
      <c r="F350" s="56" t="inlineStr">
        <is>
          <t>Big Dawg Drywall</t>
        </is>
      </c>
      <c r="G350" s="56" t="inlineStr">
        <is>
          <t>ACTIVE</t>
        </is>
      </c>
      <c r="H350" s="57" t="n">
        <v>33.28</v>
      </c>
      <c r="I350" s="57" t="n">
        <v>0</v>
      </c>
      <c r="J350" s="57" t="n">
        <v>33.28</v>
      </c>
      <c r="K350" s="57" t="n">
        <v>33.28</v>
      </c>
      <c r="L350" s="57" t="n">
        <v>0</v>
      </c>
      <c r="M350" s="57" t="n">
        <v>25.6</v>
      </c>
      <c r="N350" s="58" t="n">
        <v>0</v>
      </c>
      <c r="O350" s="57" t="n">
        <v>0</v>
      </c>
      <c r="P350" s="57" t="n">
        <v>-33.28</v>
      </c>
      <c r="Q350" s="57" t="n">
        <v>0</v>
      </c>
      <c r="R350" s="57" t="n">
        <v>33.28</v>
      </c>
      <c r="S350" s="57" t="n">
        <v>0</v>
      </c>
      <c r="T350" s="57" t="n">
        <v>7.68</v>
      </c>
      <c r="U350" s="58" t="n">
        <v>0.2308</v>
      </c>
      <c r="V350" s="57" t="n">
        <v>33.28</v>
      </c>
      <c r="W350" s="58" t="n">
        <v>1</v>
      </c>
      <c r="X350" s="58" t="n">
        <v>0</v>
      </c>
      <c r="Y350" s="58" t="n">
        <v>0</v>
      </c>
      <c r="Z350" s="57" t="n">
        <v>0</v>
      </c>
      <c r="AA350" s="57" t="n">
        <v>0</v>
      </c>
      <c r="AB350" s="56" t="inlineStr">
        <is>
          <t>FALSE</t>
        </is>
      </c>
      <c r="AC350" s="56" t="inlineStr">
        <is>
          <t>FALSE</t>
        </is>
      </c>
      <c r="AD350" s="57" t="n">
        <v>25.6</v>
      </c>
      <c r="AE350" s="57" t="n">
        <v>0</v>
      </c>
      <c r="AF350" s="57" t="n">
        <v>0</v>
      </c>
      <c r="AG350" s="57" t="n">
        <v>0</v>
      </c>
      <c r="AH350" s="57" t="n">
        <v>0</v>
      </c>
    </row>
    <row r="351">
      <c r="A351" s="56" t="inlineStr">
        <is>
          <t>2026-06-17</t>
        </is>
      </c>
      <c r="B351" s="56" t="inlineStr">
        <is>
          <t>2569388</t>
        </is>
      </c>
      <c r="C351" s="56" t="inlineStr">
        <is>
          <t>DS.2025.2352 Charlstown Manor Lot 86</t>
        </is>
      </c>
      <c r="D351" s="56" t="inlineStr">
        <is>
          <t>DW</t>
        </is>
      </c>
      <c r="E351" s="56" t="inlineStr">
        <is>
          <t>(Unassigned)</t>
        </is>
      </c>
      <c r="F351" s="56" t="inlineStr">
        <is>
          <t>GSI - Gregory Scott Inabnit LLC</t>
        </is>
      </c>
      <c r="G351" s="56" t="inlineStr">
        <is>
          <t>ACTIVE</t>
        </is>
      </c>
      <c r="H351" s="57" t="n">
        <v>5697.42</v>
      </c>
      <c r="I351" s="57" t="n">
        <v>0</v>
      </c>
      <c r="J351" s="57" t="n">
        <v>5697.42</v>
      </c>
      <c r="K351" s="57" t="n">
        <v>6096.24</v>
      </c>
      <c r="L351" s="57" t="n">
        <v>0</v>
      </c>
      <c r="M351" s="57" t="n">
        <v>3957.26</v>
      </c>
      <c r="N351" s="58" t="n">
        <v>0</v>
      </c>
      <c r="O351" s="57" t="n">
        <v>0</v>
      </c>
      <c r="P351" s="57" t="n">
        <v>-5697.42</v>
      </c>
      <c r="Q351" s="57" t="n">
        <v>0</v>
      </c>
      <c r="R351" s="57" t="n">
        <v>5697.42</v>
      </c>
      <c r="S351" s="57" t="n">
        <v>0</v>
      </c>
      <c r="T351" s="57" t="n">
        <v>1740.16</v>
      </c>
      <c r="U351" s="58" t="n">
        <v>0.3054</v>
      </c>
      <c r="V351" s="57" t="n">
        <v>5697.42</v>
      </c>
      <c r="W351" s="58" t="n">
        <v>1</v>
      </c>
      <c r="X351" s="58" t="n">
        <v>0</v>
      </c>
      <c r="Y351" s="58" t="n">
        <v>0</v>
      </c>
      <c r="Z351" s="57" t="n">
        <v>0</v>
      </c>
      <c r="AA351" s="57" t="n">
        <v>-398.82</v>
      </c>
      <c r="AB351" s="56" t="inlineStr">
        <is>
          <t>FALSE</t>
        </is>
      </c>
      <c r="AC351" s="56" t="inlineStr">
        <is>
          <t>FALSE</t>
        </is>
      </c>
      <c r="AD351" s="57" t="n">
        <v>3957.26</v>
      </c>
      <c r="AE351" s="57" t="n">
        <v>0</v>
      </c>
      <c r="AF351" s="57" t="n">
        <v>0</v>
      </c>
      <c r="AG351" s="57" t="n">
        <v>0</v>
      </c>
      <c r="AH351" s="57" t="n">
        <v>0</v>
      </c>
    </row>
    <row r="352">
      <c r="A352" s="56" t="inlineStr">
        <is>
          <t>2026-06-17</t>
        </is>
      </c>
      <c r="B352" s="56" t="inlineStr">
        <is>
          <t>2569308</t>
        </is>
      </c>
      <c r="C352" s="56" t="inlineStr">
        <is>
          <t>DS.2025.2351 Courtyards of Cielo Ranch 1</t>
        </is>
      </c>
      <c r="D352" s="56" t="inlineStr">
        <is>
          <t>DW</t>
        </is>
      </c>
      <c r="E352" s="56" t="inlineStr">
        <is>
          <t>(Unassigned)</t>
        </is>
      </c>
      <c r="F352" s="56" t="inlineStr">
        <is>
          <t>Big Dawg Drywall</t>
        </is>
      </c>
      <c r="G352" s="56" t="inlineStr">
        <is>
          <t>ACTIVE</t>
        </is>
      </c>
      <c r="H352" s="57" t="n">
        <v>6786.18</v>
      </c>
      <c r="I352" s="57" t="n">
        <v>0</v>
      </c>
      <c r="J352" s="57" t="n">
        <v>6786.18</v>
      </c>
      <c r="K352" s="57" t="n">
        <v>7261.21</v>
      </c>
      <c r="L352" s="57" t="n">
        <v>0</v>
      </c>
      <c r="M352" s="57" t="n">
        <v>4998.63</v>
      </c>
      <c r="N352" s="58" t="n">
        <v>0</v>
      </c>
      <c r="O352" s="57" t="n">
        <v>0</v>
      </c>
      <c r="P352" s="57" t="n">
        <v>-6786.18</v>
      </c>
      <c r="Q352" s="57" t="n">
        <v>0</v>
      </c>
      <c r="R352" s="57" t="n">
        <v>6786.18</v>
      </c>
      <c r="S352" s="57" t="n">
        <v>0</v>
      </c>
      <c r="T352" s="57" t="n">
        <v>1787.55</v>
      </c>
      <c r="U352" s="58" t="n">
        <v>0.2634</v>
      </c>
      <c r="V352" s="57" t="n">
        <v>6786.18</v>
      </c>
      <c r="W352" s="58" t="n">
        <v>1</v>
      </c>
      <c r="X352" s="58" t="n">
        <v>0</v>
      </c>
      <c r="Y352" s="58" t="n">
        <v>0</v>
      </c>
      <c r="Z352" s="57" t="n">
        <v>0</v>
      </c>
      <c r="AA352" s="57" t="n">
        <v>-475.03</v>
      </c>
      <c r="AB352" s="56" t="inlineStr">
        <is>
          <t>FALSE</t>
        </is>
      </c>
      <c r="AC352" s="56" t="inlineStr">
        <is>
          <t>FALSE</t>
        </is>
      </c>
      <c r="AD352" s="57" t="n">
        <v>4998.63</v>
      </c>
      <c r="AE352" s="57" t="n">
        <v>0</v>
      </c>
      <c r="AF352" s="57" t="n">
        <v>0</v>
      </c>
      <c r="AG352" s="57" t="n">
        <v>0</v>
      </c>
      <c r="AH352" s="57" t="n">
        <v>0</v>
      </c>
    </row>
    <row r="353">
      <c r="A353" s="56" t="inlineStr">
        <is>
          <t>2026-06-17</t>
        </is>
      </c>
      <c r="B353" s="56" t="inlineStr">
        <is>
          <t>2563362</t>
        </is>
      </c>
      <c r="C353" s="56" t="inlineStr">
        <is>
          <t>DS.2025.2350 Courtyards of Westfield 95</t>
        </is>
      </c>
      <c r="D353" s="56" t="inlineStr">
        <is>
          <t>DW</t>
        </is>
      </c>
      <c r="E353" s="56" t="inlineStr">
        <is>
          <t>(Unassigned)</t>
        </is>
      </c>
      <c r="F353" s="56" t="inlineStr">
        <is>
          <t>Big Dawg Drywall</t>
        </is>
      </c>
      <c r="G353" s="56" t="inlineStr">
        <is>
          <t>ACTIVE</t>
        </is>
      </c>
      <c r="H353" s="57" t="n">
        <v>7163.47</v>
      </c>
      <c r="I353" s="57" t="n">
        <v>0</v>
      </c>
      <c r="J353" s="57" t="n">
        <v>7163.47</v>
      </c>
      <c r="K353" s="57" t="n">
        <v>7664.91</v>
      </c>
      <c r="L353" s="57" t="n">
        <v>0</v>
      </c>
      <c r="M353" s="57" t="n">
        <v>5346.88</v>
      </c>
      <c r="N353" s="58" t="n">
        <v>0</v>
      </c>
      <c r="O353" s="57" t="n">
        <v>0</v>
      </c>
      <c r="P353" s="57" t="n">
        <v>-7163.47</v>
      </c>
      <c r="Q353" s="57" t="n">
        <v>0</v>
      </c>
      <c r="R353" s="57" t="n">
        <v>7163.47</v>
      </c>
      <c r="S353" s="57" t="n">
        <v>0</v>
      </c>
      <c r="T353" s="57" t="n">
        <v>1816.59</v>
      </c>
      <c r="U353" s="58" t="n">
        <v>0.2536</v>
      </c>
      <c r="V353" s="57" t="n">
        <v>7163.47</v>
      </c>
      <c r="W353" s="58" t="n">
        <v>1</v>
      </c>
      <c r="X353" s="58" t="n">
        <v>0</v>
      </c>
      <c r="Y353" s="58" t="n">
        <v>0</v>
      </c>
      <c r="Z353" s="57" t="n">
        <v>0</v>
      </c>
      <c r="AA353" s="57" t="n">
        <v>-501.44</v>
      </c>
      <c r="AB353" s="56" t="inlineStr">
        <is>
          <t>FALSE</t>
        </is>
      </c>
      <c r="AC353" s="56" t="inlineStr">
        <is>
          <t>FALSE</t>
        </is>
      </c>
      <c r="AD353" s="57" t="n">
        <v>5346.88</v>
      </c>
      <c r="AE353" s="57" t="n">
        <v>0</v>
      </c>
      <c r="AF353" s="57" t="n">
        <v>0</v>
      </c>
      <c r="AG353" s="57" t="n">
        <v>0</v>
      </c>
      <c r="AH353" s="57" t="n">
        <v>0</v>
      </c>
    </row>
    <row r="354">
      <c r="A354" s="56" t="inlineStr">
        <is>
          <t>2026-06-17</t>
        </is>
      </c>
      <c r="B354" s="56" t="inlineStr">
        <is>
          <t>2563168</t>
        </is>
      </c>
      <c r="C354" s="56" t="inlineStr">
        <is>
          <t>DS.2025.2349 208 N Washington Street</t>
        </is>
      </c>
      <c r="D354" s="56" t="inlineStr">
        <is>
          <t>DW</t>
        </is>
      </c>
      <c r="E354" s="56" t="inlineStr">
        <is>
          <t>(Unassigned)</t>
        </is>
      </c>
      <c r="F354" s="56" t="inlineStr">
        <is>
          <t>Total Drywall Solutions Inc</t>
        </is>
      </c>
      <c r="G354" s="56" t="inlineStr">
        <is>
          <t>ACTIVE</t>
        </is>
      </c>
      <c r="H354" s="57" t="n">
        <v>7722.9</v>
      </c>
      <c r="I354" s="57" t="n">
        <v>0</v>
      </c>
      <c r="J354" s="57" t="n">
        <v>7722.9</v>
      </c>
      <c r="K354" s="57" t="n">
        <v>8263.309999999999</v>
      </c>
      <c r="L354" s="57" t="n">
        <v>0</v>
      </c>
      <c r="M354" s="57" t="n">
        <v>5619.97</v>
      </c>
      <c r="N354" s="58" t="n">
        <v>0</v>
      </c>
      <c r="O354" s="57" t="n">
        <v>0</v>
      </c>
      <c r="P354" s="57" t="n">
        <v>-7722.9</v>
      </c>
      <c r="Q354" s="57" t="n">
        <v>0</v>
      </c>
      <c r="R354" s="57" t="n">
        <v>7722.9</v>
      </c>
      <c r="S354" s="57" t="n">
        <v>0</v>
      </c>
      <c r="T354" s="57" t="n">
        <v>2102.93</v>
      </c>
      <c r="U354" s="58" t="n">
        <v>0.2723</v>
      </c>
      <c r="V354" s="57" t="n">
        <v>7722.9</v>
      </c>
      <c r="W354" s="58" t="n">
        <v>1</v>
      </c>
      <c r="X354" s="58" t="n">
        <v>0</v>
      </c>
      <c r="Y354" s="58" t="n">
        <v>0</v>
      </c>
      <c r="Z354" s="57" t="n">
        <v>0</v>
      </c>
      <c r="AA354" s="57" t="n">
        <v>-540.41</v>
      </c>
      <c r="AB354" s="56" t="inlineStr">
        <is>
          <t>FALSE</t>
        </is>
      </c>
      <c r="AC354" s="56" t="inlineStr">
        <is>
          <t>FALSE</t>
        </is>
      </c>
      <c r="AD354" s="57" t="n">
        <v>5619.97</v>
      </c>
      <c r="AE354" s="57" t="n">
        <v>0</v>
      </c>
      <c r="AF354" s="57" t="n">
        <v>0</v>
      </c>
      <c r="AG354" s="57" t="n">
        <v>0</v>
      </c>
      <c r="AH354" s="57" t="n">
        <v>0</v>
      </c>
    </row>
    <row r="355">
      <c r="A355" s="56" t="inlineStr">
        <is>
          <t>2026-06-17</t>
        </is>
      </c>
      <c r="B355" s="56" t="inlineStr">
        <is>
          <t>2560326</t>
        </is>
      </c>
      <c r="C355" s="56" t="inlineStr">
        <is>
          <t>DS.2025.2348 133 First Ave NE</t>
        </is>
      </c>
      <c r="D355" s="56" t="inlineStr">
        <is>
          <t>DW</t>
        </is>
      </c>
      <c r="E355" s="56" t="inlineStr">
        <is>
          <t>(Unassigned)</t>
        </is>
      </c>
      <c r="F355" s="56" t="inlineStr">
        <is>
          <t>Precision Dry Wall</t>
        </is>
      </c>
      <c r="G355" s="56" t="inlineStr">
        <is>
          <t>ACTIVE</t>
        </is>
      </c>
      <c r="H355" s="57" t="n">
        <v>6893.5</v>
      </c>
      <c r="I355" s="57" t="n">
        <v>0</v>
      </c>
      <c r="J355" s="57" t="n">
        <v>6893.5</v>
      </c>
      <c r="K355" s="57" t="n">
        <v>7376.05</v>
      </c>
      <c r="L355" s="57" t="n">
        <v>0</v>
      </c>
      <c r="M355" s="57" t="n">
        <v>4819.38</v>
      </c>
      <c r="N355" s="58" t="n">
        <v>0</v>
      </c>
      <c r="O355" s="57" t="n">
        <v>0</v>
      </c>
      <c r="P355" s="57" t="n">
        <v>-6893.5</v>
      </c>
      <c r="Q355" s="57" t="n">
        <v>0</v>
      </c>
      <c r="R355" s="57" t="n">
        <v>6893.5</v>
      </c>
      <c r="S355" s="57" t="n">
        <v>0</v>
      </c>
      <c r="T355" s="57" t="n">
        <v>2074.12</v>
      </c>
      <c r="U355" s="58" t="n">
        <v>0.3009</v>
      </c>
      <c r="V355" s="57" t="n">
        <v>6893.5</v>
      </c>
      <c r="W355" s="58" t="n">
        <v>1</v>
      </c>
      <c r="X355" s="58" t="n">
        <v>0</v>
      </c>
      <c r="Y355" s="58" t="n">
        <v>0</v>
      </c>
      <c r="Z355" s="57" t="n">
        <v>0</v>
      </c>
      <c r="AA355" s="57" t="n">
        <v>-482.55</v>
      </c>
      <c r="AB355" s="56" t="inlineStr">
        <is>
          <t>FALSE</t>
        </is>
      </c>
      <c r="AC355" s="56" t="inlineStr">
        <is>
          <t>FALSE</t>
        </is>
      </c>
      <c r="AD355" s="57" t="n">
        <v>4819.38</v>
      </c>
      <c r="AE355" s="57" t="n">
        <v>0</v>
      </c>
      <c r="AF355" s="57" t="n">
        <v>0</v>
      </c>
      <c r="AG355" s="57" t="n">
        <v>0</v>
      </c>
      <c r="AH355" s="57" t="n">
        <v>0</v>
      </c>
    </row>
    <row r="356">
      <c r="A356" s="56" t="inlineStr">
        <is>
          <t>2026-06-17</t>
        </is>
      </c>
      <c r="B356" s="56" t="inlineStr">
        <is>
          <t>2560223</t>
        </is>
      </c>
      <c r="C356" s="56" t="inlineStr">
        <is>
          <t>DS.2025.2347 807 Spruce St</t>
        </is>
      </c>
      <c r="D356" s="56" t="inlineStr">
        <is>
          <t>DW</t>
        </is>
      </c>
      <c r="E356" s="56" t="inlineStr">
        <is>
          <t>(Unassigned)</t>
        </is>
      </c>
      <c r="F356" s="56" t="inlineStr">
        <is>
          <t>Pro Fix Drywaller, LLC</t>
        </is>
      </c>
      <c r="G356" s="56" t="inlineStr">
        <is>
          <t>ACTIVE</t>
        </is>
      </c>
      <c r="H356" s="57" t="n">
        <v>8379.790000000001</v>
      </c>
      <c r="I356" s="57" t="n">
        <v>355.2</v>
      </c>
      <c r="J356" s="57" t="n">
        <v>8379.790000000001</v>
      </c>
      <c r="K356" s="57" t="n">
        <v>0</v>
      </c>
      <c r="L356" s="57" t="n">
        <v>0</v>
      </c>
      <c r="M356" s="57" t="n">
        <v>6308.25</v>
      </c>
      <c r="N356" s="58" t="n">
        <v>0</v>
      </c>
      <c r="O356" s="57" t="n">
        <v>0</v>
      </c>
      <c r="P356" s="57" t="n">
        <v>-8379.790000000001</v>
      </c>
      <c r="Q356" s="57" t="n">
        <v>0</v>
      </c>
      <c r="R356" s="57" t="n">
        <v>8379.790000000001</v>
      </c>
      <c r="S356" s="57" t="n">
        <v>0</v>
      </c>
      <c r="T356" s="57" t="n">
        <v>2071.54</v>
      </c>
      <c r="U356" s="58" t="n">
        <v>0.2472</v>
      </c>
      <c r="V356" s="57" t="n">
        <v>8379.790000000001</v>
      </c>
      <c r="W356" s="58" t="n">
        <v>1</v>
      </c>
      <c r="X356" s="58" t="n">
        <v>0</v>
      </c>
      <c r="Y356" s="58" t="n">
        <v>0</v>
      </c>
      <c r="Z356" s="57" t="n">
        <v>0</v>
      </c>
      <c r="AA356" s="57" t="n">
        <v>8379.790000000001</v>
      </c>
      <c r="AB356" s="56" t="inlineStr">
        <is>
          <t>FALSE</t>
        </is>
      </c>
      <c r="AC356" s="56" t="inlineStr">
        <is>
          <t>FALSE</t>
        </is>
      </c>
      <c r="AD356" s="57" t="n">
        <v>6308.25</v>
      </c>
      <c r="AE356" s="57" t="n">
        <v>0</v>
      </c>
      <c r="AF356" s="57" t="n">
        <v>0</v>
      </c>
      <c r="AG356" s="57" t="n">
        <v>0</v>
      </c>
      <c r="AH356" s="57" t="n">
        <v>0</v>
      </c>
    </row>
    <row r="357">
      <c r="A357" s="56" t="inlineStr">
        <is>
          <t>2026-06-17</t>
        </is>
      </c>
      <c r="B357" s="56" t="inlineStr">
        <is>
          <t>2552755</t>
        </is>
      </c>
      <c r="C357" s="56" t="inlineStr">
        <is>
          <t>DS.2025.2346 Jeff West House</t>
        </is>
      </c>
      <c r="D357" s="56" t="inlineStr">
        <is>
          <t>DW</t>
        </is>
      </c>
      <c r="E357" s="56" t="inlineStr">
        <is>
          <t>(Unassigned)</t>
        </is>
      </c>
      <c r="F357" s="56" t="inlineStr">
        <is>
          <t>Jeff West Homes</t>
        </is>
      </c>
      <c r="G357" s="56" t="inlineStr">
        <is>
          <t>ACTIVE</t>
        </is>
      </c>
      <c r="H357" s="57" t="n">
        <v>8045.14</v>
      </c>
      <c r="I357" s="57" t="n">
        <v>0</v>
      </c>
      <c r="J357" s="57" t="n">
        <v>8045.14</v>
      </c>
      <c r="K357" s="57" t="n">
        <v>8608.299999999999</v>
      </c>
      <c r="L357" s="57" t="n">
        <v>0</v>
      </c>
      <c r="M357" s="57" t="n">
        <v>6453.13</v>
      </c>
      <c r="N357" s="58" t="n">
        <v>0</v>
      </c>
      <c r="O357" s="57" t="n">
        <v>0</v>
      </c>
      <c r="P357" s="57" t="n">
        <v>-8045.14</v>
      </c>
      <c r="Q357" s="57" t="n">
        <v>0</v>
      </c>
      <c r="R357" s="57" t="n">
        <v>8045.14</v>
      </c>
      <c r="S357" s="57" t="n">
        <v>0</v>
      </c>
      <c r="T357" s="57" t="n">
        <v>1592.01</v>
      </c>
      <c r="U357" s="58" t="n">
        <v>0.1979</v>
      </c>
      <c r="V357" s="57" t="n">
        <v>8045.14</v>
      </c>
      <c r="W357" s="58" t="n">
        <v>1</v>
      </c>
      <c r="X357" s="58" t="n">
        <v>0</v>
      </c>
      <c r="Y357" s="58" t="n">
        <v>0</v>
      </c>
      <c r="Z357" s="57" t="n">
        <v>0</v>
      </c>
      <c r="AA357" s="57" t="n">
        <v>-563.16</v>
      </c>
      <c r="AB357" s="56" t="inlineStr">
        <is>
          <t>FALSE</t>
        </is>
      </c>
      <c r="AC357" s="56" t="inlineStr">
        <is>
          <t>FALSE</t>
        </is>
      </c>
      <c r="AD357" s="57" t="n">
        <v>6453.13</v>
      </c>
      <c r="AE357" s="57" t="n">
        <v>0</v>
      </c>
      <c r="AF357" s="57" t="n">
        <v>0</v>
      </c>
      <c r="AG357" s="57" t="n">
        <v>0</v>
      </c>
      <c r="AH357" s="57" t="n">
        <v>0</v>
      </c>
    </row>
    <row r="358">
      <c r="A358" s="56" t="inlineStr">
        <is>
          <t>2026-06-17</t>
        </is>
      </c>
      <c r="B358" s="56" t="inlineStr">
        <is>
          <t>2552722</t>
        </is>
      </c>
      <c r="C358" s="56" t="inlineStr">
        <is>
          <t>DS.2025.2345 S &amp; W Homes</t>
        </is>
      </c>
      <c r="D358" s="56" t="inlineStr">
        <is>
          <t>DW</t>
        </is>
      </c>
      <c r="E358" s="56" t="inlineStr">
        <is>
          <t>(Unassigned)</t>
        </is>
      </c>
      <c r="F358" s="56" t="inlineStr">
        <is>
          <t>GSI - Gregory Scott Inabnit LLC</t>
        </is>
      </c>
      <c r="G358" s="56" t="inlineStr">
        <is>
          <t>ACTIVE</t>
        </is>
      </c>
      <c r="H358" s="57" t="n">
        <v>4988.51</v>
      </c>
      <c r="I358" s="57" t="n">
        <v>0</v>
      </c>
      <c r="J358" s="57" t="n">
        <v>4988.51</v>
      </c>
      <c r="K358" s="57" t="n">
        <v>0</v>
      </c>
      <c r="L358" s="57" t="n">
        <v>0</v>
      </c>
      <c r="M358" s="57" t="n">
        <v>3399.75</v>
      </c>
      <c r="N358" s="58" t="n">
        <v>0</v>
      </c>
      <c r="O358" s="57" t="n">
        <v>0</v>
      </c>
      <c r="P358" s="57" t="n">
        <v>-4988.51</v>
      </c>
      <c r="Q358" s="57" t="n">
        <v>0</v>
      </c>
      <c r="R358" s="57" t="n">
        <v>4988.51</v>
      </c>
      <c r="S358" s="57" t="n">
        <v>0</v>
      </c>
      <c r="T358" s="57" t="n">
        <v>1588.76</v>
      </c>
      <c r="U358" s="58" t="n">
        <v>0.3185</v>
      </c>
      <c r="V358" s="57" t="n">
        <v>4988.51</v>
      </c>
      <c r="W358" s="58" t="n">
        <v>1</v>
      </c>
      <c r="X358" s="58" t="n">
        <v>0</v>
      </c>
      <c r="Y358" s="58" t="n">
        <v>0</v>
      </c>
      <c r="Z358" s="57" t="n">
        <v>0</v>
      </c>
      <c r="AA358" s="57" t="n">
        <v>4988.51</v>
      </c>
      <c r="AB358" s="56" t="inlineStr">
        <is>
          <t>FALSE</t>
        </is>
      </c>
      <c r="AC358" s="56" t="inlineStr">
        <is>
          <t>FALSE</t>
        </is>
      </c>
      <c r="AD358" s="57" t="n">
        <v>3399.75</v>
      </c>
      <c r="AE358" s="57" t="n">
        <v>0</v>
      </c>
      <c r="AF358" s="57" t="n">
        <v>0</v>
      </c>
      <c r="AG358" s="57" t="n">
        <v>0</v>
      </c>
      <c r="AH358" s="57" t="n">
        <v>0</v>
      </c>
    </row>
    <row r="359">
      <c r="A359" s="56" t="inlineStr">
        <is>
          <t>2026-06-17</t>
        </is>
      </c>
      <c r="B359" s="56" t="inlineStr">
        <is>
          <t>2552670</t>
        </is>
      </c>
      <c r="C359" s="56" t="inlineStr">
        <is>
          <t>DS.2025.2344 Courtyards of Russel Okas 119</t>
        </is>
      </c>
      <c r="D359" s="56" t="inlineStr">
        <is>
          <t>DW</t>
        </is>
      </c>
      <c r="E359" s="56" t="inlineStr">
        <is>
          <t>(Unassigned)</t>
        </is>
      </c>
      <c r="F359" s="56" t="inlineStr">
        <is>
          <t>Big Dawg Drywall</t>
        </is>
      </c>
      <c r="G359" s="56" t="inlineStr">
        <is>
          <t>ACTIVE</t>
        </is>
      </c>
      <c r="H359" s="57" t="n">
        <v>5555.63</v>
      </c>
      <c r="I359" s="57" t="n">
        <v>0</v>
      </c>
      <c r="J359" s="57" t="n">
        <v>5555.63</v>
      </c>
      <c r="K359" s="57" t="n">
        <v>5944.52</v>
      </c>
      <c r="L359" s="57" t="n">
        <v>0</v>
      </c>
      <c r="M359" s="57" t="n">
        <v>4147.85</v>
      </c>
      <c r="N359" s="58" t="n">
        <v>0</v>
      </c>
      <c r="O359" s="57" t="n">
        <v>0</v>
      </c>
      <c r="P359" s="57" t="n">
        <v>-5555.63</v>
      </c>
      <c r="Q359" s="57" t="n">
        <v>0</v>
      </c>
      <c r="R359" s="57" t="n">
        <v>5555.63</v>
      </c>
      <c r="S359" s="57" t="n">
        <v>0</v>
      </c>
      <c r="T359" s="57" t="n">
        <v>1407.78</v>
      </c>
      <c r="U359" s="58" t="n">
        <v>0.2534</v>
      </c>
      <c r="V359" s="57" t="n">
        <v>5555.63</v>
      </c>
      <c r="W359" s="58" t="n">
        <v>1</v>
      </c>
      <c r="X359" s="58" t="n">
        <v>0</v>
      </c>
      <c r="Y359" s="58" t="n">
        <v>0</v>
      </c>
      <c r="Z359" s="57" t="n">
        <v>0</v>
      </c>
      <c r="AA359" s="57" t="n">
        <v>-388.89</v>
      </c>
      <c r="AB359" s="56" t="inlineStr">
        <is>
          <t>FALSE</t>
        </is>
      </c>
      <c r="AC359" s="56" t="inlineStr">
        <is>
          <t>FALSE</t>
        </is>
      </c>
      <c r="AD359" s="57" t="n">
        <v>4147.85</v>
      </c>
      <c r="AE359" s="57" t="n">
        <v>0</v>
      </c>
      <c r="AF359" s="57" t="n">
        <v>0</v>
      </c>
      <c r="AG359" s="57" t="n">
        <v>0</v>
      </c>
      <c r="AH359" s="57" t="n">
        <v>0</v>
      </c>
    </row>
    <row r="360">
      <c r="A360" s="56" t="inlineStr">
        <is>
          <t>2026-06-17</t>
        </is>
      </c>
      <c r="B360" s="56" t="inlineStr">
        <is>
          <t>2552143</t>
        </is>
      </c>
      <c r="C360" s="56" t="inlineStr">
        <is>
          <t>DS.2025.2343 Big Dawg Pickup 12-4</t>
        </is>
      </c>
      <c r="D360" s="56" t="inlineStr">
        <is>
          <t>DW</t>
        </is>
      </c>
      <c r="E360" s="56" t="inlineStr">
        <is>
          <t>(Unassigned)</t>
        </is>
      </c>
      <c r="F360" s="56" t="inlineStr">
        <is>
          <t>Big Dawg Drywall</t>
        </is>
      </c>
      <c r="G360" s="56" t="inlineStr">
        <is>
          <t>ACTIVE</t>
        </is>
      </c>
      <c r="H360" s="57" t="n">
        <v>4292.44</v>
      </c>
      <c r="I360" s="57" t="n">
        <v>0</v>
      </c>
      <c r="J360" s="57" t="n">
        <v>4292.44</v>
      </c>
      <c r="K360" s="57" t="n">
        <v>4592.91</v>
      </c>
      <c r="L360" s="57" t="n">
        <v>0</v>
      </c>
      <c r="M360" s="57" t="n">
        <v>2804.45</v>
      </c>
      <c r="N360" s="58" t="n">
        <v>0</v>
      </c>
      <c r="O360" s="57" t="n">
        <v>0</v>
      </c>
      <c r="P360" s="57" t="n">
        <v>-4292.44</v>
      </c>
      <c r="Q360" s="57" t="n">
        <v>0</v>
      </c>
      <c r="R360" s="57" t="n">
        <v>4292.44</v>
      </c>
      <c r="S360" s="57" t="n">
        <v>0</v>
      </c>
      <c r="T360" s="57" t="n">
        <v>1487.99</v>
      </c>
      <c r="U360" s="58" t="n">
        <v>0.3467</v>
      </c>
      <c r="V360" s="57" t="n">
        <v>4292.44</v>
      </c>
      <c r="W360" s="58" t="n">
        <v>1</v>
      </c>
      <c r="X360" s="58" t="n">
        <v>0</v>
      </c>
      <c r="Y360" s="58" t="n">
        <v>0</v>
      </c>
      <c r="Z360" s="57" t="n">
        <v>0</v>
      </c>
      <c r="AA360" s="57" t="n">
        <v>-300.47</v>
      </c>
      <c r="AB360" s="56" t="inlineStr">
        <is>
          <t>FALSE</t>
        </is>
      </c>
      <c r="AC360" s="56" t="inlineStr">
        <is>
          <t>FALSE</t>
        </is>
      </c>
      <c r="AD360" s="57" t="n">
        <v>2804.45</v>
      </c>
      <c r="AE360" s="57" t="n">
        <v>0</v>
      </c>
      <c r="AF360" s="57" t="n">
        <v>0</v>
      </c>
      <c r="AG360" s="57" t="n">
        <v>0</v>
      </c>
      <c r="AH360" s="57" t="n">
        <v>0</v>
      </c>
    </row>
    <row r="361">
      <c r="A361" s="56" t="inlineStr">
        <is>
          <t>2026-06-17</t>
        </is>
      </c>
      <c r="B361" s="56" t="inlineStr">
        <is>
          <t>2548777</t>
        </is>
      </c>
      <c r="C361" s="56" t="inlineStr">
        <is>
          <t>DS.2025.2342 Courtyards of Westfield 116</t>
        </is>
      </c>
      <c r="D361" s="56" t="inlineStr">
        <is>
          <t>DW</t>
        </is>
      </c>
      <c r="E361" s="56" t="inlineStr">
        <is>
          <t>(Unassigned)</t>
        </is>
      </c>
      <c r="F361" s="56" t="inlineStr">
        <is>
          <t>Big Dawg Drywall</t>
        </is>
      </c>
      <c r="G361" s="56" t="inlineStr">
        <is>
          <t>ACTIVE</t>
        </is>
      </c>
      <c r="H361" s="57" t="n">
        <v>6540.47</v>
      </c>
      <c r="I361" s="57" t="n">
        <v>1132.8</v>
      </c>
      <c r="J361" s="57" t="n">
        <v>6540.47</v>
      </c>
      <c r="K361" s="57" t="n">
        <v>6919.01</v>
      </c>
      <c r="L361" s="57" t="n">
        <v>0</v>
      </c>
      <c r="M361" s="57" t="n">
        <v>5106.67</v>
      </c>
      <c r="N361" s="58" t="n">
        <v>0</v>
      </c>
      <c r="O361" s="57" t="n">
        <v>0</v>
      </c>
      <c r="P361" s="57" t="n">
        <v>-6540.47</v>
      </c>
      <c r="Q361" s="57" t="n">
        <v>0</v>
      </c>
      <c r="R361" s="57" t="n">
        <v>6540.47</v>
      </c>
      <c r="S361" s="57" t="n">
        <v>0</v>
      </c>
      <c r="T361" s="57" t="n">
        <v>1433.8</v>
      </c>
      <c r="U361" s="58" t="n">
        <v>0.2192</v>
      </c>
      <c r="V361" s="57" t="n">
        <v>6540.47</v>
      </c>
      <c r="W361" s="58" t="n">
        <v>1</v>
      </c>
      <c r="X361" s="58" t="n">
        <v>0</v>
      </c>
      <c r="Y361" s="58" t="n">
        <v>0</v>
      </c>
      <c r="Z361" s="57" t="n">
        <v>0</v>
      </c>
      <c r="AA361" s="57" t="n">
        <v>-378.54</v>
      </c>
      <c r="AB361" s="56" t="inlineStr">
        <is>
          <t>FALSE</t>
        </is>
      </c>
      <c r="AC361" s="56" t="inlineStr">
        <is>
          <t>FALSE</t>
        </is>
      </c>
      <c r="AD361" s="57" t="n">
        <v>5106.67</v>
      </c>
      <c r="AE361" s="57" t="n">
        <v>0</v>
      </c>
      <c r="AF361" s="57" t="n">
        <v>0</v>
      </c>
      <c r="AG361" s="57" t="n">
        <v>0</v>
      </c>
      <c r="AH361" s="57" t="n">
        <v>0</v>
      </c>
    </row>
    <row r="362">
      <c r="A362" s="56" t="inlineStr">
        <is>
          <t>2026-06-17</t>
        </is>
      </c>
      <c r="B362" s="56" t="inlineStr">
        <is>
          <t>2548714</t>
        </is>
      </c>
      <c r="C362" s="56" t="inlineStr">
        <is>
          <t>DS.2025.2341 8677 Bash St</t>
        </is>
      </c>
      <c r="D362" s="56" t="inlineStr">
        <is>
          <t>DW</t>
        </is>
      </c>
      <c r="E362" s="56" t="inlineStr">
        <is>
          <t>(Unassigned)</t>
        </is>
      </c>
      <c r="F362" s="56" t="inlineStr">
        <is>
          <t>Flores Drywall and Remodeling LLC</t>
        </is>
      </c>
      <c r="G362" s="56" t="inlineStr">
        <is>
          <t>ACTIVE</t>
        </is>
      </c>
      <c r="H362" s="57" t="n">
        <v>12082.18</v>
      </c>
      <c r="I362" s="57" t="n">
        <v>0</v>
      </c>
      <c r="J362" s="57" t="n">
        <v>12082.18</v>
      </c>
      <c r="K362" s="57" t="n">
        <v>12927.93</v>
      </c>
      <c r="L362" s="57" t="n">
        <v>0</v>
      </c>
      <c r="M362" s="57" t="n">
        <v>8742.58</v>
      </c>
      <c r="N362" s="58" t="n">
        <v>0</v>
      </c>
      <c r="O362" s="57" t="n">
        <v>0</v>
      </c>
      <c r="P362" s="57" t="n">
        <v>-12082.18</v>
      </c>
      <c r="Q362" s="57" t="n">
        <v>0</v>
      </c>
      <c r="R362" s="57" t="n">
        <v>12082.18</v>
      </c>
      <c r="S362" s="57" t="n">
        <v>0</v>
      </c>
      <c r="T362" s="57" t="n">
        <v>3339.6</v>
      </c>
      <c r="U362" s="58" t="n">
        <v>0.2764</v>
      </c>
      <c r="V362" s="57" t="n">
        <v>12082.18</v>
      </c>
      <c r="W362" s="58" t="n">
        <v>1</v>
      </c>
      <c r="X362" s="58" t="n">
        <v>0</v>
      </c>
      <c r="Y362" s="58" t="n">
        <v>0</v>
      </c>
      <c r="Z362" s="57" t="n">
        <v>0</v>
      </c>
      <c r="AA362" s="57" t="n">
        <v>-845.75</v>
      </c>
      <c r="AB362" s="56" t="inlineStr">
        <is>
          <t>FALSE</t>
        </is>
      </c>
      <c r="AC362" s="56" t="inlineStr">
        <is>
          <t>FALSE</t>
        </is>
      </c>
      <c r="AD362" s="57" t="n">
        <v>8742.58</v>
      </c>
      <c r="AE362" s="57" t="n">
        <v>0</v>
      </c>
      <c r="AF362" s="57" t="n">
        <v>0</v>
      </c>
      <c r="AG362" s="57" t="n">
        <v>0</v>
      </c>
      <c r="AH362" s="57" t="n">
        <v>0</v>
      </c>
    </row>
    <row r="363">
      <c r="A363" s="56" t="inlineStr">
        <is>
          <t>2026-06-17</t>
        </is>
      </c>
      <c r="B363" s="56" t="inlineStr">
        <is>
          <t>2545375</t>
        </is>
      </c>
      <c r="C363" s="56" t="inlineStr">
        <is>
          <t>DS.2025.2340 1573 Chatham Drive</t>
        </is>
      </c>
      <c r="D363" s="56" t="inlineStr">
        <is>
          <t>DW</t>
        </is>
      </c>
      <c r="E363" s="56" t="inlineStr">
        <is>
          <t>(Unassigned)</t>
        </is>
      </c>
      <c r="F363" s="56" t="inlineStr">
        <is>
          <t>Iracheta Drywall</t>
        </is>
      </c>
      <c r="G363" s="56" t="inlineStr">
        <is>
          <t>ACTIVE</t>
        </is>
      </c>
      <c r="H363" s="57" t="n">
        <v>16402.7</v>
      </c>
      <c r="I363" s="57" t="n">
        <v>0</v>
      </c>
      <c r="J363" s="57" t="n">
        <v>16402.7</v>
      </c>
      <c r="K363" s="57" t="n">
        <v>17550.89</v>
      </c>
      <c r="L363" s="57" t="n">
        <v>0</v>
      </c>
      <c r="M363" s="57" t="n">
        <v>11895.1</v>
      </c>
      <c r="N363" s="58" t="n">
        <v>0</v>
      </c>
      <c r="O363" s="57" t="n">
        <v>0</v>
      </c>
      <c r="P363" s="57" t="n">
        <v>-16402.7</v>
      </c>
      <c r="Q363" s="57" t="n">
        <v>0</v>
      </c>
      <c r="R363" s="57" t="n">
        <v>16402.7</v>
      </c>
      <c r="S363" s="57" t="n">
        <v>0</v>
      </c>
      <c r="T363" s="57" t="n">
        <v>4507.6</v>
      </c>
      <c r="U363" s="58" t="n">
        <v>0.2748</v>
      </c>
      <c r="V363" s="57" t="n">
        <v>16402.7</v>
      </c>
      <c r="W363" s="58" t="n">
        <v>1</v>
      </c>
      <c r="X363" s="58" t="n">
        <v>0</v>
      </c>
      <c r="Y363" s="58" t="n">
        <v>0</v>
      </c>
      <c r="Z363" s="57" t="n">
        <v>0</v>
      </c>
      <c r="AA363" s="57" t="n">
        <v>-1148.19</v>
      </c>
      <c r="AB363" s="56" t="inlineStr">
        <is>
          <t>FALSE</t>
        </is>
      </c>
      <c r="AC363" s="56" t="inlineStr">
        <is>
          <t>FALSE</t>
        </is>
      </c>
      <c r="AD363" s="57" t="n">
        <v>11895.1</v>
      </c>
      <c r="AE363" s="57" t="n">
        <v>0</v>
      </c>
      <c r="AF363" s="57" t="n">
        <v>0</v>
      </c>
      <c r="AG363" s="57" t="n">
        <v>0</v>
      </c>
      <c r="AH363" s="57" t="n">
        <v>0</v>
      </c>
    </row>
    <row r="364">
      <c r="A364" s="56" t="inlineStr">
        <is>
          <t>2026-06-17</t>
        </is>
      </c>
      <c r="B364" s="56" t="inlineStr">
        <is>
          <t>2545100</t>
        </is>
      </c>
      <c r="C364" s="56" t="inlineStr">
        <is>
          <t>2025.1028 Northpoint</t>
        </is>
      </c>
      <c r="D364" s="56" t="inlineStr">
        <is>
          <t>TI</t>
        </is>
      </c>
      <c r="E364" s="56" t="inlineStr">
        <is>
          <t>Trevor Anderson</t>
        </is>
      </c>
      <c r="F364" s="56" t="inlineStr">
        <is>
          <t>Patch Development</t>
        </is>
      </c>
      <c r="G364" s="56" t="inlineStr">
        <is>
          <t>ACTIVE</t>
        </is>
      </c>
      <c r="H364" s="57" t="n">
        <v>243696</v>
      </c>
      <c r="I364" s="57" t="n">
        <v>130220</v>
      </c>
      <c r="J364" s="57" t="n">
        <v>17415</v>
      </c>
      <c r="K364" s="57" t="n">
        <v>17415</v>
      </c>
      <c r="L364" s="57" t="n">
        <v>141629.82</v>
      </c>
      <c r="M364" s="57" t="n">
        <v>69626.83</v>
      </c>
      <c r="N364" s="58" t="n">
        <v>0.4916</v>
      </c>
      <c r="O364" s="57" t="n">
        <v>119800.95</v>
      </c>
      <c r="P364" s="57" t="n">
        <v>102385.95</v>
      </c>
      <c r="Q364" s="57" t="n">
        <v>100453.72</v>
      </c>
      <c r="R364" s="57" t="n">
        <v>0</v>
      </c>
      <c r="S364" s="57" t="n">
        <v>102385.95</v>
      </c>
      <c r="T364" s="57" t="n">
        <v>-50276.83</v>
      </c>
      <c r="U364" s="58" t="n">
        <v>-1</v>
      </c>
      <c r="V364" s="57" t="n">
        <v>102066.18</v>
      </c>
      <c r="W364" s="58" t="n">
        <v>0.4188</v>
      </c>
      <c r="X364" s="58" t="n">
        <v>0.4188</v>
      </c>
      <c r="Y364" s="58" t="n">
        <v>1.4188</v>
      </c>
      <c r="Z364" s="57" t="n">
        <v>1935</v>
      </c>
      <c r="AA364" s="57" t="n">
        <v>0</v>
      </c>
      <c r="AB364" s="56" t="inlineStr">
        <is>
          <t>TRUE</t>
        </is>
      </c>
      <c r="AC364" s="56" t="inlineStr">
        <is>
          <t>TRUE</t>
        </is>
      </c>
      <c r="AD364" s="57" t="n">
        <v>39751.91</v>
      </c>
      <c r="AE364" s="57" t="n">
        <v>21274.24</v>
      </c>
      <c r="AF364" s="57" t="n">
        <v>8600.68</v>
      </c>
      <c r="AG364" s="57" t="n">
        <v>0</v>
      </c>
      <c r="AH364" s="57" t="n">
        <v>0</v>
      </c>
    </row>
    <row r="365">
      <c r="A365" s="56" t="inlineStr">
        <is>
          <t>2026-06-17</t>
        </is>
      </c>
      <c r="B365" s="56" t="inlineStr">
        <is>
          <t>2541102</t>
        </is>
      </c>
      <c r="C365" s="56" t="inlineStr">
        <is>
          <t>MF.2026.1044 Everstead Apartments</t>
        </is>
      </c>
      <c r="D365" s="56" t="inlineStr">
        <is>
          <t>MF</t>
        </is>
      </c>
      <c r="E365" s="56" t="inlineStr">
        <is>
          <t>Ben Garza</t>
        </is>
      </c>
      <c r="F365" s="56" t="inlineStr">
        <is>
          <t>Grand Contracting</t>
        </is>
      </c>
      <c r="G365" s="56" t="inlineStr">
        <is>
          <t>ACTIVE</t>
        </is>
      </c>
      <c r="H365" s="57" t="n">
        <v>4391740</v>
      </c>
      <c r="I365" s="57" t="n">
        <v>0</v>
      </c>
      <c r="J365" s="57" t="n">
        <v>0</v>
      </c>
      <c r="K365" s="57" t="n">
        <v>0</v>
      </c>
      <c r="L365" s="57" t="n">
        <v>3051250</v>
      </c>
      <c r="M365" s="57" t="n">
        <v>0</v>
      </c>
      <c r="N365" s="58" t="n">
        <v>0</v>
      </c>
      <c r="O365" s="57" t="n">
        <v>0</v>
      </c>
      <c r="P365" s="57" t="n">
        <v>0</v>
      </c>
      <c r="Q365" s="57" t="n">
        <v>0</v>
      </c>
      <c r="R365" s="57" t="n">
        <v>0</v>
      </c>
      <c r="S365" s="57" t="n">
        <v>0</v>
      </c>
      <c r="T365" s="57" t="n">
        <v>0</v>
      </c>
      <c r="U365" s="58" t="n">
        <v>0</v>
      </c>
      <c r="V365" s="57" t="n">
        <v>1340490</v>
      </c>
      <c r="W365" s="58" t="n">
        <v>0.3052</v>
      </c>
      <c r="X365" s="58" t="n">
        <v>0.3052</v>
      </c>
      <c r="Y365" s="58" t="n">
        <v>0.3052</v>
      </c>
      <c r="Z365" s="57" t="n">
        <v>0</v>
      </c>
      <c r="AA365" s="57" t="n">
        <v>0</v>
      </c>
      <c r="AB365" s="56" t="inlineStr">
        <is>
          <t>TRUE</t>
        </is>
      </c>
      <c r="AC365" s="56" t="inlineStr">
        <is>
          <t>TRUE</t>
        </is>
      </c>
      <c r="AD365" s="57" t="n">
        <v>0</v>
      </c>
      <c r="AE365" s="57" t="n">
        <v>0</v>
      </c>
      <c r="AF365" s="57" t="n">
        <v>0</v>
      </c>
      <c r="AG365" s="57" t="n">
        <v>0</v>
      </c>
      <c r="AH365" s="57" t="n">
        <v>0</v>
      </c>
    </row>
    <row r="366">
      <c r="A366" s="56" t="inlineStr">
        <is>
          <t>2026-06-17</t>
        </is>
      </c>
      <c r="B366" s="56" t="inlineStr">
        <is>
          <t>2541097</t>
        </is>
      </c>
      <c r="C366" s="56" t="inlineStr">
        <is>
          <t>2025.1026 HNTB Buildout (Salesforce Tower)</t>
        </is>
      </c>
      <c r="D366" s="56" t="inlineStr">
        <is>
          <t>TI</t>
        </is>
      </c>
      <c r="E366" s="56" t="inlineStr">
        <is>
          <t>Ben Garza</t>
        </is>
      </c>
      <c r="F366" s="56" t="inlineStr">
        <is>
          <t>Skender Construction of Indiana LLC</t>
        </is>
      </c>
      <c r="G366" s="56" t="inlineStr">
        <is>
          <t>ACTIVE</t>
        </is>
      </c>
      <c r="H366" s="57" t="n">
        <v>476552.38</v>
      </c>
      <c r="I366" s="57" t="n">
        <v>39052.38</v>
      </c>
      <c r="J366" s="57" t="n">
        <v>449069.6</v>
      </c>
      <c r="K366" s="57" t="n">
        <v>123103.62</v>
      </c>
      <c r="L366" s="57" t="n">
        <v>411573.38</v>
      </c>
      <c r="M366" s="57" t="n">
        <v>411177.02</v>
      </c>
      <c r="N366" s="58" t="n">
        <v>0.999</v>
      </c>
      <c r="O366" s="57" t="n">
        <v>476075.83</v>
      </c>
      <c r="P366" s="57" t="n">
        <v>27006.23</v>
      </c>
      <c r="Q366" s="57" t="n">
        <v>27023.84</v>
      </c>
      <c r="R366" s="57" t="n">
        <v>0</v>
      </c>
      <c r="S366" s="57" t="n">
        <v>27006.23</v>
      </c>
      <c r="T366" s="57" t="n">
        <v>37892.58</v>
      </c>
      <c r="U366" s="58" t="n">
        <v>0.0844</v>
      </c>
      <c r="V366" s="57" t="n">
        <v>64979</v>
      </c>
      <c r="W366" s="58" t="n">
        <v>0.1364</v>
      </c>
      <c r="X366" s="58" t="n">
        <v>0.1364</v>
      </c>
      <c r="Y366" s="58" t="n">
        <v>0.052</v>
      </c>
      <c r="Z366" s="57" t="n">
        <v>0</v>
      </c>
      <c r="AA366" s="57" t="n">
        <v>325965.98</v>
      </c>
      <c r="AB366" s="56" t="inlineStr">
        <is>
          <t>TRUE</t>
        </is>
      </c>
      <c r="AC366" s="56" t="inlineStr">
        <is>
          <t>TRUE</t>
        </is>
      </c>
      <c r="AD366" s="57" t="n">
        <v>224734.09</v>
      </c>
      <c r="AE366" s="57" t="n">
        <v>182182.94</v>
      </c>
      <c r="AF366" s="57" t="n">
        <v>4114.92</v>
      </c>
      <c r="AG366" s="57" t="n">
        <v>145.07</v>
      </c>
      <c r="AH366" s="57" t="n">
        <v>0</v>
      </c>
    </row>
    <row r="367">
      <c r="A367" s="56" t="inlineStr">
        <is>
          <t>2026-06-17</t>
        </is>
      </c>
      <c r="B367" s="56" t="inlineStr">
        <is>
          <t>2541065</t>
        </is>
      </c>
      <c r="C367" s="56" t="inlineStr">
        <is>
          <t>2026.1034 Stella's Ice Cream Shop</t>
        </is>
      </c>
      <c r="D367" s="56" t="inlineStr">
        <is>
          <t>TI</t>
        </is>
      </c>
      <c r="E367" s="56" t="inlineStr">
        <is>
          <t>Shawn Welcher</t>
        </is>
      </c>
      <c r="F367" s="56" t="inlineStr">
        <is>
          <t>The ACTS Collaborative, LLC</t>
        </is>
      </c>
      <c r="G367" s="56" t="inlineStr">
        <is>
          <t>ACTIVE</t>
        </is>
      </c>
      <c r="H367" s="57" t="n">
        <v>69155</v>
      </c>
      <c r="I367" s="57" t="n">
        <v>3655</v>
      </c>
      <c r="J367" s="57" t="n">
        <v>62239.5</v>
      </c>
      <c r="K367" s="57" t="n">
        <v>34110</v>
      </c>
      <c r="L367" s="57" t="n">
        <v>36976.57</v>
      </c>
      <c r="M367" s="57" t="n">
        <v>27001.17</v>
      </c>
      <c r="N367" s="58" t="n">
        <v>0.7302</v>
      </c>
      <c r="O367" s="57" t="n">
        <v>50496.98</v>
      </c>
      <c r="P367" s="57" t="n">
        <v>-11742.52</v>
      </c>
      <c r="Q367" s="57" t="n">
        <v>-18656.38</v>
      </c>
      <c r="R367" s="57" t="n">
        <v>11742.52</v>
      </c>
      <c r="S367" s="57" t="n">
        <v>0</v>
      </c>
      <c r="T367" s="57" t="n">
        <v>42153.83</v>
      </c>
      <c r="U367" s="58" t="n">
        <v>0.6096</v>
      </c>
      <c r="V367" s="57" t="n">
        <v>32178.43</v>
      </c>
      <c r="W367" s="58" t="n">
        <v>0.4653</v>
      </c>
      <c r="X367" s="58" t="n">
        <v>0.4653</v>
      </c>
      <c r="Y367" s="58" t="n">
        <v>-0.1442</v>
      </c>
      <c r="Z367" s="57" t="n">
        <v>6915.5</v>
      </c>
      <c r="AA367" s="57" t="n">
        <v>28129.5</v>
      </c>
      <c r="AB367" s="56" t="inlineStr">
        <is>
          <t>TRUE</t>
        </is>
      </c>
      <c r="AC367" s="56" t="inlineStr">
        <is>
          <t>TRUE</t>
        </is>
      </c>
      <c r="AD367" s="57" t="n">
        <v>14318.83</v>
      </c>
      <c r="AE367" s="57" t="n">
        <v>12682.34</v>
      </c>
      <c r="AF367" s="57" t="n">
        <v>0</v>
      </c>
      <c r="AG367" s="57" t="n">
        <v>0</v>
      </c>
      <c r="AH367" s="57" t="n">
        <v>0</v>
      </c>
    </row>
    <row r="368">
      <c r="A368" s="56" t="inlineStr">
        <is>
          <t>2026-06-17</t>
        </is>
      </c>
      <c r="B368" s="56" t="inlineStr">
        <is>
          <t>2540055</t>
        </is>
      </c>
      <c r="C368" s="56" t="inlineStr">
        <is>
          <t>DS.2025.2339 1952 N Central Ave</t>
        </is>
      </c>
      <c r="D368" s="56" t="inlineStr">
        <is>
          <t>DW</t>
        </is>
      </c>
      <c r="E368" s="56" t="inlineStr">
        <is>
          <t>(Unassigned)</t>
        </is>
      </c>
      <c r="F368" s="56" t="inlineStr">
        <is>
          <t>Pro Fix Drywaller, LLC</t>
        </is>
      </c>
      <c r="G368" s="56" t="inlineStr">
        <is>
          <t>ACTIVE</t>
        </is>
      </c>
      <c r="H368" s="57" t="n">
        <v>4609.73</v>
      </c>
      <c r="I368" s="57" t="n">
        <v>630</v>
      </c>
      <c r="J368" s="57" t="n">
        <v>4609.73</v>
      </c>
      <c r="K368" s="57" t="n">
        <v>0</v>
      </c>
      <c r="L368" s="57" t="n">
        <v>0</v>
      </c>
      <c r="M368" s="57" t="n">
        <v>3564.44</v>
      </c>
      <c r="N368" s="58" t="n">
        <v>0</v>
      </c>
      <c r="O368" s="57" t="n">
        <v>0</v>
      </c>
      <c r="P368" s="57" t="n">
        <v>-4609.73</v>
      </c>
      <c r="Q368" s="57" t="n">
        <v>0</v>
      </c>
      <c r="R368" s="57" t="n">
        <v>4609.73</v>
      </c>
      <c r="S368" s="57" t="n">
        <v>0</v>
      </c>
      <c r="T368" s="57" t="n">
        <v>1045.29</v>
      </c>
      <c r="U368" s="58" t="n">
        <v>0.2268</v>
      </c>
      <c r="V368" s="57" t="n">
        <v>4609.73</v>
      </c>
      <c r="W368" s="58" t="n">
        <v>1</v>
      </c>
      <c r="X368" s="58" t="n">
        <v>0</v>
      </c>
      <c r="Y368" s="58" t="n">
        <v>0</v>
      </c>
      <c r="Z368" s="57" t="n">
        <v>0</v>
      </c>
      <c r="AA368" s="57" t="n">
        <v>4609.73</v>
      </c>
      <c r="AB368" s="56" t="inlineStr">
        <is>
          <t>FALSE</t>
        </is>
      </c>
      <c r="AC368" s="56" t="inlineStr">
        <is>
          <t>FALSE</t>
        </is>
      </c>
      <c r="AD368" s="57" t="n">
        <v>3564.44</v>
      </c>
      <c r="AE368" s="57" t="n">
        <v>0</v>
      </c>
      <c r="AF368" s="57" t="n">
        <v>0</v>
      </c>
      <c r="AG368" s="57" t="n">
        <v>0</v>
      </c>
      <c r="AH368" s="57" t="n">
        <v>0</v>
      </c>
    </row>
    <row r="369">
      <c r="A369" s="56" t="inlineStr">
        <is>
          <t>2026-06-17</t>
        </is>
      </c>
      <c r="B369" s="56" t="inlineStr">
        <is>
          <t>2538950</t>
        </is>
      </c>
      <c r="C369" s="56" t="inlineStr">
        <is>
          <t>DS.2025.2338 7655 W Julia Drive</t>
        </is>
      </c>
      <c r="D369" s="56" t="inlineStr">
        <is>
          <t>DW</t>
        </is>
      </c>
      <c r="E369" s="56" t="inlineStr">
        <is>
          <t>(Unassigned)</t>
        </is>
      </c>
      <c r="F369" s="56" t="inlineStr">
        <is>
          <t>GSI - Gregory Scott Inabnit LLC</t>
        </is>
      </c>
      <c r="G369" s="56" t="inlineStr">
        <is>
          <t>ACTIVE</t>
        </is>
      </c>
      <c r="H369" s="57" t="n">
        <v>4904.49</v>
      </c>
      <c r="I369" s="57" t="n">
        <v>0</v>
      </c>
      <c r="J369" s="57" t="n">
        <v>4904.49</v>
      </c>
      <c r="K369" s="57" t="n">
        <v>0</v>
      </c>
      <c r="L369" s="57" t="n">
        <v>0</v>
      </c>
      <c r="M369" s="57" t="n">
        <v>3377.83</v>
      </c>
      <c r="N369" s="58" t="n">
        <v>0</v>
      </c>
      <c r="O369" s="57" t="n">
        <v>0</v>
      </c>
      <c r="P369" s="57" t="n">
        <v>-4904.49</v>
      </c>
      <c r="Q369" s="57" t="n">
        <v>0</v>
      </c>
      <c r="R369" s="57" t="n">
        <v>4904.49</v>
      </c>
      <c r="S369" s="57" t="n">
        <v>0</v>
      </c>
      <c r="T369" s="57" t="n">
        <v>1526.66</v>
      </c>
      <c r="U369" s="58" t="n">
        <v>0.3113</v>
      </c>
      <c r="V369" s="57" t="n">
        <v>4904.49</v>
      </c>
      <c r="W369" s="58" t="n">
        <v>1</v>
      </c>
      <c r="X369" s="58" t="n">
        <v>0</v>
      </c>
      <c r="Y369" s="58" t="n">
        <v>0</v>
      </c>
      <c r="Z369" s="57" t="n">
        <v>0</v>
      </c>
      <c r="AA369" s="57" t="n">
        <v>4904.49</v>
      </c>
      <c r="AB369" s="56" t="inlineStr">
        <is>
          <t>FALSE</t>
        </is>
      </c>
      <c r="AC369" s="56" t="inlineStr">
        <is>
          <t>FALSE</t>
        </is>
      </c>
      <c r="AD369" s="57" t="n">
        <v>3377.83</v>
      </c>
      <c r="AE369" s="57" t="n">
        <v>0</v>
      </c>
      <c r="AF369" s="57" t="n">
        <v>0</v>
      </c>
      <c r="AG369" s="57" t="n">
        <v>0</v>
      </c>
      <c r="AH369" s="57" t="n">
        <v>0</v>
      </c>
    </row>
    <row r="370">
      <c r="A370" s="56" t="inlineStr">
        <is>
          <t>2026-06-17</t>
        </is>
      </c>
      <c r="B370" s="56" t="inlineStr">
        <is>
          <t>2538818</t>
        </is>
      </c>
      <c r="C370" s="56" t="inlineStr">
        <is>
          <t>DS.2025.2337 Courtyards of Cielo Ranch 7</t>
        </is>
      </c>
      <c r="D370" s="56" t="inlineStr">
        <is>
          <t>DW</t>
        </is>
      </c>
      <c r="E370" s="56" t="inlineStr">
        <is>
          <t>(Unassigned)</t>
        </is>
      </c>
      <c r="F370" s="56" t="inlineStr">
        <is>
          <t>Big Dawg Drywall</t>
        </is>
      </c>
      <c r="G370" s="56" t="inlineStr">
        <is>
          <t>ACTIVE</t>
        </is>
      </c>
      <c r="H370" s="57" t="n">
        <v>336.96</v>
      </c>
      <c r="I370" s="57" t="n">
        <v>0</v>
      </c>
      <c r="J370" s="57" t="n">
        <v>336.96</v>
      </c>
      <c r="K370" s="57" t="n">
        <v>360.55</v>
      </c>
      <c r="L370" s="57" t="n">
        <v>0</v>
      </c>
      <c r="M370" s="57" t="n">
        <v>233.28</v>
      </c>
      <c r="N370" s="58" t="n">
        <v>0</v>
      </c>
      <c r="O370" s="57" t="n">
        <v>0</v>
      </c>
      <c r="P370" s="57" t="n">
        <v>-336.96</v>
      </c>
      <c r="Q370" s="57" t="n">
        <v>0</v>
      </c>
      <c r="R370" s="57" t="n">
        <v>336.96</v>
      </c>
      <c r="S370" s="57" t="n">
        <v>0</v>
      </c>
      <c r="T370" s="57" t="n">
        <v>103.68</v>
      </c>
      <c r="U370" s="58" t="n">
        <v>0.3077</v>
      </c>
      <c r="V370" s="57" t="n">
        <v>336.96</v>
      </c>
      <c r="W370" s="58" t="n">
        <v>1</v>
      </c>
      <c r="X370" s="58" t="n">
        <v>0</v>
      </c>
      <c r="Y370" s="58" t="n">
        <v>0</v>
      </c>
      <c r="Z370" s="57" t="n">
        <v>0</v>
      </c>
      <c r="AA370" s="57" t="n">
        <v>-23.59</v>
      </c>
      <c r="AB370" s="56" t="inlineStr">
        <is>
          <t>FALSE</t>
        </is>
      </c>
      <c r="AC370" s="56" t="inlineStr">
        <is>
          <t>FALSE</t>
        </is>
      </c>
      <c r="AD370" s="57" t="n">
        <v>233.28</v>
      </c>
      <c r="AE370" s="57" t="n">
        <v>0</v>
      </c>
      <c r="AF370" s="57" t="n">
        <v>0</v>
      </c>
      <c r="AG370" s="57" t="n">
        <v>0</v>
      </c>
      <c r="AH370" s="57" t="n">
        <v>0</v>
      </c>
    </row>
    <row r="371">
      <c r="A371" s="56" t="inlineStr">
        <is>
          <t>2026-06-17</t>
        </is>
      </c>
      <c r="B371" s="56" t="inlineStr">
        <is>
          <t>2538718</t>
        </is>
      </c>
      <c r="C371" s="56" t="inlineStr">
        <is>
          <t>DS.2025.2336 Courtyards of Cielo Ranch 24</t>
        </is>
      </c>
      <c r="D371" s="56" t="inlineStr">
        <is>
          <t>DW</t>
        </is>
      </c>
      <c r="E371" s="56" t="inlineStr">
        <is>
          <t>(Unassigned)</t>
        </is>
      </c>
      <c r="F371" s="56" t="inlineStr">
        <is>
          <t>Big Dawg Drywall</t>
        </is>
      </c>
      <c r="G371" s="56" t="inlineStr">
        <is>
          <t>ACTIVE</t>
        </is>
      </c>
      <c r="H371" s="57" t="n">
        <v>5961.9</v>
      </c>
      <c r="I371" s="57" t="n">
        <v>0</v>
      </c>
      <c r="J371" s="57" t="n">
        <v>5961.9</v>
      </c>
      <c r="K371" s="57" t="n">
        <v>6379.23</v>
      </c>
      <c r="L371" s="57" t="n">
        <v>0</v>
      </c>
      <c r="M371" s="57" t="n">
        <v>4451.18</v>
      </c>
      <c r="N371" s="58" t="n">
        <v>0</v>
      </c>
      <c r="O371" s="57" t="n">
        <v>0</v>
      </c>
      <c r="P371" s="57" t="n">
        <v>-5961.9</v>
      </c>
      <c r="Q371" s="57" t="n">
        <v>0</v>
      </c>
      <c r="R371" s="57" t="n">
        <v>5961.9</v>
      </c>
      <c r="S371" s="57" t="n">
        <v>0</v>
      </c>
      <c r="T371" s="57" t="n">
        <v>1510.72</v>
      </c>
      <c r="U371" s="58" t="n">
        <v>0.2534</v>
      </c>
      <c r="V371" s="57" t="n">
        <v>5961.9</v>
      </c>
      <c r="W371" s="58" t="n">
        <v>1</v>
      </c>
      <c r="X371" s="58" t="n">
        <v>0</v>
      </c>
      <c r="Y371" s="58" t="n">
        <v>0</v>
      </c>
      <c r="Z371" s="57" t="n">
        <v>0</v>
      </c>
      <c r="AA371" s="57" t="n">
        <v>-417.33</v>
      </c>
      <c r="AB371" s="56" t="inlineStr">
        <is>
          <t>FALSE</t>
        </is>
      </c>
      <c r="AC371" s="56" t="inlineStr">
        <is>
          <t>FALSE</t>
        </is>
      </c>
      <c r="AD371" s="57" t="n">
        <v>4451.18</v>
      </c>
      <c r="AE371" s="57" t="n">
        <v>0</v>
      </c>
      <c r="AF371" s="57" t="n">
        <v>0</v>
      </c>
      <c r="AG371" s="57" t="n">
        <v>0</v>
      </c>
      <c r="AH371" s="57" t="n">
        <v>0</v>
      </c>
    </row>
    <row r="372">
      <c r="A372" s="56" t="inlineStr">
        <is>
          <t>2026-06-17</t>
        </is>
      </c>
      <c r="B372" s="56" t="inlineStr">
        <is>
          <t>2538410</t>
        </is>
      </c>
      <c r="C372" s="56" t="inlineStr">
        <is>
          <t>DS.2025.2335 Courtyards of Cielo Ranch 23</t>
        </is>
      </c>
      <c r="D372" s="56" t="inlineStr">
        <is>
          <t>DW</t>
        </is>
      </c>
      <c r="E372" s="56" t="inlineStr">
        <is>
          <t>(Unassigned)</t>
        </is>
      </c>
      <c r="F372" s="56" t="inlineStr">
        <is>
          <t>Big Dawg Drywall</t>
        </is>
      </c>
      <c r="G372" s="56" t="inlineStr">
        <is>
          <t>ACTIVE</t>
        </is>
      </c>
      <c r="H372" s="57" t="n">
        <v>4716.44</v>
      </c>
      <c r="I372" s="57" t="n">
        <v>0</v>
      </c>
      <c r="J372" s="57" t="n">
        <v>4716.44</v>
      </c>
      <c r="K372" s="57" t="n">
        <v>5046.59</v>
      </c>
      <c r="L372" s="57" t="n">
        <v>0</v>
      </c>
      <c r="M372" s="57" t="n">
        <v>3538.96</v>
      </c>
      <c r="N372" s="58" t="n">
        <v>0</v>
      </c>
      <c r="O372" s="57" t="n">
        <v>0</v>
      </c>
      <c r="P372" s="57" t="n">
        <v>-4716.44</v>
      </c>
      <c r="Q372" s="57" t="n">
        <v>0</v>
      </c>
      <c r="R372" s="57" t="n">
        <v>4716.44</v>
      </c>
      <c r="S372" s="57" t="n">
        <v>0</v>
      </c>
      <c r="T372" s="57" t="n">
        <v>1177.48</v>
      </c>
      <c r="U372" s="58" t="n">
        <v>0.2497</v>
      </c>
      <c r="V372" s="57" t="n">
        <v>4716.44</v>
      </c>
      <c r="W372" s="58" t="n">
        <v>1</v>
      </c>
      <c r="X372" s="58" t="n">
        <v>0</v>
      </c>
      <c r="Y372" s="58" t="n">
        <v>0</v>
      </c>
      <c r="Z372" s="57" t="n">
        <v>0</v>
      </c>
      <c r="AA372" s="57" t="n">
        <v>-330.15</v>
      </c>
      <c r="AB372" s="56" t="inlineStr">
        <is>
          <t>FALSE</t>
        </is>
      </c>
      <c r="AC372" s="56" t="inlineStr">
        <is>
          <t>FALSE</t>
        </is>
      </c>
      <c r="AD372" s="57" t="n">
        <v>3538.96</v>
      </c>
      <c r="AE372" s="57" t="n">
        <v>0</v>
      </c>
      <c r="AF372" s="57" t="n">
        <v>0</v>
      </c>
      <c r="AG372" s="57" t="n">
        <v>0</v>
      </c>
      <c r="AH372" s="57" t="n">
        <v>0</v>
      </c>
    </row>
    <row r="373">
      <c r="A373" s="56" t="inlineStr">
        <is>
          <t>2026-06-17</t>
        </is>
      </c>
      <c r="B373" s="56" t="inlineStr">
        <is>
          <t>2536742</t>
        </is>
      </c>
      <c r="C373" s="56" t="inlineStr">
        <is>
          <t>DS.2025.2334 Courtyards of Russell Oaks 61</t>
        </is>
      </c>
      <c r="D373" s="56" t="inlineStr">
        <is>
          <t>DW</t>
        </is>
      </c>
      <c r="E373" s="56" t="inlineStr">
        <is>
          <t>(Unassigned)</t>
        </is>
      </c>
      <c r="F373" s="56" t="inlineStr">
        <is>
          <t>Big Dawg Drywall</t>
        </is>
      </c>
      <c r="G373" s="56" t="inlineStr">
        <is>
          <t>ACTIVE</t>
        </is>
      </c>
      <c r="H373" s="57" t="n">
        <v>6990.74</v>
      </c>
      <c r="I373" s="57" t="n">
        <v>224</v>
      </c>
      <c r="J373" s="57" t="n">
        <v>6990.74</v>
      </c>
      <c r="K373" s="57" t="n">
        <v>7464.41</v>
      </c>
      <c r="L373" s="57" t="n">
        <v>0</v>
      </c>
      <c r="M373" s="57" t="n">
        <v>5192.09</v>
      </c>
      <c r="N373" s="58" t="n">
        <v>0</v>
      </c>
      <c r="O373" s="57" t="n">
        <v>0</v>
      </c>
      <c r="P373" s="57" t="n">
        <v>-6990.74</v>
      </c>
      <c r="Q373" s="57" t="n">
        <v>0</v>
      </c>
      <c r="R373" s="57" t="n">
        <v>6990.74</v>
      </c>
      <c r="S373" s="57" t="n">
        <v>0</v>
      </c>
      <c r="T373" s="57" t="n">
        <v>1798.65</v>
      </c>
      <c r="U373" s="58" t="n">
        <v>0.2573</v>
      </c>
      <c r="V373" s="57" t="n">
        <v>6990.74</v>
      </c>
      <c r="W373" s="58" t="n">
        <v>1</v>
      </c>
      <c r="X373" s="58" t="n">
        <v>0</v>
      </c>
      <c r="Y373" s="58" t="n">
        <v>0</v>
      </c>
      <c r="Z373" s="57" t="n">
        <v>0</v>
      </c>
      <c r="AA373" s="57" t="n">
        <v>-473.67</v>
      </c>
      <c r="AB373" s="56" t="inlineStr">
        <is>
          <t>FALSE</t>
        </is>
      </c>
      <c r="AC373" s="56" t="inlineStr">
        <is>
          <t>FALSE</t>
        </is>
      </c>
      <c r="AD373" s="57" t="n">
        <v>5192.09</v>
      </c>
      <c r="AE373" s="57" t="n">
        <v>0</v>
      </c>
      <c r="AF373" s="57" t="n">
        <v>0</v>
      </c>
      <c r="AG373" s="57" t="n">
        <v>0</v>
      </c>
      <c r="AH373" s="57" t="n">
        <v>0</v>
      </c>
    </row>
    <row r="374">
      <c r="A374" s="56" t="inlineStr">
        <is>
          <t>2026-06-17</t>
        </is>
      </c>
      <c r="B374" s="56" t="inlineStr">
        <is>
          <t>2532793</t>
        </is>
      </c>
      <c r="C374" s="56" t="inlineStr">
        <is>
          <t>DS.2025.2333 7814 E Old US 50</t>
        </is>
      </c>
      <c r="D374" s="56" t="inlineStr">
        <is>
          <t>DW</t>
        </is>
      </c>
      <c r="E374" s="56" t="inlineStr">
        <is>
          <t>(Unassigned)</t>
        </is>
      </c>
      <c r="F374" s="56" t="inlineStr">
        <is>
          <t>Total Drywall Solutions Inc</t>
        </is>
      </c>
      <c r="G374" s="56" t="inlineStr">
        <is>
          <t>ACTIVE</t>
        </is>
      </c>
      <c r="H374" s="57" t="n">
        <v>4391.29</v>
      </c>
      <c r="I374" s="57" t="n">
        <v>0</v>
      </c>
      <c r="J374" s="57" t="n">
        <v>4391.29</v>
      </c>
      <c r="K374" s="57" t="n">
        <v>4698.68</v>
      </c>
      <c r="L374" s="57" t="n">
        <v>0</v>
      </c>
      <c r="M374" s="57" t="n">
        <v>3227.84</v>
      </c>
      <c r="N374" s="58" t="n">
        <v>0</v>
      </c>
      <c r="O374" s="57" t="n">
        <v>0</v>
      </c>
      <c r="P374" s="57" t="n">
        <v>-4391.29</v>
      </c>
      <c r="Q374" s="57" t="n">
        <v>0</v>
      </c>
      <c r="R374" s="57" t="n">
        <v>4391.29</v>
      </c>
      <c r="S374" s="57" t="n">
        <v>0</v>
      </c>
      <c r="T374" s="57" t="n">
        <v>1163.45</v>
      </c>
      <c r="U374" s="58" t="n">
        <v>0.2649</v>
      </c>
      <c r="V374" s="57" t="n">
        <v>4391.29</v>
      </c>
      <c r="W374" s="58" t="n">
        <v>1</v>
      </c>
      <c r="X374" s="58" t="n">
        <v>0</v>
      </c>
      <c r="Y374" s="58" t="n">
        <v>0</v>
      </c>
      <c r="Z374" s="57" t="n">
        <v>0</v>
      </c>
      <c r="AA374" s="57" t="n">
        <v>-307.39</v>
      </c>
      <c r="AB374" s="56" t="inlineStr">
        <is>
          <t>FALSE</t>
        </is>
      </c>
      <c r="AC374" s="56" t="inlineStr">
        <is>
          <t>FALSE</t>
        </is>
      </c>
      <c r="AD374" s="57" t="n">
        <v>3227.84</v>
      </c>
      <c r="AE374" s="57" t="n">
        <v>0</v>
      </c>
      <c r="AF374" s="57" t="n">
        <v>0</v>
      </c>
      <c r="AG374" s="57" t="n">
        <v>0</v>
      </c>
      <c r="AH374" s="57" t="n">
        <v>0</v>
      </c>
    </row>
    <row r="375">
      <c r="A375" s="56" t="inlineStr">
        <is>
          <t>2026-06-17</t>
        </is>
      </c>
      <c r="B375" s="56" t="inlineStr">
        <is>
          <t>2532772</t>
        </is>
      </c>
      <c r="C375" s="56" t="inlineStr">
        <is>
          <t>DS.2025.2332 Courtyards of Westfield 109</t>
        </is>
      </c>
      <c r="D375" s="56" t="inlineStr">
        <is>
          <t>DW</t>
        </is>
      </c>
      <c r="E375" s="56" t="inlineStr">
        <is>
          <t>(Unassigned)</t>
        </is>
      </c>
      <c r="F375" s="56" t="inlineStr">
        <is>
          <t>Big Dawg Drywall</t>
        </is>
      </c>
      <c r="G375" s="56" t="inlineStr">
        <is>
          <t>ACTIVE</t>
        </is>
      </c>
      <c r="H375" s="57" t="n">
        <v>5407.67</v>
      </c>
      <c r="I375" s="57" t="n">
        <v>0</v>
      </c>
      <c r="J375" s="57" t="n">
        <v>5407.67</v>
      </c>
      <c r="K375" s="57" t="n">
        <v>5786.21</v>
      </c>
      <c r="L375" s="57" t="n">
        <v>0</v>
      </c>
      <c r="M375" s="57" t="n">
        <v>4321.39</v>
      </c>
      <c r="N375" s="58" t="n">
        <v>0</v>
      </c>
      <c r="O375" s="57" t="n">
        <v>0</v>
      </c>
      <c r="P375" s="57" t="n">
        <v>-5407.67</v>
      </c>
      <c r="Q375" s="57" t="n">
        <v>0</v>
      </c>
      <c r="R375" s="57" t="n">
        <v>5407.67</v>
      </c>
      <c r="S375" s="57" t="n">
        <v>0</v>
      </c>
      <c r="T375" s="57" t="n">
        <v>1086.28</v>
      </c>
      <c r="U375" s="58" t="n">
        <v>0.2009</v>
      </c>
      <c r="V375" s="57" t="n">
        <v>5407.67</v>
      </c>
      <c r="W375" s="58" t="n">
        <v>1</v>
      </c>
      <c r="X375" s="58" t="n">
        <v>0</v>
      </c>
      <c r="Y375" s="58" t="n">
        <v>0</v>
      </c>
      <c r="Z375" s="57" t="n">
        <v>0</v>
      </c>
      <c r="AA375" s="57" t="n">
        <v>-378.54</v>
      </c>
      <c r="AB375" s="56" t="inlineStr">
        <is>
          <t>FALSE</t>
        </is>
      </c>
      <c r="AC375" s="56" t="inlineStr">
        <is>
          <t>FALSE</t>
        </is>
      </c>
      <c r="AD375" s="57" t="n">
        <v>4321.39</v>
      </c>
      <c r="AE375" s="57" t="n">
        <v>0</v>
      </c>
      <c r="AF375" s="57" t="n">
        <v>0</v>
      </c>
      <c r="AG375" s="57" t="n">
        <v>0</v>
      </c>
      <c r="AH375" s="57" t="n">
        <v>0</v>
      </c>
    </row>
    <row r="376">
      <c r="A376" s="56" t="inlineStr">
        <is>
          <t>2026-06-17</t>
        </is>
      </c>
      <c r="B376" s="56" t="inlineStr">
        <is>
          <t>2532740</t>
        </is>
      </c>
      <c r="C376" s="56" t="inlineStr">
        <is>
          <t>DS.2025.2331 Courtyards of Russell Oaks 65</t>
        </is>
      </c>
      <c r="D376" s="56" t="inlineStr">
        <is>
          <t>DW</t>
        </is>
      </c>
      <c r="E376" s="56" t="inlineStr">
        <is>
          <t>(Unassigned)</t>
        </is>
      </c>
      <c r="F376" s="56" t="inlineStr">
        <is>
          <t>Big Dawg Drywall</t>
        </is>
      </c>
      <c r="G376" s="56" t="inlineStr">
        <is>
          <t>ACTIVE</t>
        </is>
      </c>
      <c r="H376" s="57" t="n">
        <v>6766.74</v>
      </c>
      <c r="I376" s="57" t="n">
        <v>0</v>
      </c>
      <c r="J376" s="57" t="n">
        <v>6766.74</v>
      </c>
      <c r="K376" s="57" t="n">
        <v>7240.41</v>
      </c>
      <c r="L376" s="57" t="n">
        <v>0</v>
      </c>
      <c r="M376" s="57" t="n">
        <v>4988.09</v>
      </c>
      <c r="N376" s="58" t="n">
        <v>0</v>
      </c>
      <c r="O376" s="57" t="n">
        <v>0</v>
      </c>
      <c r="P376" s="57" t="n">
        <v>-6766.74</v>
      </c>
      <c r="Q376" s="57" t="n">
        <v>0</v>
      </c>
      <c r="R376" s="57" t="n">
        <v>6766.74</v>
      </c>
      <c r="S376" s="57" t="n">
        <v>0</v>
      </c>
      <c r="T376" s="57" t="n">
        <v>1778.65</v>
      </c>
      <c r="U376" s="58" t="n">
        <v>0.2629</v>
      </c>
      <c r="V376" s="57" t="n">
        <v>6766.74</v>
      </c>
      <c r="W376" s="58" t="n">
        <v>1</v>
      </c>
      <c r="X376" s="58" t="n">
        <v>0</v>
      </c>
      <c r="Y376" s="58" t="n">
        <v>0</v>
      </c>
      <c r="Z376" s="57" t="n">
        <v>0</v>
      </c>
      <c r="AA376" s="57" t="n">
        <v>-473.67</v>
      </c>
      <c r="AB376" s="56" t="inlineStr">
        <is>
          <t>FALSE</t>
        </is>
      </c>
      <c r="AC376" s="56" t="inlineStr">
        <is>
          <t>FALSE</t>
        </is>
      </c>
      <c r="AD376" s="57" t="n">
        <v>4988.09</v>
      </c>
      <c r="AE376" s="57" t="n">
        <v>0</v>
      </c>
      <c r="AF376" s="57" t="n">
        <v>0</v>
      </c>
      <c r="AG376" s="57" t="n">
        <v>0</v>
      </c>
      <c r="AH376" s="57" t="n">
        <v>0</v>
      </c>
    </row>
    <row r="377">
      <c r="A377" s="56" t="inlineStr">
        <is>
          <t>2026-06-17</t>
        </is>
      </c>
      <c r="B377" s="56" t="inlineStr">
        <is>
          <t>2532662</t>
        </is>
      </c>
      <c r="C377" s="56" t="inlineStr">
        <is>
          <t>DS.2025.2330 GSI Stonecrest 11-18</t>
        </is>
      </c>
      <c r="D377" s="56" t="inlineStr">
        <is>
          <t>DW</t>
        </is>
      </c>
      <c r="E377" s="56" t="inlineStr">
        <is>
          <t>(Unassigned)</t>
        </is>
      </c>
      <c r="F377" s="56" t="inlineStr">
        <is>
          <t>GSI - Gregory Scott Inabnit LLC</t>
        </is>
      </c>
      <c r="G377" s="56" t="inlineStr">
        <is>
          <t>ACTIVE</t>
        </is>
      </c>
      <c r="H377" s="57" t="n">
        <v>4588.23</v>
      </c>
      <c r="I377" s="57" t="n">
        <v>0</v>
      </c>
      <c r="J377" s="57" t="n">
        <v>4588.23</v>
      </c>
      <c r="K377" s="57" t="n">
        <v>4909.41</v>
      </c>
      <c r="L377" s="57" t="n">
        <v>0</v>
      </c>
      <c r="M377" s="57" t="n">
        <v>3224.08</v>
      </c>
      <c r="N377" s="58" t="n">
        <v>0</v>
      </c>
      <c r="O377" s="57" t="n">
        <v>0</v>
      </c>
      <c r="P377" s="57" t="n">
        <v>-4588.23</v>
      </c>
      <c r="Q377" s="57" t="n">
        <v>0</v>
      </c>
      <c r="R377" s="57" t="n">
        <v>4588.23</v>
      </c>
      <c r="S377" s="57" t="n">
        <v>0</v>
      </c>
      <c r="T377" s="57" t="n">
        <v>1364.15</v>
      </c>
      <c r="U377" s="58" t="n">
        <v>0.2973</v>
      </c>
      <c r="V377" s="57" t="n">
        <v>4588.23</v>
      </c>
      <c r="W377" s="58" t="n">
        <v>1</v>
      </c>
      <c r="X377" s="58" t="n">
        <v>0</v>
      </c>
      <c r="Y377" s="58" t="n">
        <v>0</v>
      </c>
      <c r="Z377" s="57" t="n">
        <v>0</v>
      </c>
      <c r="AA377" s="57" t="n">
        <v>-321.18</v>
      </c>
      <c r="AB377" s="56" t="inlineStr">
        <is>
          <t>FALSE</t>
        </is>
      </c>
      <c r="AC377" s="56" t="inlineStr">
        <is>
          <t>FALSE</t>
        </is>
      </c>
      <c r="AD377" s="57" t="n">
        <v>3224.08</v>
      </c>
      <c r="AE377" s="57" t="n">
        <v>0</v>
      </c>
      <c r="AF377" s="57" t="n">
        <v>0</v>
      </c>
      <c r="AG377" s="57" t="n">
        <v>0</v>
      </c>
      <c r="AH377" s="57" t="n">
        <v>0</v>
      </c>
    </row>
    <row r="378">
      <c r="A378" s="56" t="inlineStr">
        <is>
          <t>2026-06-17</t>
        </is>
      </c>
      <c r="B378" s="56" t="inlineStr">
        <is>
          <t>2528354</t>
        </is>
      </c>
      <c r="C378" s="56" t="inlineStr">
        <is>
          <t>DS.2025.2329 Courtyards of Westfield Lot 90</t>
        </is>
      </c>
      <c r="D378" s="56" t="inlineStr">
        <is>
          <t>DW</t>
        </is>
      </c>
      <c r="E378" s="56" t="inlineStr">
        <is>
          <t>(Unassigned)</t>
        </is>
      </c>
      <c r="F378" s="56" t="inlineStr">
        <is>
          <t>Big Dawg Drywall</t>
        </is>
      </c>
      <c r="G378" s="56" t="inlineStr">
        <is>
          <t>ACTIVE</t>
        </is>
      </c>
      <c r="H378" s="57" t="n">
        <v>5372.94</v>
      </c>
      <c r="I378" s="57" t="n">
        <v>0</v>
      </c>
      <c r="J378" s="57" t="n">
        <v>5372.94</v>
      </c>
      <c r="K378" s="57" t="n">
        <v>5749.05</v>
      </c>
      <c r="L378" s="57" t="n">
        <v>0</v>
      </c>
      <c r="M378" s="57" t="n">
        <v>4023.41</v>
      </c>
      <c r="N378" s="58" t="n">
        <v>0</v>
      </c>
      <c r="O378" s="57" t="n">
        <v>0</v>
      </c>
      <c r="P378" s="57" t="n">
        <v>-5372.94</v>
      </c>
      <c r="Q378" s="57" t="n">
        <v>0</v>
      </c>
      <c r="R378" s="57" t="n">
        <v>5372.94</v>
      </c>
      <c r="S378" s="57" t="n">
        <v>0</v>
      </c>
      <c r="T378" s="57" t="n">
        <v>1349.53</v>
      </c>
      <c r="U378" s="58" t="n">
        <v>0.2512</v>
      </c>
      <c r="V378" s="57" t="n">
        <v>5372.94</v>
      </c>
      <c r="W378" s="58" t="n">
        <v>1</v>
      </c>
      <c r="X378" s="58" t="n">
        <v>0</v>
      </c>
      <c r="Y378" s="58" t="n">
        <v>0</v>
      </c>
      <c r="Z378" s="57" t="n">
        <v>0</v>
      </c>
      <c r="AA378" s="57" t="n">
        <v>-376.11</v>
      </c>
      <c r="AB378" s="56" t="inlineStr">
        <is>
          <t>FALSE</t>
        </is>
      </c>
      <c r="AC378" s="56" t="inlineStr">
        <is>
          <t>FALSE</t>
        </is>
      </c>
      <c r="AD378" s="57" t="n">
        <v>4023.41</v>
      </c>
      <c r="AE378" s="57" t="n">
        <v>0</v>
      </c>
      <c r="AF378" s="57" t="n">
        <v>0</v>
      </c>
      <c r="AG378" s="57" t="n">
        <v>0</v>
      </c>
      <c r="AH378" s="57" t="n">
        <v>0</v>
      </c>
    </row>
    <row r="379">
      <c r="A379" s="56" t="inlineStr">
        <is>
          <t>2026-06-17</t>
        </is>
      </c>
      <c r="B379" s="56" t="inlineStr">
        <is>
          <t>2526957</t>
        </is>
      </c>
      <c r="C379" s="56" t="inlineStr">
        <is>
          <t>2026.1042 SND2 at ILP Bldg IV Whitestown</t>
        </is>
      </c>
      <c r="D379" s="56" t="inlineStr">
        <is>
          <t>TI</t>
        </is>
      </c>
      <c r="E379" s="56" t="inlineStr">
        <is>
          <t>Trevor Anderson</t>
        </is>
      </c>
      <c r="F379" s="56" t="inlineStr">
        <is>
          <t>Compass Commercial Construction Group</t>
        </is>
      </c>
      <c r="G379" s="56" t="inlineStr">
        <is>
          <t>ACTIVE</t>
        </is>
      </c>
      <c r="H379" s="57" t="n">
        <v>443007.26</v>
      </c>
      <c r="I379" s="57" t="n">
        <v>-11303.74</v>
      </c>
      <c r="J379" s="57" t="n">
        <v>356727.34</v>
      </c>
      <c r="K379" s="57" t="n">
        <v>164669.04</v>
      </c>
      <c r="L379" s="57" t="n">
        <v>267180.2</v>
      </c>
      <c r="M379" s="57" t="n">
        <v>144645.31</v>
      </c>
      <c r="N379" s="58" t="n">
        <v>0.5414</v>
      </c>
      <c r="O379" s="57" t="n">
        <v>239844.13</v>
      </c>
      <c r="P379" s="57" t="n">
        <v>-116883.21</v>
      </c>
      <c r="Q379" s="57" t="n">
        <v>-156529.61</v>
      </c>
      <c r="R379" s="57" t="n">
        <v>116883.21</v>
      </c>
      <c r="S379" s="57" t="n">
        <v>0</v>
      </c>
      <c r="T379" s="57" t="n">
        <v>251718.4</v>
      </c>
      <c r="U379" s="58" t="n">
        <v>0.6351</v>
      </c>
      <c r="V379" s="57" t="n">
        <v>175827.06</v>
      </c>
      <c r="W379" s="58" t="n">
        <v>0.3969</v>
      </c>
      <c r="X379" s="58" t="n">
        <v>0.3969</v>
      </c>
      <c r="Y379" s="58" t="n">
        <v>-0.2382</v>
      </c>
      <c r="Z379" s="57" t="n">
        <v>39636.37</v>
      </c>
      <c r="AA379" s="57" t="n">
        <v>192058.3</v>
      </c>
      <c r="AB379" s="56" t="inlineStr">
        <is>
          <t>TRUE</t>
        </is>
      </c>
      <c r="AC379" s="56" t="inlineStr">
        <is>
          <t>TRUE</t>
        </is>
      </c>
      <c r="AD379" s="57" t="n">
        <v>109967.43</v>
      </c>
      <c r="AE379" s="57" t="n">
        <v>22676.54</v>
      </c>
      <c r="AF379" s="57" t="n">
        <v>9154.92</v>
      </c>
      <c r="AG379" s="57" t="n">
        <v>2846.42</v>
      </c>
      <c r="AH379" s="57" t="n">
        <v>0</v>
      </c>
    </row>
    <row r="380">
      <c r="A380" s="56" t="inlineStr">
        <is>
          <t>2026-06-17</t>
        </is>
      </c>
      <c r="B380" s="56" t="inlineStr">
        <is>
          <t>2523333</t>
        </is>
      </c>
      <c r="C380" s="56" t="inlineStr">
        <is>
          <t>DS.2025.2328 Walnut Townhouses</t>
        </is>
      </c>
      <c r="D380" s="56" t="inlineStr">
        <is>
          <t>DW</t>
        </is>
      </c>
      <c r="E380" s="56" t="inlineStr">
        <is>
          <t>(Unassigned)</t>
        </is>
      </c>
      <c r="F380" s="56" t="inlineStr">
        <is>
          <t>Flores Drywall and Remodeling LLC</t>
        </is>
      </c>
      <c r="G380" s="56" t="inlineStr">
        <is>
          <t>ACTIVE</t>
        </is>
      </c>
      <c r="H380" s="57" t="n">
        <v>27480.05</v>
      </c>
      <c r="I380" s="57" t="n">
        <v>0</v>
      </c>
      <c r="J380" s="57" t="n">
        <v>27480.05</v>
      </c>
      <c r="K380" s="57" t="n">
        <v>29403.65</v>
      </c>
      <c r="L380" s="57" t="n">
        <v>0</v>
      </c>
      <c r="M380" s="57" t="n">
        <v>20232.69</v>
      </c>
      <c r="N380" s="58" t="n">
        <v>0</v>
      </c>
      <c r="O380" s="57" t="n">
        <v>0</v>
      </c>
      <c r="P380" s="57" t="n">
        <v>-27480.05</v>
      </c>
      <c r="Q380" s="57" t="n">
        <v>0</v>
      </c>
      <c r="R380" s="57" t="n">
        <v>27480.05</v>
      </c>
      <c r="S380" s="57" t="n">
        <v>0</v>
      </c>
      <c r="T380" s="57" t="n">
        <v>7247.36</v>
      </c>
      <c r="U380" s="58" t="n">
        <v>0.2637</v>
      </c>
      <c r="V380" s="57" t="n">
        <v>27480.05</v>
      </c>
      <c r="W380" s="58" t="n">
        <v>1</v>
      </c>
      <c r="X380" s="58" t="n">
        <v>0</v>
      </c>
      <c r="Y380" s="58" t="n">
        <v>0</v>
      </c>
      <c r="Z380" s="57" t="n">
        <v>0</v>
      </c>
      <c r="AA380" s="57" t="n">
        <v>-1923.6</v>
      </c>
      <c r="AB380" s="56" t="inlineStr">
        <is>
          <t>FALSE</t>
        </is>
      </c>
      <c r="AC380" s="56" t="inlineStr">
        <is>
          <t>FALSE</t>
        </is>
      </c>
      <c r="AD380" s="57" t="n">
        <v>20232.69</v>
      </c>
      <c r="AE380" s="57" t="n">
        <v>0</v>
      </c>
      <c r="AF380" s="57" t="n">
        <v>0</v>
      </c>
      <c r="AG380" s="57" t="n">
        <v>0</v>
      </c>
      <c r="AH380" s="57" t="n">
        <v>0</v>
      </c>
    </row>
    <row r="381">
      <c r="A381" s="56" t="inlineStr">
        <is>
          <t>2026-06-17</t>
        </is>
      </c>
      <c r="B381" s="56" t="inlineStr">
        <is>
          <t>2522921</t>
        </is>
      </c>
      <c r="C381" s="56" t="inlineStr">
        <is>
          <t>DS.2025.2327 Courtyards of Cielo Ranch 12</t>
        </is>
      </c>
      <c r="D381" s="56" t="inlineStr">
        <is>
          <t>DW</t>
        </is>
      </c>
      <c r="E381" s="56" t="inlineStr">
        <is>
          <t>(Unassigned)</t>
        </is>
      </c>
      <c r="F381" s="56" t="inlineStr">
        <is>
          <t>Big Dawg Drywall</t>
        </is>
      </c>
      <c r="G381" s="56" t="inlineStr">
        <is>
          <t>ACTIVE</t>
        </is>
      </c>
      <c r="H381" s="57" t="n">
        <v>5339.63</v>
      </c>
      <c r="I381" s="57" t="n">
        <v>0</v>
      </c>
      <c r="J381" s="57" t="n">
        <v>5339.63</v>
      </c>
      <c r="K381" s="57" t="n">
        <v>5713.4</v>
      </c>
      <c r="L381" s="57" t="n">
        <v>0</v>
      </c>
      <c r="M381" s="57" t="n">
        <v>3961.95</v>
      </c>
      <c r="N381" s="58" t="n">
        <v>0</v>
      </c>
      <c r="O381" s="57" t="n">
        <v>0</v>
      </c>
      <c r="P381" s="57" t="n">
        <v>-5339.63</v>
      </c>
      <c r="Q381" s="57" t="n">
        <v>0</v>
      </c>
      <c r="R381" s="57" t="n">
        <v>5339.63</v>
      </c>
      <c r="S381" s="57" t="n">
        <v>0</v>
      </c>
      <c r="T381" s="57" t="n">
        <v>1377.68</v>
      </c>
      <c r="U381" s="58" t="n">
        <v>0.258</v>
      </c>
      <c r="V381" s="57" t="n">
        <v>5339.63</v>
      </c>
      <c r="W381" s="58" t="n">
        <v>1</v>
      </c>
      <c r="X381" s="58" t="n">
        <v>0</v>
      </c>
      <c r="Y381" s="58" t="n">
        <v>0</v>
      </c>
      <c r="Z381" s="57" t="n">
        <v>0</v>
      </c>
      <c r="AA381" s="57" t="n">
        <v>-373.77</v>
      </c>
      <c r="AB381" s="56" t="inlineStr">
        <is>
          <t>FALSE</t>
        </is>
      </c>
      <c r="AC381" s="56" t="inlineStr">
        <is>
          <t>FALSE</t>
        </is>
      </c>
      <c r="AD381" s="57" t="n">
        <v>3961.95</v>
      </c>
      <c r="AE381" s="57" t="n">
        <v>0</v>
      </c>
      <c r="AF381" s="57" t="n">
        <v>0</v>
      </c>
      <c r="AG381" s="57" t="n">
        <v>0</v>
      </c>
      <c r="AH381" s="57" t="n">
        <v>0</v>
      </c>
    </row>
    <row r="382">
      <c r="A382" s="56" t="inlineStr">
        <is>
          <t>2026-06-17</t>
        </is>
      </c>
      <c r="B382" s="56" t="inlineStr">
        <is>
          <t>2521531</t>
        </is>
      </c>
      <c r="C382" s="56" t="inlineStr">
        <is>
          <t>DS.2025.2326 Courtyards of Russell Oaks 64</t>
        </is>
      </c>
      <c r="D382" s="56" t="inlineStr">
        <is>
          <t>DW</t>
        </is>
      </c>
      <c r="E382" s="56" t="inlineStr">
        <is>
          <t>(Unassigned)</t>
        </is>
      </c>
      <c r="F382" s="56" t="inlineStr">
        <is>
          <t>Big Dawg Drywall</t>
        </is>
      </c>
      <c r="G382" s="56" t="inlineStr">
        <is>
          <t>ACTIVE</t>
        </is>
      </c>
      <c r="H382" s="57" t="n">
        <v>6766.74</v>
      </c>
      <c r="I382" s="57" t="n">
        <v>0</v>
      </c>
      <c r="J382" s="57" t="n">
        <v>6766.74</v>
      </c>
      <c r="K382" s="57" t="n">
        <v>7240.41</v>
      </c>
      <c r="L382" s="57" t="n">
        <v>0</v>
      </c>
      <c r="M382" s="57" t="n">
        <v>4988.09</v>
      </c>
      <c r="N382" s="58" t="n">
        <v>0</v>
      </c>
      <c r="O382" s="57" t="n">
        <v>0</v>
      </c>
      <c r="P382" s="57" t="n">
        <v>-6766.74</v>
      </c>
      <c r="Q382" s="57" t="n">
        <v>0</v>
      </c>
      <c r="R382" s="57" t="n">
        <v>6766.74</v>
      </c>
      <c r="S382" s="57" t="n">
        <v>0</v>
      </c>
      <c r="T382" s="57" t="n">
        <v>1778.65</v>
      </c>
      <c r="U382" s="58" t="n">
        <v>0.2629</v>
      </c>
      <c r="V382" s="57" t="n">
        <v>6766.74</v>
      </c>
      <c r="W382" s="58" t="n">
        <v>1</v>
      </c>
      <c r="X382" s="58" t="n">
        <v>0</v>
      </c>
      <c r="Y382" s="58" t="n">
        <v>0</v>
      </c>
      <c r="Z382" s="57" t="n">
        <v>0</v>
      </c>
      <c r="AA382" s="57" t="n">
        <v>-473.67</v>
      </c>
      <c r="AB382" s="56" t="inlineStr">
        <is>
          <t>FALSE</t>
        </is>
      </c>
      <c r="AC382" s="56" t="inlineStr">
        <is>
          <t>FALSE</t>
        </is>
      </c>
      <c r="AD382" s="57" t="n">
        <v>4988.09</v>
      </c>
      <c r="AE382" s="57" t="n">
        <v>0</v>
      </c>
      <c r="AF382" s="57" t="n">
        <v>0</v>
      </c>
      <c r="AG382" s="57" t="n">
        <v>0</v>
      </c>
      <c r="AH382" s="57" t="n">
        <v>0</v>
      </c>
    </row>
    <row r="383">
      <c r="A383" s="56" t="inlineStr">
        <is>
          <t>2026-06-17</t>
        </is>
      </c>
      <c r="B383" s="56" t="inlineStr">
        <is>
          <t>2520350</t>
        </is>
      </c>
      <c r="C383" s="56" t="inlineStr">
        <is>
          <t>2025.1024 Metro Lion</t>
        </is>
      </c>
      <c r="D383" s="56" t="inlineStr">
        <is>
          <t>TI</t>
        </is>
      </c>
      <c r="E383" s="56" t="inlineStr">
        <is>
          <t>Ben Garza</t>
        </is>
      </c>
      <c r="F383" s="56" t="inlineStr">
        <is>
          <t>DEEM, LLC</t>
        </is>
      </c>
      <c r="G383" s="56" t="inlineStr">
        <is>
          <t>ACTIVE</t>
        </is>
      </c>
      <c r="H383" s="57" t="n">
        <v>786710</v>
      </c>
      <c r="I383" s="57" t="n">
        <v>111490</v>
      </c>
      <c r="J383" s="57" t="n">
        <v>786710</v>
      </c>
      <c r="K383" s="57" t="n">
        <v>785410</v>
      </c>
      <c r="L383" s="57" t="n">
        <v>575332.91</v>
      </c>
      <c r="M383" s="57" t="n">
        <v>575332.91</v>
      </c>
      <c r="N383" s="58" t="n">
        <v>1</v>
      </c>
      <c r="O383" s="57" t="n">
        <v>786710</v>
      </c>
      <c r="P383" s="57" t="n">
        <v>0</v>
      </c>
      <c r="Q383" s="57" t="n">
        <v>-0</v>
      </c>
      <c r="R383" s="57" t="n">
        <v>0</v>
      </c>
      <c r="S383" s="57" t="n">
        <v>0</v>
      </c>
      <c r="T383" s="57" t="n">
        <v>211377.09</v>
      </c>
      <c r="U383" s="58" t="n">
        <v>0.2687</v>
      </c>
      <c r="V383" s="57" t="n">
        <v>211377.09</v>
      </c>
      <c r="W383" s="58" t="n">
        <v>0.2687</v>
      </c>
      <c r="X383" s="58" t="n">
        <v>0.2687</v>
      </c>
      <c r="Y383" s="58" t="n">
        <v>-0</v>
      </c>
      <c r="Z383" s="57" t="n">
        <v>0</v>
      </c>
      <c r="AA383" s="57" t="n">
        <v>1300</v>
      </c>
      <c r="AB383" s="56" t="inlineStr">
        <is>
          <t>TRUE</t>
        </is>
      </c>
      <c r="AC383" s="56" t="inlineStr">
        <is>
          <t>TRUE</t>
        </is>
      </c>
      <c r="AD383" s="57" t="n">
        <v>282692.11</v>
      </c>
      <c r="AE383" s="57" t="n">
        <v>274041</v>
      </c>
      <c r="AF383" s="57" t="n">
        <v>18435.06</v>
      </c>
      <c r="AG383" s="57" t="n">
        <v>164.74</v>
      </c>
      <c r="AH383" s="57" t="n">
        <v>0</v>
      </c>
    </row>
    <row r="384">
      <c r="A384" s="56" t="inlineStr">
        <is>
          <t>2026-06-17</t>
        </is>
      </c>
      <c r="B384" s="56" t="inlineStr">
        <is>
          <t>2519527</t>
        </is>
      </c>
      <c r="C384" s="56" t="inlineStr">
        <is>
          <t>DS.2025.2325 6693 E 500 N</t>
        </is>
      </c>
      <c r="D384" s="56" t="inlineStr">
        <is>
          <t>DW</t>
        </is>
      </c>
      <c r="E384" s="56" t="inlineStr">
        <is>
          <t>(Unassigned)</t>
        </is>
      </c>
      <c r="F384" s="56" t="inlineStr">
        <is>
          <t>Total Drywall Solutions Inc</t>
        </is>
      </c>
      <c r="G384" s="56" t="inlineStr">
        <is>
          <t>ACTIVE</t>
        </is>
      </c>
      <c r="H384" s="57" t="n">
        <v>3424.59</v>
      </c>
      <c r="I384" s="57" t="n">
        <v>0</v>
      </c>
      <c r="J384" s="57" t="n">
        <v>3424.59</v>
      </c>
      <c r="K384" s="57" t="n">
        <v>3664.31</v>
      </c>
      <c r="L384" s="57" t="n">
        <v>0</v>
      </c>
      <c r="M384" s="57" t="n">
        <v>2352.39</v>
      </c>
      <c r="N384" s="58" t="n">
        <v>0</v>
      </c>
      <c r="O384" s="57" t="n">
        <v>0</v>
      </c>
      <c r="P384" s="57" t="n">
        <v>-3424.59</v>
      </c>
      <c r="Q384" s="57" t="n">
        <v>0</v>
      </c>
      <c r="R384" s="57" t="n">
        <v>3424.59</v>
      </c>
      <c r="S384" s="57" t="n">
        <v>0</v>
      </c>
      <c r="T384" s="57" t="n">
        <v>1072.2</v>
      </c>
      <c r="U384" s="58" t="n">
        <v>0.3131</v>
      </c>
      <c r="V384" s="57" t="n">
        <v>3424.59</v>
      </c>
      <c r="W384" s="58" t="n">
        <v>1</v>
      </c>
      <c r="X384" s="58" t="n">
        <v>0</v>
      </c>
      <c r="Y384" s="58" t="n">
        <v>0</v>
      </c>
      <c r="Z384" s="57" t="n">
        <v>0</v>
      </c>
      <c r="AA384" s="57" t="n">
        <v>-239.72</v>
      </c>
      <c r="AB384" s="56" t="inlineStr">
        <is>
          <t>FALSE</t>
        </is>
      </c>
      <c r="AC384" s="56" t="inlineStr">
        <is>
          <t>FALSE</t>
        </is>
      </c>
      <c r="AD384" s="57" t="n">
        <v>2352.39</v>
      </c>
      <c r="AE384" s="57" t="n">
        <v>0</v>
      </c>
      <c r="AF384" s="57" t="n">
        <v>0</v>
      </c>
      <c r="AG384" s="57" t="n">
        <v>0</v>
      </c>
      <c r="AH384" s="57" t="n">
        <v>0</v>
      </c>
    </row>
    <row r="385">
      <c r="A385" s="56" t="inlineStr">
        <is>
          <t>2026-06-17</t>
        </is>
      </c>
      <c r="B385" s="56" t="inlineStr">
        <is>
          <t>2519463</t>
        </is>
      </c>
      <c r="C385" s="56" t="inlineStr">
        <is>
          <t>DS.2025.2324 6504 N 1200 E</t>
        </is>
      </c>
      <c r="D385" s="56" t="inlineStr">
        <is>
          <t>DW</t>
        </is>
      </c>
      <c r="E385" s="56" t="inlineStr">
        <is>
          <t>(Unassigned)</t>
        </is>
      </c>
      <c r="F385" s="56" t="inlineStr">
        <is>
          <t>Total Drywall Solutions Inc</t>
        </is>
      </c>
      <c r="G385" s="56" t="inlineStr">
        <is>
          <t>ACTIVE</t>
        </is>
      </c>
      <c r="H385" s="57" t="n">
        <v>2200.1</v>
      </c>
      <c r="I385" s="57" t="n">
        <v>0</v>
      </c>
      <c r="J385" s="57" t="n">
        <v>2200.1</v>
      </c>
      <c r="K385" s="57" t="n">
        <v>2354.11</v>
      </c>
      <c r="L385" s="57" t="n">
        <v>0</v>
      </c>
      <c r="M385" s="57" t="n">
        <v>1496.64</v>
      </c>
      <c r="N385" s="58" t="n">
        <v>0</v>
      </c>
      <c r="O385" s="57" t="n">
        <v>0</v>
      </c>
      <c r="P385" s="57" t="n">
        <v>-2200.1</v>
      </c>
      <c r="Q385" s="57" t="n">
        <v>0</v>
      </c>
      <c r="R385" s="57" t="n">
        <v>2200.1</v>
      </c>
      <c r="S385" s="57" t="n">
        <v>0</v>
      </c>
      <c r="T385" s="57" t="n">
        <v>703.46</v>
      </c>
      <c r="U385" s="58" t="n">
        <v>0.3197</v>
      </c>
      <c r="V385" s="57" t="n">
        <v>2200.1</v>
      </c>
      <c r="W385" s="58" t="n">
        <v>1</v>
      </c>
      <c r="X385" s="58" t="n">
        <v>0</v>
      </c>
      <c r="Y385" s="58" t="n">
        <v>0</v>
      </c>
      <c r="Z385" s="57" t="n">
        <v>0</v>
      </c>
      <c r="AA385" s="57" t="n">
        <v>-154.01</v>
      </c>
      <c r="AB385" s="56" t="inlineStr">
        <is>
          <t>FALSE</t>
        </is>
      </c>
      <c r="AC385" s="56" t="inlineStr">
        <is>
          <t>FALSE</t>
        </is>
      </c>
      <c r="AD385" s="57" t="n">
        <v>1496.64</v>
      </c>
      <c r="AE385" s="57" t="n">
        <v>0</v>
      </c>
      <c r="AF385" s="57" t="n">
        <v>0</v>
      </c>
      <c r="AG385" s="57" t="n">
        <v>0</v>
      </c>
      <c r="AH385" s="57" t="n">
        <v>0</v>
      </c>
    </row>
    <row r="386">
      <c r="A386" s="56" t="inlineStr">
        <is>
          <t>2026-06-17</t>
        </is>
      </c>
      <c r="B386" s="56" t="inlineStr">
        <is>
          <t>2519426</t>
        </is>
      </c>
      <c r="C386" s="56" t="inlineStr">
        <is>
          <t>DS.2025.2323 11890 E 800 N</t>
        </is>
      </c>
      <c r="D386" s="56" t="inlineStr">
        <is>
          <t>DW</t>
        </is>
      </c>
      <c r="E386" s="56" t="inlineStr">
        <is>
          <t>(Unassigned)</t>
        </is>
      </c>
      <c r="F386" s="56" t="inlineStr">
        <is>
          <t>Total Drywall Solutions Inc</t>
        </is>
      </c>
      <c r="G386" s="56" t="inlineStr">
        <is>
          <t>ACTIVE</t>
        </is>
      </c>
      <c r="H386" s="57" t="n">
        <v>1561.15</v>
      </c>
      <c r="I386" s="57" t="n">
        <v>0</v>
      </c>
      <c r="J386" s="57" t="n">
        <v>1561.15</v>
      </c>
      <c r="K386" s="57" t="n">
        <v>998.21</v>
      </c>
      <c r="L386" s="57" t="n">
        <v>0</v>
      </c>
      <c r="M386" s="57" t="n">
        <v>1010.41</v>
      </c>
      <c r="N386" s="58" t="n">
        <v>0</v>
      </c>
      <c r="O386" s="57" t="n">
        <v>0</v>
      </c>
      <c r="P386" s="57" t="n">
        <v>-1561.15</v>
      </c>
      <c r="Q386" s="57" t="n">
        <v>0</v>
      </c>
      <c r="R386" s="57" t="n">
        <v>1561.15</v>
      </c>
      <c r="S386" s="57" t="n">
        <v>0</v>
      </c>
      <c r="T386" s="57" t="n">
        <v>550.74</v>
      </c>
      <c r="U386" s="58" t="n">
        <v>0.3528</v>
      </c>
      <c r="V386" s="57" t="n">
        <v>1561.15</v>
      </c>
      <c r="W386" s="58" t="n">
        <v>1</v>
      </c>
      <c r="X386" s="58" t="n">
        <v>0</v>
      </c>
      <c r="Y386" s="58" t="n">
        <v>0</v>
      </c>
      <c r="Z386" s="57" t="n">
        <v>0</v>
      </c>
      <c r="AA386" s="57" t="n">
        <v>562.9400000000001</v>
      </c>
      <c r="AB386" s="56" t="inlineStr">
        <is>
          <t>FALSE</t>
        </is>
      </c>
      <c r="AC386" s="56" t="inlineStr">
        <is>
          <t>FALSE</t>
        </is>
      </c>
      <c r="AD386" s="57" t="n">
        <v>1010.41</v>
      </c>
      <c r="AE386" s="57" t="n">
        <v>0</v>
      </c>
      <c r="AF386" s="57" t="n">
        <v>0</v>
      </c>
      <c r="AG386" s="57" t="n">
        <v>0</v>
      </c>
      <c r="AH386" s="57" t="n">
        <v>0</v>
      </c>
    </row>
    <row r="387">
      <c r="A387" s="56" t="inlineStr">
        <is>
          <t>2026-06-17</t>
        </is>
      </c>
      <c r="B387" s="56" t="inlineStr">
        <is>
          <t>2517615</t>
        </is>
      </c>
      <c r="C387" s="56" t="inlineStr">
        <is>
          <t>DS.2025.2322 Courtyards of Russell Oaks 124</t>
        </is>
      </c>
      <c r="D387" s="56" t="inlineStr">
        <is>
          <t>DW</t>
        </is>
      </c>
      <c r="E387" s="56" t="inlineStr">
        <is>
          <t>(Unassigned)</t>
        </is>
      </c>
      <c r="F387" s="56" t="inlineStr">
        <is>
          <t>Big Dawg Drywall</t>
        </is>
      </c>
      <c r="G387" s="56" t="inlineStr">
        <is>
          <t>ACTIVE</t>
        </is>
      </c>
      <c r="H387" s="57" t="n">
        <v>5546.04</v>
      </c>
      <c r="I387" s="57" t="n">
        <v>0</v>
      </c>
      <c r="J387" s="57" t="n">
        <v>5546.04</v>
      </c>
      <c r="K387" s="57" t="n">
        <v>5934.26</v>
      </c>
      <c r="L387" s="57" t="n">
        <v>0</v>
      </c>
      <c r="M387" s="57" t="n">
        <v>3962.25</v>
      </c>
      <c r="N387" s="58" t="n">
        <v>0</v>
      </c>
      <c r="O387" s="57" t="n">
        <v>0</v>
      </c>
      <c r="P387" s="57" t="n">
        <v>-5546.04</v>
      </c>
      <c r="Q387" s="57" t="n">
        <v>0</v>
      </c>
      <c r="R387" s="57" t="n">
        <v>5546.04</v>
      </c>
      <c r="S387" s="57" t="n">
        <v>0</v>
      </c>
      <c r="T387" s="57" t="n">
        <v>1583.79</v>
      </c>
      <c r="U387" s="58" t="n">
        <v>0.2856</v>
      </c>
      <c r="V387" s="57" t="n">
        <v>5546.04</v>
      </c>
      <c r="W387" s="58" t="n">
        <v>1</v>
      </c>
      <c r="X387" s="58" t="n">
        <v>0</v>
      </c>
      <c r="Y387" s="58" t="n">
        <v>0</v>
      </c>
      <c r="Z387" s="57" t="n">
        <v>0</v>
      </c>
      <c r="AA387" s="57" t="n">
        <v>-388.22</v>
      </c>
      <c r="AB387" s="56" t="inlineStr">
        <is>
          <t>FALSE</t>
        </is>
      </c>
      <c r="AC387" s="56" t="inlineStr">
        <is>
          <t>FALSE</t>
        </is>
      </c>
      <c r="AD387" s="57" t="n">
        <v>3962.25</v>
      </c>
      <c r="AE387" s="57" t="n">
        <v>0</v>
      </c>
      <c r="AF387" s="57" t="n">
        <v>0</v>
      </c>
      <c r="AG387" s="57" t="n">
        <v>0</v>
      </c>
      <c r="AH387" s="57" t="n">
        <v>0</v>
      </c>
    </row>
    <row r="388">
      <c r="A388" s="56" t="inlineStr">
        <is>
          <t>2026-06-17</t>
        </is>
      </c>
      <c r="B388" s="56" t="inlineStr">
        <is>
          <t>2517594</t>
        </is>
      </c>
      <c r="C388" s="56" t="inlineStr">
        <is>
          <t>DS.2025.2321 Courtyards of Cielo Ranch 33</t>
        </is>
      </c>
      <c r="D388" s="56" t="inlineStr">
        <is>
          <t>DW</t>
        </is>
      </c>
      <c r="E388" s="56" t="inlineStr">
        <is>
          <t>(Unassigned)</t>
        </is>
      </c>
      <c r="F388" s="56" t="inlineStr">
        <is>
          <t>Big Dawg Drywall</t>
        </is>
      </c>
      <c r="G388" s="56" t="inlineStr">
        <is>
          <t>ACTIVE</t>
        </is>
      </c>
      <c r="H388" s="57" t="n">
        <v>6549.45</v>
      </c>
      <c r="I388" s="57" t="n">
        <v>0</v>
      </c>
      <c r="J388" s="57" t="n">
        <v>6549.45</v>
      </c>
      <c r="K388" s="57" t="n">
        <v>7007.91</v>
      </c>
      <c r="L388" s="57" t="n">
        <v>0</v>
      </c>
      <c r="M388" s="57" t="n">
        <v>4836.92</v>
      </c>
      <c r="N388" s="58" t="n">
        <v>0</v>
      </c>
      <c r="O388" s="57" t="n">
        <v>0</v>
      </c>
      <c r="P388" s="57" t="n">
        <v>-6549.45</v>
      </c>
      <c r="Q388" s="57" t="n">
        <v>0</v>
      </c>
      <c r="R388" s="57" t="n">
        <v>6549.45</v>
      </c>
      <c r="S388" s="57" t="n">
        <v>0</v>
      </c>
      <c r="T388" s="57" t="n">
        <v>1712.53</v>
      </c>
      <c r="U388" s="58" t="n">
        <v>0.2615</v>
      </c>
      <c r="V388" s="57" t="n">
        <v>6549.45</v>
      </c>
      <c r="W388" s="58" t="n">
        <v>1</v>
      </c>
      <c r="X388" s="58" t="n">
        <v>0</v>
      </c>
      <c r="Y388" s="58" t="n">
        <v>0</v>
      </c>
      <c r="Z388" s="57" t="n">
        <v>0</v>
      </c>
      <c r="AA388" s="57" t="n">
        <v>-458.46</v>
      </c>
      <c r="AB388" s="56" t="inlineStr">
        <is>
          <t>FALSE</t>
        </is>
      </c>
      <c r="AC388" s="56" t="inlineStr">
        <is>
          <t>FALSE</t>
        </is>
      </c>
      <c r="AD388" s="57" t="n">
        <v>4836.92</v>
      </c>
      <c r="AE388" s="57" t="n">
        <v>0</v>
      </c>
      <c r="AF388" s="57" t="n">
        <v>0</v>
      </c>
      <c r="AG388" s="57" t="n">
        <v>0</v>
      </c>
      <c r="AH388" s="57" t="n">
        <v>0</v>
      </c>
    </row>
    <row r="389">
      <c r="A389" s="56" t="inlineStr">
        <is>
          <t>2026-06-17</t>
        </is>
      </c>
      <c r="B389" s="56" t="inlineStr">
        <is>
          <t>2517552</t>
        </is>
      </c>
      <c r="C389" s="56" t="inlineStr">
        <is>
          <t>DS.2025.2320 Courtyards of Cielo Ranch 27</t>
        </is>
      </c>
      <c r="D389" s="56" t="inlineStr">
        <is>
          <t>DW</t>
        </is>
      </c>
      <c r="E389" s="56" t="inlineStr">
        <is>
          <t>(Unassigned)</t>
        </is>
      </c>
      <c r="F389" s="56" t="inlineStr">
        <is>
          <t>Big Dawg Drywall</t>
        </is>
      </c>
      <c r="G389" s="56" t="inlineStr">
        <is>
          <t>ACTIVE</t>
        </is>
      </c>
      <c r="H389" s="57" t="n">
        <v>6589.59</v>
      </c>
      <c r="I389" s="57" t="n">
        <v>252</v>
      </c>
      <c r="J389" s="57" t="n">
        <v>6589.59</v>
      </c>
      <c r="K389" s="57" t="n">
        <v>7050.86</v>
      </c>
      <c r="L389" s="57" t="n">
        <v>0</v>
      </c>
      <c r="M389" s="57" t="n">
        <v>4915.76</v>
      </c>
      <c r="N389" s="58" t="n">
        <v>0</v>
      </c>
      <c r="O389" s="57" t="n">
        <v>0</v>
      </c>
      <c r="P389" s="57" t="n">
        <v>-6589.59</v>
      </c>
      <c r="Q389" s="57" t="n">
        <v>0</v>
      </c>
      <c r="R389" s="57" t="n">
        <v>6589.59</v>
      </c>
      <c r="S389" s="57" t="n">
        <v>0</v>
      </c>
      <c r="T389" s="57" t="n">
        <v>1673.83</v>
      </c>
      <c r="U389" s="58" t="n">
        <v>0.254</v>
      </c>
      <c r="V389" s="57" t="n">
        <v>6589.59</v>
      </c>
      <c r="W389" s="58" t="n">
        <v>1</v>
      </c>
      <c r="X389" s="58" t="n">
        <v>0</v>
      </c>
      <c r="Y389" s="58" t="n">
        <v>0</v>
      </c>
      <c r="Z389" s="57" t="n">
        <v>0</v>
      </c>
      <c r="AA389" s="57" t="n">
        <v>-461.27</v>
      </c>
      <c r="AB389" s="56" t="inlineStr">
        <is>
          <t>FALSE</t>
        </is>
      </c>
      <c r="AC389" s="56" t="inlineStr">
        <is>
          <t>FALSE</t>
        </is>
      </c>
      <c r="AD389" s="57" t="n">
        <v>4915.76</v>
      </c>
      <c r="AE389" s="57" t="n">
        <v>0</v>
      </c>
      <c r="AF389" s="57" t="n">
        <v>0</v>
      </c>
      <c r="AG389" s="57" t="n">
        <v>0</v>
      </c>
      <c r="AH389" s="57" t="n">
        <v>0</v>
      </c>
    </row>
    <row r="390">
      <c r="A390" s="56" t="inlineStr">
        <is>
          <t>2026-06-17</t>
        </is>
      </c>
      <c r="B390" s="56" t="inlineStr">
        <is>
          <t>2510293</t>
        </is>
      </c>
      <c r="C390" s="56" t="inlineStr">
        <is>
          <t>DS.2025.2319 5288 Oak Grove Rd</t>
        </is>
      </c>
      <c r="D390" s="56" t="inlineStr">
        <is>
          <t>DW</t>
        </is>
      </c>
      <c r="E390" s="56" t="inlineStr">
        <is>
          <t>(Unassigned)</t>
        </is>
      </c>
      <c r="F390" s="56" t="inlineStr">
        <is>
          <t>Total Drywall Solutions Inc</t>
        </is>
      </c>
      <c r="G390" s="56" t="inlineStr">
        <is>
          <t>ACTIVE</t>
        </is>
      </c>
      <c r="H390" s="57" t="n">
        <v>8606.940000000001</v>
      </c>
      <c r="I390" s="57" t="n">
        <v>0</v>
      </c>
      <c r="J390" s="57" t="n">
        <v>8606.940000000001</v>
      </c>
      <c r="K390" s="57" t="n">
        <v>9209.43</v>
      </c>
      <c r="L390" s="57" t="n">
        <v>0</v>
      </c>
      <c r="M390" s="57" t="n">
        <v>6023.23</v>
      </c>
      <c r="N390" s="58" t="n">
        <v>0</v>
      </c>
      <c r="O390" s="57" t="n">
        <v>0</v>
      </c>
      <c r="P390" s="57" t="n">
        <v>-8606.940000000001</v>
      </c>
      <c r="Q390" s="57" t="n">
        <v>0</v>
      </c>
      <c r="R390" s="57" t="n">
        <v>8606.940000000001</v>
      </c>
      <c r="S390" s="57" t="n">
        <v>0</v>
      </c>
      <c r="T390" s="57" t="n">
        <v>2583.71</v>
      </c>
      <c r="U390" s="58" t="n">
        <v>0.3002</v>
      </c>
      <c r="V390" s="57" t="n">
        <v>8606.940000000001</v>
      </c>
      <c r="W390" s="58" t="n">
        <v>1</v>
      </c>
      <c r="X390" s="58" t="n">
        <v>0</v>
      </c>
      <c r="Y390" s="58" t="n">
        <v>0</v>
      </c>
      <c r="Z390" s="57" t="n">
        <v>0</v>
      </c>
      <c r="AA390" s="57" t="n">
        <v>-602.49</v>
      </c>
      <c r="AB390" s="56" t="inlineStr">
        <is>
          <t>FALSE</t>
        </is>
      </c>
      <c r="AC390" s="56" t="inlineStr">
        <is>
          <t>FALSE</t>
        </is>
      </c>
      <c r="AD390" s="57" t="n">
        <v>6023.23</v>
      </c>
      <c r="AE390" s="57" t="n">
        <v>0</v>
      </c>
      <c r="AF390" s="57" t="n">
        <v>0</v>
      </c>
      <c r="AG390" s="57" t="n">
        <v>0</v>
      </c>
      <c r="AH390" s="57" t="n">
        <v>0</v>
      </c>
    </row>
    <row r="391">
      <c r="A391" s="56" t="inlineStr">
        <is>
          <t>2026-06-17</t>
        </is>
      </c>
      <c r="B391" s="56" t="inlineStr">
        <is>
          <t>2508315</t>
        </is>
      </c>
      <c r="C391" s="56" t="inlineStr">
        <is>
          <t>DS.2025.2318 GSI Stonecrest 11-4</t>
        </is>
      </c>
      <c r="D391" s="56" t="inlineStr">
        <is>
          <t>DW</t>
        </is>
      </c>
      <c r="E391" s="56" t="inlineStr">
        <is>
          <t>(Unassigned)</t>
        </is>
      </c>
      <c r="F391" s="56" t="inlineStr">
        <is>
          <t>GSI - Gregory Scott Inabnit LLC</t>
        </is>
      </c>
      <c r="G391" s="56" t="inlineStr">
        <is>
          <t>ACTIVE</t>
        </is>
      </c>
      <c r="H391" s="57" t="n">
        <v>4381.98</v>
      </c>
      <c r="I391" s="57" t="n">
        <v>0</v>
      </c>
      <c r="J391" s="57" t="n">
        <v>4381.98</v>
      </c>
      <c r="K391" s="57" t="n">
        <v>4688.72</v>
      </c>
      <c r="L391" s="57" t="n">
        <v>0</v>
      </c>
      <c r="M391" s="57" t="n">
        <v>3055.63</v>
      </c>
      <c r="N391" s="58" t="n">
        <v>0</v>
      </c>
      <c r="O391" s="57" t="n">
        <v>0</v>
      </c>
      <c r="P391" s="57" t="n">
        <v>-4381.98</v>
      </c>
      <c r="Q391" s="57" t="n">
        <v>0</v>
      </c>
      <c r="R391" s="57" t="n">
        <v>4381.98</v>
      </c>
      <c r="S391" s="57" t="n">
        <v>0</v>
      </c>
      <c r="T391" s="57" t="n">
        <v>1326.35</v>
      </c>
      <c r="U391" s="58" t="n">
        <v>0.3027</v>
      </c>
      <c r="V391" s="57" t="n">
        <v>4381.98</v>
      </c>
      <c r="W391" s="58" t="n">
        <v>1</v>
      </c>
      <c r="X391" s="58" t="n">
        <v>0</v>
      </c>
      <c r="Y391" s="58" t="n">
        <v>0</v>
      </c>
      <c r="Z391" s="57" t="n">
        <v>0</v>
      </c>
      <c r="AA391" s="57" t="n">
        <v>-306.74</v>
      </c>
      <c r="AB391" s="56" t="inlineStr">
        <is>
          <t>FALSE</t>
        </is>
      </c>
      <c r="AC391" s="56" t="inlineStr">
        <is>
          <t>FALSE</t>
        </is>
      </c>
      <c r="AD391" s="57" t="n">
        <v>3055.63</v>
      </c>
      <c r="AE391" s="57" t="n">
        <v>0</v>
      </c>
      <c r="AF391" s="57" t="n">
        <v>0</v>
      </c>
      <c r="AG391" s="57" t="n">
        <v>0</v>
      </c>
      <c r="AH391" s="57" t="n">
        <v>0</v>
      </c>
    </row>
    <row r="392">
      <c r="A392" s="56" t="inlineStr">
        <is>
          <t>2026-06-17</t>
        </is>
      </c>
      <c r="B392" s="56" t="inlineStr">
        <is>
          <t>2508262</t>
        </is>
      </c>
      <c r="C392" s="56" t="inlineStr">
        <is>
          <t>DS.2025.2317 Courtyards of Ceilo Ranch 23</t>
        </is>
      </c>
      <c r="D392" s="56" t="inlineStr">
        <is>
          <t>DW</t>
        </is>
      </c>
      <c r="E392" s="56" t="inlineStr">
        <is>
          <t>(Unassigned)</t>
        </is>
      </c>
      <c r="F392" s="56" t="inlineStr">
        <is>
          <t>Big Dawg Drywall</t>
        </is>
      </c>
      <c r="G392" s="56" t="inlineStr">
        <is>
          <t>ACTIVE</t>
        </is>
      </c>
      <c r="H392" s="57" t="n">
        <v>336.96</v>
      </c>
      <c r="I392" s="57" t="n">
        <v>0</v>
      </c>
      <c r="J392" s="57" t="n">
        <v>336.96</v>
      </c>
      <c r="K392" s="57" t="n">
        <v>360.55</v>
      </c>
      <c r="L392" s="57" t="n">
        <v>0</v>
      </c>
      <c r="M392" s="57" t="n">
        <v>233.28</v>
      </c>
      <c r="N392" s="58" t="n">
        <v>0</v>
      </c>
      <c r="O392" s="57" t="n">
        <v>0</v>
      </c>
      <c r="P392" s="57" t="n">
        <v>-336.96</v>
      </c>
      <c r="Q392" s="57" t="n">
        <v>0</v>
      </c>
      <c r="R392" s="57" t="n">
        <v>336.96</v>
      </c>
      <c r="S392" s="57" t="n">
        <v>0</v>
      </c>
      <c r="T392" s="57" t="n">
        <v>103.68</v>
      </c>
      <c r="U392" s="58" t="n">
        <v>0.3077</v>
      </c>
      <c r="V392" s="57" t="n">
        <v>336.96</v>
      </c>
      <c r="W392" s="58" t="n">
        <v>1</v>
      </c>
      <c r="X392" s="58" t="n">
        <v>0</v>
      </c>
      <c r="Y392" s="58" t="n">
        <v>0</v>
      </c>
      <c r="Z392" s="57" t="n">
        <v>0</v>
      </c>
      <c r="AA392" s="57" t="n">
        <v>-23.59</v>
      </c>
      <c r="AB392" s="56" t="inlineStr">
        <is>
          <t>FALSE</t>
        </is>
      </c>
      <c r="AC392" s="56" t="inlineStr">
        <is>
          <t>FALSE</t>
        </is>
      </c>
      <c r="AD392" s="57" t="n">
        <v>233.28</v>
      </c>
      <c r="AE392" s="57" t="n">
        <v>0</v>
      </c>
      <c r="AF392" s="57" t="n">
        <v>0</v>
      </c>
      <c r="AG392" s="57" t="n">
        <v>0</v>
      </c>
      <c r="AH392" s="57" t="n">
        <v>0</v>
      </c>
    </row>
    <row r="393">
      <c r="A393" s="56" t="inlineStr">
        <is>
          <t>2026-06-17</t>
        </is>
      </c>
      <c r="B393" s="56" t="inlineStr">
        <is>
          <t>2505636</t>
        </is>
      </c>
      <c r="C393" s="56" t="inlineStr">
        <is>
          <t>2025.1023 Vikan Products BTS</t>
        </is>
      </c>
      <c r="D393" s="56" t="inlineStr">
        <is>
          <t>TI</t>
        </is>
      </c>
      <c r="E393" s="56" t="inlineStr">
        <is>
          <t>Cole Garriott</t>
        </is>
      </c>
      <c r="F393" s="56" t="inlineStr">
        <is>
          <t>The Peterson Company, LLC</t>
        </is>
      </c>
      <c r="G393" s="56" t="inlineStr">
        <is>
          <t>ACTIVE</t>
        </is>
      </c>
      <c r="H393" s="57" t="n">
        <v>734790</v>
      </c>
      <c r="I393" s="57" t="n">
        <v>39976</v>
      </c>
      <c r="J393" s="57" t="n">
        <v>661310.99</v>
      </c>
      <c r="K393" s="57" t="n">
        <v>368042.84</v>
      </c>
      <c r="L393" s="57" t="n">
        <v>412832.53</v>
      </c>
      <c r="M393" s="57" t="n">
        <v>347251.25</v>
      </c>
      <c r="N393" s="58" t="n">
        <v>0.8411</v>
      </c>
      <c r="O393" s="57" t="n">
        <v>618031.87</v>
      </c>
      <c r="P393" s="57" t="n">
        <v>-43279.12</v>
      </c>
      <c r="Q393" s="57" t="n">
        <v>-116726.43</v>
      </c>
      <c r="R393" s="57" t="n">
        <v>43279.12</v>
      </c>
      <c r="S393" s="57" t="n">
        <v>0</v>
      </c>
      <c r="T393" s="57" t="n">
        <v>387538.75</v>
      </c>
      <c r="U393" s="58" t="n">
        <v>0.5274</v>
      </c>
      <c r="V393" s="57" t="n">
        <v>321957.47</v>
      </c>
      <c r="W393" s="58" t="n">
        <v>0.4382</v>
      </c>
      <c r="X393" s="58" t="n">
        <v>0.4382</v>
      </c>
      <c r="Y393" s="58" t="n">
        <v>-0.0893</v>
      </c>
      <c r="Z393" s="57" t="n">
        <v>73479.00999999999</v>
      </c>
      <c r="AA393" s="57" t="n">
        <v>293268.15</v>
      </c>
      <c r="AB393" s="56" t="inlineStr">
        <is>
          <t>TRUE</t>
        </is>
      </c>
      <c r="AC393" s="56" t="inlineStr">
        <is>
          <t>TRUE</t>
        </is>
      </c>
      <c r="AD393" s="57" t="n">
        <v>179195.16</v>
      </c>
      <c r="AE393" s="57" t="n">
        <v>137541.58</v>
      </c>
      <c r="AF393" s="57" t="n">
        <v>30110.29</v>
      </c>
      <c r="AG393" s="57" t="n">
        <v>404.22</v>
      </c>
      <c r="AH393" s="57" t="n">
        <v>0</v>
      </c>
    </row>
    <row r="394">
      <c r="A394" s="56" t="inlineStr">
        <is>
          <t>2026-06-17</t>
        </is>
      </c>
      <c r="B394" s="56" t="inlineStr">
        <is>
          <t>2500441</t>
        </is>
      </c>
      <c r="C394" s="56" t="inlineStr">
        <is>
          <t>DS.2025.2316 Courtyards of Cielo Ranch 8</t>
        </is>
      </c>
      <c r="D394" s="56" t="inlineStr">
        <is>
          <t>DW</t>
        </is>
      </c>
      <c r="E394" s="56" t="inlineStr">
        <is>
          <t>(Unassigned)</t>
        </is>
      </c>
      <c r="F394" s="56" t="inlineStr">
        <is>
          <t>Big Dawg Drywall</t>
        </is>
      </c>
      <c r="G394" s="56" t="inlineStr">
        <is>
          <t>ACTIVE</t>
        </is>
      </c>
      <c r="H394" s="57" t="n">
        <v>7137.76</v>
      </c>
      <c r="I394" s="57" t="n">
        <v>0</v>
      </c>
      <c r="J394" s="57" t="n">
        <v>7137.76</v>
      </c>
      <c r="K394" s="57" t="n">
        <v>7637.4</v>
      </c>
      <c r="L394" s="57" t="n">
        <v>0</v>
      </c>
      <c r="M394" s="57" t="n">
        <v>5341.14</v>
      </c>
      <c r="N394" s="58" t="n">
        <v>0</v>
      </c>
      <c r="O394" s="57" t="n">
        <v>0</v>
      </c>
      <c r="P394" s="57" t="n">
        <v>-7137.76</v>
      </c>
      <c r="Q394" s="57" t="n">
        <v>0</v>
      </c>
      <c r="R394" s="57" t="n">
        <v>7137.76</v>
      </c>
      <c r="S394" s="57" t="n">
        <v>0</v>
      </c>
      <c r="T394" s="57" t="n">
        <v>1796.62</v>
      </c>
      <c r="U394" s="58" t="n">
        <v>0.2517</v>
      </c>
      <c r="V394" s="57" t="n">
        <v>7137.76</v>
      </c>
      <c r="W394" s="58" t="n">
        <v>1</v>
      </c>
      <c r="X394" s="58" t="n">
        <v>0</v>
      </c>
      <c r="Y394" s="58" t="n">
        <v>0</v>
      </c>
      <c r="Z394" s="57" t="n">
        <v>0</v>
      </c>
      <c r="AA394" s="57" t="n">
        <v>-499.64</v>
      </c>
      <c r="AB394" s="56" t="inlineStr">
        <is>
          <t>FALSE</t>
        </is>
      </c>
      <c r="AC394" s="56" t="inlineStr">
        <is>
          <t>FALSE</t>
        </is>
      </c>
      <c r="AD394" s="57" t="n">
        <v>5341.14</v>
      </c>
      <c r="AE394" s="57" t="n">
        <v>0</v>
      </c>
      <c r="AF394" s="57" t="n">
        <v>0</v>
      </c>
      <c r="AG394" s="57" t="n">
        <v>0</v>
      </c>
      <c r="AH394" s="57" t="n">
        <v>0</v>
      </c>
    </row>
    <row r="395">
      <c r="A395" s="56" t="inlineStr">
        <is>
          <t>2026-06-17</t>
        </is>
      </c>
      <c r="B395" s="56" t="inlineStr">
        <is>
          <t>2499386</t>
        </is>
      </c>
      <c r="C395" s="56" t="inlineStr">
        <is>
          <t>DS.2025.2315 GSI Brookville</t>
        </is>
      </c>
      <c r="D395" s="56" t="inlineStr">
        <is>
          <t>DW</t>
        </is>
      </c>
      <c r="E395" s="56" t="inlineStr">
        <is>
          <t>(Unassigned)</t>
        </is>
      </c>
      <c r="F395" s="56" t="inlineStr">
        <is>
          <t>GSI - Gregory Scott Inabnit LLC</t>
        </is>
      </c>
      <c r="G395" s="56" t="inlineStr">
        <is>
          <t>ACTIVE</t>
        </is>
      </c>
      <c r="H395" s="57" t="n">
        <v>10698.76</v>
      </c>
      <c r="I395" s="57" t="n">
        <v>0</v>
      </c>
      <c r="J395" s="57" t="n">
        <v>10698.76</v>
      </c>
      <c r="K395" s="57" t="n">
        <v>0</v>
      </c>
      <c r="L395" s="57" t="n">
        <v>0</v>
      </c>
      <c r="M395" s="57" t="n">
        <v>7430.01</v>
      </c>
      <c r="N395" s="58" t="n">
        <v>0</v>
      </c>
      <c r="O395" s="57" t="n">
        <v>0</v>
      </c>
      <c r="P395" s="57" t="n">
        <v>-10698.76</v>
      </c>
      <c r="Q395" s="57" t="n">
        <v>0</v>
      </c>
      <c r="R395" s="57" t="n">
        <v>10698.76</v>
      </c>
      <c r="S395" s="57" t="n">
        <v>0</v>
      </c>
      <c r="T395" s="57" t="n">
        <v>3268.75</v>
      </c>
      <c r="U395" s="58" t="n">
        <v>0.3055</v>
      </c>
      <c r="V395" s="57" t="n">
        <v>10698.76</v>
      </c>
      <c r="W395" s="58" t="n">
        <v>1</v>
      </c>
      <c r="X395" s="58" t="n">
        <v>0</v>
      </c>
      <c r="Y395" s="58" t="n">
        <v>0</v>
      </c>
      <c r="Z395" s="57" t="n">
        <v>0</v>
      </c>
      <c r="AA395" s="57" t="n">
        <v>10698.76</v>
      </c>
      <c r="AB395" s="56" t="inlineStr">
        <is>
          <t>FALSE</t>
        </is>
      </c>
      <c r="AC395" s="56" t="inlineStr">
        <is>
          <t>FALSE</t>
        </is>
      </c>
      <c r="AD395" s="57" t="n">
        <v>7430.01</v>
      </c>
      <c r="AE395" s="57" t="n">
        <v>0</v>
      </c>
      <c r="AF395" s="57" t="n">
        <v>0</v>
      </c>
      <c r="AG395" s="57" t="n">
        <v>0</v>
      </c>
      <c r="AH395" s="57" t="n">
        <v>0</v>
      </c>
    </row>
    <row r="396">
      <c r="A396" s="56" t="inlineStr">
        <is>
          <t>2026-06-17</t>
        </is>
      </c>
      <c r="B396" s="56" t="inlineStr">
        <is>
          <t>2498252</t>
        </is>
      </c>
      <c r="C396" s="56" t="inlineStr">
        <is>
          <t>DS.2025.2314 R18 Holiday Farms</t>
        </is>
      </c>
      <c r="D396" s="56" t="inlineStr">
        <is>
          <t>DW</t>
        </is>
      </c>
      <c r="E396" s="56" t="inlineStr">
        <is>
          <t>(Unassigned)</t>
        </is>
      </c>
      <c r="F396" s="56" t="inlineStr">
        <is>
          <t>Flores Drywall and Remodeling LLC</t>
        </is>
      </c>
      <c r="G396" s="56" t="inlineStr">
        <is>
          <t>ACTIVE</t>
        </is>
      </c>
      <c r="H396" s="57" t="n">
        <v>16234.41</v>
      </c>
      <c r="I396" s="57" t="n">
        <v>0</v>
      </c>
      <c r="J396" s="57" t="n">
        <v>16234.41</v>
      </c>
      <c r="K396" s="57" t="n">
        <v>17370.82</v>
      </c>
      <c r="L396" s="57" t="n">
        <v>0</v>
      </c>
      <c r="M396" s="57" t="n">
        <v>11943.43</v>
      </c>
      <c r="N396" s="58" t="n">
        <v>0</v>
      </c>
      <c r="O396" s="57" t="n">
        <v>0</v>
      </c>
      <c r="P396" s="57" t="n">
        <v>-16234.41</v>
      </c>
      <c r="Q396" s="57" t="n">
        <v>0</v>
      </c>
      <c r="R396" s="57" t="n">
        <v>16234.41</v>
      </c>
      <c r="S396" s="57" t="n">
        <v>0</v>
      </c>
      <c r="T396" s="57" t="n">
        <v>4290.98</v>
      </c>
      <c r="U396" s="58" t="n">
        <v>0.2643</v>
      </c>
      <c r="V396" s="57" t="n">
        <v>16234.41</v>
      </c>
      <c r="W396" s="58" t="n">
        <v>1</v>
      </c>
      <c r="X396" s="58" t="n">
        <v>0</v>
      </c>
      <c r="Y396" s="58" t="n">
        <v>0</v>
      </c>
      <c r="Z396" s="57" t="n">
        <v>0</v>
      </c>
      <c r="AA396" s="57" t="n">
        <v>-1136.41</v>
      </c>
      <c r="AB396" s="56" t="inlineStr">
        <is>
          <t>FALSE</t>
        </is>
      </c>
      <c r="AC396" s="56" t="inlineStr">
        <is>
          <t>FALSE</t>
        </is>
      </c>
      <c r="AD396" s="57" t="n">
        <v>11943.43</v>
      </c>
      <c r="AE396" s="57" t="n">
        <v>0</v>
      </c>
      <c r="AF396" s="57" t="n">
        <v>0</v>
      </c>
      <c r="AG396" s="57" t="n">
        <v>0</v>
      </c>
      <c r="AH396" s="57" t="n">
        <v>0</v>
      </c>
    </row>
    <row r="397">
      <c r="A397" s="56" t="inlineStr">
        <is>
          <t>2026-06-17</t>
        </is>
      </c>
      <c r="B397" s="56" t="inlineStr">
        <is>
          <t>2498183</t>
        </is>
      </c>
      <c r="C397" s="56" t="inlineStr">
        <is>
          <t>DS.2025.2313 McDowell Residence</t>
        </is>
      </c>
      <c r="D397" s="56" t="inlineStr">
        <is>
          <t>DW</t>
        </is>
      </c>
      <c r="E397" s="56" t="inlineStr">
        <is>
          <t>(Unassigned)</t>
        </is>
      </c>
      <c r="F397" s="56" t="inlineStr">
        <is>
          <t>Flores Drywall and Remodeling LLC</t>
        </is>
      </c>
      <c r="G397" s="56" t="inlineStr">
        <is>
          <t>ACTIVE</t>
        </is>
      </c>
      <c r="H397" s="57" t="n">
        <v>5783.87</v>
      </c>
      <c r="I397" s="57" t="n">
        <v>0</v>
      </c>
      <c r="J397" s="57" t="n">
        <v>5783.87</v>
      </c>
      <c r="K397" s="57" t="n">
        <v>6188.74</v>
      </c>
      <c r="L397" s="57" t="n">
        <v>0</v>
      </c>
      <c r="M397" s="57" t="n">
        <v>4868.36</v>
      </c>
      <c r="N397" s="58" t="n">
        <v>0</v>
      </c>
      <c r="O397" s="57" t="n">
        <v>0</v>
      </c>
      <c r="P397" s="57" t="n">
        <v>-5783.87</v>
      </c>
      <c r="Q397" s="57" t="n">
        <v>0</v>
      </c>
      <c r="R397" s="57" t="n">
        <v>5783.87</v>
      </c>
      <c r="S397" s="57" t="n">
        <v>0</v>
      </c>
      <c r="T397" s="57" t="n">
        <v>915.51</v>
      </c>
      <c r="U397" s="58" t="n">
        <v>0.1583</v>
      </c>
      <c r="V397" s="57" t="n">
        <v>5783.87</v>
      </c>
      <c r="W397" s="58" t="n">
        <v>1</v>
      </c>
      <c r="X397" s="58" t="n">
        <v>0</v>
      </c>
      <c r="Y397" s="58" t="n">
        <v>0</v>
      </c>
      <c r="Z397" s="57" t="n">
        <v>0</v>
      </c>
      <c r="AA397" s="57" t="n">
        <v>-404.87</v>
      </c>
      <c r="AB397" s="56" t="inlineStr">
        <is>
          <t>FALSE</t>
        </is>
      </c>
      <c r="AC397" s="56" t="inlineStr">
        <is>
          <t>FALSE</t>
        </is>
      </c>
      <c r="AD397" s="57" t="n">
        <v>4868.36</v>
      </c>
      <c r="AE397" s="57" t="n">
        <v>0</v>
      </c>
      <c r="AF397" s="57" t="n">
        <v>0</v>
      </c>
      <c r="AG397" s="57" t="n">
        <v>0</v>
      </c>
      <c r="AH397" s="57" t="n">
        <v>0</v>
      </c>
    </row>
    <row r="398">
      <c r="A398" s="56" t="inlineStr">
        <is>
          <t>2026-06-17</t>
        </is>
      </c>
      <c r="B398" s="56" t="inlineStr">
        <is>
          <t>2498101</t>
        </is>
      </c>
      <c r="C398" s="56" t="inlineStr">
        <is>
          <t>DS.2025.2312 Plantation Drive Flores</t>
        </is>
      </c>
      <c r="D398" s="56" t="inlineStr">
        <is>
          <t>DW</t>
        </is>
      </c>
      <c r="E398" s="56" t="inlineStr">
        <is>
          <t>(Unassigned)</t>
        </is>
      </c>
      <c r="F398" s="56" t="inlineStr">
        <is>
          <t>Flores Drywall and Remodeling LLC</t>
        </is>
      </c>
      <c r="G398" s="56" t="inlineStr">
        <is>
          <t>ACTIVE</t>
        </is>
      </c>
      <c r="H398" s="57" t="n">
        <v>5430.42</v>
      </c>
      <c r="I398" s="57" t="n">
        <v>0</v>
      </c>
      <c r="J398" s="57" t="n">
        <v>5430.42</v>
      </c>
      <c r="K398" s="57" t="n">
        <v>5810.55</v>
      </c>
      <c r="L398" s="57" t="n">
        <v>0</v>
      </c>
      <c r="M398" s="57" t="n">
        <v>4117.07</v>
      </c>
      <c r="N398" s="58" t="n">
        <v>0</v>
      </c>
      <c r="O398" s="57" t="n">
        <v>0</v>
      </c>
      <c r="P398" s="57" t="n">
        <v>-5430.42</v>
      </c>
      <c r="Q398" s="57" t="n">
        <v>0</v>
      </c>
      <c r="R398" s="57" t="n">
        <v>5430.42</v>
      </c>
      <c r="S398" s="57" t="n">
        <v>0</v>
      </c>
      <c r="T398" s="57" t="n">
        <v>1313.35</v>
      </c>
      <c r="U398" s="58" t="n">
        <v>0.2419</v>
      </c>
      <c r="V398" s="57" t="n">
        <v>5430.42</v>
      </c>
      <c r="W398" s="58" t="n">
        <v>1</v>
      </c>
      <c r="X398" s="58" t="n">
        <v>0</v>
      </c>
      <c r="Y398" s="58" t="n">
        <v>0</v>
      </c>
      <c r="Z398" s="57" t="n">
        <v>0</v>
      </c>
      <c r="AA398" s="57" t="n">
        <v>-380.13</v>
      </c>
      <c r="AB398" s="56" t="inlineStr">
        <is>
          <t>FALSE</t>
        </is>
      </c>
      <c r="AC398" s="56" t="inlineStr">
        <is>
          <t>FALSE</t>
        </is>
      </c>
      <c r="AD398" s="57" t="n">
        <v>4117.07</v>
      </c>
      <c r="AE398" s="57" t="n">
        <v>0</v>
      </c>
      <c r="AF398" s="57" t="n">
        <v>0</v>
      </c>
      <c r="AG398" s="57" t="n">
        <v>0</v>
      </c>
      <c r="AH398" s="57" t="n">
        <v>0</v>
      </c>
    </row>
    <row r="399">
      <c r="A399" s="56" t="inlineStr">
        <is>
          <t>2026-06-17</t>
        </is>
      </c>
      <c r="B399" s="56" t="inlineStr">
        <is>
          <t>2498026</t>
        </is>
      </c>
      <c r="C399" s="56" t="inlineStr">
        <is>
          <t>DS.2025.2311 15111 Mooring Cir W</t>
        </is>
      </c>
      <c r="D399" s="56" t="inlineStr">
        <is>
          <t>DW</t>
        </is>
      </c>
      <c r="E399" s="56" t="inlineStr">
        <is>
          <t>(Unassigned)</t>
        </is>
      </c>
      <c r="F399" s="56" t="inlineStr">
        <is>
          <t>Mendoza</t>
        </is>
      </c>
      <c r="G399" s="56" t="inlineStr">
        <is>
          <t>ACTIVE</t>
        </is>
      </c>
      <c r="H399" s="57" t="n">
        <v>398.4</v>
      </c>
      <c r="I399" s="57" t="n">
        <v>0</v>
      </c>
      <c r="J399" s="57" t="n">
        <v>398.4</v>
      </c>
      <c r="K399" s="57" t="n">
        <v>426.29</v>
      </c>
      <c r="L399" s="57" t="n">
        <v>0</v>
      </c>
      <c r="M399" s="57" t="n">
        <v>281.2</v>
      </c>
      <c r="N399" s="58" t="n">
        <v>0</v>
      </c>
      <c r="O399" s="57" t="n">
        <v>0</v>
      </c>
      <c r="P399" s="57" t="n">
        <v>-398.4</v>
      </c>
      <c r="Q399" s="57" t="n">
        <v>0</v>
      </c>
      <c r="R399" s="57" t="n">
        <v>398.4</v>
      </c>
      <c r="S399" s="57" t="n">
        <v>0</v>
      </c>
      <c r="T399" s="57" t="n">
        <v>117.2</v>
      </c>
      <c r="U399" s="58" t="n">
        <v>0.2942</v>
      </c>
      <c r="V399" s="57" t="n">
        <v>398.4</v>
      </c>
      <c r="W399" s="58" t="n">
        <v>1</v>
      </c>
      <c r="X399" s="58" t="n">
        <v>0</v>
      </c>
      <c r="Y399" s="58" t="n">
        <v>0</v>
      </c>
      <c r="Z399" s="57" t="n">
        <v>0</v>
      </c>
      <c r="AA399" s="57" t="n">
        <v>-27.89</v>
      </c>
      <c r="AB399" s="56" t="inlineStr">
        <is>
          <t>FALSE</t>
        </is>
      </c>
      <c r="AC399" s="56" t="inlineStr">
        <is>
          <t>FALSE</t>
        </is>
      </c>
      <c r="AD399" s="57" t="n">
        <v>281.2</v>
      </c>
      <c r="AE399" s="57" t="n">
        <v>0</v>
      </c>
      <c r="AF399" s="57" t="n">
        <v>0</v>
      </c>
      <c r="AG399" s="57" t="n">
        <v>0</v>
      </c>
      <c r="AH399" s="57" t="n">
        <v>0</v>
      </c>
    </row>
    <row r="400">
      <c r="A400" s="56" t="inlineStr">
        <is>
          <t>2026-06-17</t>
        </is>
      </c>
      <c r="B400" s="56" t="inlineStr">
        <is>
          <t>2497952</t>
        </is>
      </c>
      <c r="C400" s="56" t="inlineStr">
        <is>
          <t>DS.2025.2310 Courtyards of Cielo Ranch 12</t>
        </is>
      </c>
      <c r="D400" s="56" t="inlineStr">
        <is>
          <t>DW</t>
        </is>
      </c>
      <c r="E400" s="56" t="inlineStr">
        <is>
          <t>(Unassigned)</t>
        </is>
      </c>
      <c r="F400" s="56" t="inlineStr">
        <is>
          <t>Big Dawg Drywall</t>
        </is>
      </c>
      <c r="G400" s="56" t="inlineStr">
        <is>
          <t>ACTIVE</t>
        </is>
      </c>
      <c r="H400" s="57" t="n">
        <v>388.8</v>
      </c>
      <c r="I400" s="57" t="n">
        <v>0</v>
      </c>
      <c r="J400" s="57" t="n">
        <v>388.8</v>
      </c>
      <c r="K400" s="57" t="n">
        <v>416.02</v>
      </c>
      <c r="L400" s="57" t="n">
        <v>0</v>
      </c>
      <c r="M400" s="57" t="n">
        <v>267.84</v>
      </c>
      <c r="N400" s="58" t="n">
        <v>0</v>
      </c>
      <c r="O400" s="57" t="n">
        <v>0</v>
      </c>
      <c r="P400" s="57" t="n">
        <v>-388.8</v>
      </c>
      <c r="Q400" s="57" t="n">
        <v>0</v>
      </c>
      <c r="R400" s="57" t="n">
        <v>388.8</v>
      </c>
      <c r="S400" s="57" t="n">
        <v>0</v>
      </c>
      <c r="T400" s="57" t="n">
        <v>120.96</v>
      </c>
      <c r="U400" s="58" t="n">
        <v>0.3111</v>
      </c>
      <c r="V400" s="57" t="n">
        <v>388.8</v>
      </c>
      <c r="W400" s="58" t="n">
        <v>1</v>
      </c>
      <c r="X400" s="58" t="n">
        <v>0</v>
      </c>
      <c r="Y400" s="58" t="n">
        <v>0</v>
      </c>
      <c r="Z400" s="57" t="n">
        <v>0</v>
      </c>
      <c r="AA400" s="57" t="n">
        <v>-27.22</v>
      </c>
      <c r="AB400" s="56" t="inlineStr">
        <is>
          <t>FALSE</t>
        </is>
      </c>
      <c r="AC400" s="56" t="inlineStr">
        <is>
          <t>FALSE</t>
        </is>
      </c>
      <c r="AD400" s="57" t="n">
        <v>267.84</v>
      </c>
      <c r="AE400" s="57" t="n">
        <v>0</v>
      </c>
      <c r="AF400" s="57" t="n">
        <v>0</v>
      </c>
      <c r="AG400" s="57" t="n">
        <v>0</v>
      </c>
      <c r="AH400" s="57" t="n">
        <v>0</v>
      </c>
    </row>
    <row r="401">
      <c r="A401" s="56" t="inlineStr">
        <is>
          <t>2026-06-17</t>
        </is>
      </c>
      <c r="B401" s="56" t="inlineStr">
        <is>
          <t>2491974</t>
        </is>
      </c>
      <c r="C401" s="56" t="inlineStr">
        <is>
          <t>DS.2025.2309 6936 Sun River Drive</t>
        </is>
      </c>
      <c r="D401" s="56" t="inlineStr">
        <is>
          <t>DW</t>
        </is>
      </c>
      <c r="E401" s="56" t="inlineStr">
        <is>
          <t>(Unassigned)</t>
        </is>
      </c>
      <c r="F401" s="56" t="inlineStr">
        <is>
          <t>Precision Dry Wall</t>
        </is>
      </c>
      <c r="G401" s="56" t="inlineStr">
        <is>
          <t>ACTIVE</t>
        </is>
      </c>
      <c r="H401" s="57" t="n">
        <v>8722.82</v>
      </c>
      <c r="I401" s="57" t="n">
        <v>0</v>
      </c>
      <c r="J401" s="57" t="n">
        <v>8722.82</v>
      </c>
      <c r="K401" s="57" t="n">
        <v>9333.42</v>
      </c>
      <c r="L401" s="57" t="n">
        <v>0</v>
      </c>
      <c r="M401" s="57" t="n">
        <v>6505.71</v>
      </c>
      <c r="N401" s="58" t="n">
        <v>0</v>
      </c>
      <c r="O401" s="57" t="n">
        <v>0</v>
      </c>
      <c r="P401" s="57" t="n">
        <v>-8722.82</v>
      </c>
      <c r="Q401" s="57" t="n">
        <v>0</v>
      </c>
      <c r="R401" s="57" t="n">
        <v>8722.82</v>
      </c>
      <c r="S401" s="57" t="n">
        <v>0</v>
      </c>
      <c r="T401" s="57" t="n">
        <v>2217.11</v>
      </c>
      <c r="U401" s="58" t="n">
        <v>0.2542</v>
      </c>
      <c r="V401" s="57" t="n">
        <v>8722.82</v>
      </c>
      <c r="W401" s="58" t="n">
        <v>1</v>
      </c>
      <c r="X401" s="58" t="n">
        <v>0</v>
      </c>
      <c r="Y401" s="58" t="n">
        <v>0</v>
      </c>
      <c r="Z401" s="57" t="n">
        <v>0</v>
      </c>
      <c r="AA401" s="57" t="n">
        <v>-610.6</v>
      </c>
      <c r="AB401" s="56" t="inlineStr">
        <is>
          <t>FALSE</t>
        </is>
      </c>
      <c r="AC401" s="56" t="inlineStr">
        <is>
          <t>FALSE</t>
        </is>
      </c>
      <c r="AD401" s="57" t="n">
        <v>6505.71</v>
      </c>
      <c r="AE401" s="57" t="n">
        <v>0</v>
      </c>
      <c r="AF401" s="57" t="n">
        <v>0</v>
      </c>
      <c r="AG401" s="57" t="n">
        <v>0</v>
      </c>
      <c r="AH401" s="57" t="n">
        <v>0</v>
      </c>
    </row>
    <row r="402">
      <c r="A402" s="56" t="inlineStr">
        <is>
          <t>2026-06-17</t>
        </is>
      </c>
      <c r="B402" s="56" t="inlineStr">
        <is>
          <t>2491878</t>
        </is>
      </c>
      <c r="C402" s="56" t="inlineStr">
        <is>
          <t>DS.2025.2308 Courtyards of Westfield 112</t>
        </is>
      </c>
      <c r="D402" s="56" t="inlineStr">
        <is>
          <t>DW</t>
        </is>
      </c>
      <c r="E402" s="56" t="inlineStr">
        <is>
          <t>(Unassigned)</t>
        </is>
      </c>
      <c r="F402" s="56" t="inlineStr">
        <is>
          <t>Big Dawg Drywall</t>
        </is>
      </c>
      <c r="G402" s="56" t="inlineStr">
        <is>
          <t>ACTIVE</t>
        </is>
      </c>
      <c r="H402" s="57" t="n">
        <v>7135.51</v>
      </c>
      <c r="I402" s="57" t="n">
        <v>0</v>
      </c>
      <c r="J402" s="57" t="n">
        <v>7135.51</v>
      </c>
      <c r="K402" s="57" t="n">
        <v>7635</v>
      </c>
      <c r="L402" s="57" t="n">
        <v>0</v>
      </c>
      <c r="M402" s="57" t="n">
        <v>5703.2</v>
      </c>
      <c r="N402" s="58" t="n">
        <v>0</v>
      </c>
      <c r="O402" s="57" t="n">
        <v>0</v>
      </c>
      <c r="P402" s="57" t="n">
        <v>-7135.51</v>
      </c>
      <c r="Q402" s="57" t="n">
        <v>0</v>
      </c>
      <c r="R402" s="57" t="n">
        <v>7135.51</v>
      </c>
      <c r="S402" s="57" t="n">
        <v>0</v>
      </c>
      <c r="T402" s="57" t="n">
        <v>1432.31</v>
      </c>
      <c r="U402" s="58" t="n">
        <v>0.2007</v>
      </c>
      <c r="V402" s="57" t="n">
        <v>7135.51</v>
      </c>
      <c r="W402" s="58" t="n">
        <v>1</v>
      </c>
      <c r="X402" s="58" t="n">
        <v>0</v>
      </c>
      <c r="Y402" s="58" t="n">
        <v>0</v>
      </c>
      <c r="Z402" s="57" t="n">
        <v>0</v>
      </c>
      <c r="AA402" s="57" t="n">
        <v>-499.49</v>
      </c>
      <c r="AB402" s="56" t="inlineStr">
        <is>
          <t>FALSE</t>
        </is>
      </c>
      <c r="AC402" s="56" t="inlineStr">
        <is>
          <t>FALSE</t>
        </is>
      </c>
      <c r="AD402" s="57" t="n">
        <v>5703.2</v>
      </c>
      <c r="AE402" s="57" t="n">
        <v>0</v>
      </c>
      <c r="AF402" s="57" t="n">
        <v>0</v>
      </c>
      <c r="AG402" s="57" t="n">
        <v>0</v>
      </c>
      <c r="AH402" s="57" t="n">
        <v>0</v>
      </c>
    </row>
    <row r="403">
      <c r="A403" s="56" t="inlineStr">
        <is>
          <t>2026-06-17</t>
        </is>
      </c>
      <c r="B403" s="56" t="inlineStr">
        <is>
          <t>2491611</t>
        </is>
      </c>
      <c r="C403" s="56" t="inlineStr">
        <is>
          <t>DS.2025.2307 Mendoza Drywall company-15535 Stony Creek Way</t>
        </is>
      </c>
      <c r="D403" s="56" t="inlineStr">
        <is>
          <t>DW</t>
        </is>
      </c>
      <c r="E403" s="56" t="inlineStr">
        <is>
          <t>(Unassigned)</t>
        </is>
      </c>
      <c r="F403" s="56" t="inlineStr">
        <is>
          <t>Mendoza</t>
        </is>
      </c>
      <c r="G403" s="56" t="inlineStr">
        <is>
          <t>ACTIVE</t>
        </is>
      </c>
      <c r="H403" s="57" t="n">
        <v>806.4</v>
      </c>
      <c r="I403" s="57" t="n">
        <v>0</v>
      </c>
      <c r="J403" s="57" t="n">
        <v>806.4</v>
      </c>
      <c r="K403" s="57" t="n">
        <v>862.85</v>
      </c>
      <c r="L403" s="57" t="n">
        <v>0</v>
      </c>
      <c r="M403" s="57" t="n">
        <v>595.2</v>
      </c>
      <c r="N403" s="58" t="n">
        <v>0</v>
      </c>
      <c r="O403" s="57" t="n">
        <v>0</v>
      </c>
      <c r="P403" s="57" t="n">
        <v>-806.4</v>
      </c>
      <c r="Q403" s="57" t="n">
        <v>0</v>
      </c>
      <c r="R403" s="57" t="n">
        <v>806.4</v>
      </c>
      <c r="S403" s="57" t="n">
        <v>0</v>
      </c>
      <c r="T403" s="57" t="n">
        <v>211.2</v>
      </c>
      <c r="U403" s="58" t="n">
        <v>0.2619</v>
      </c>
      <c r="V403" s="57" t="n">
        <v>806.4</v>
      </c>
      <c r="W403" s="58" t="n">
        <v>1</v>
      </c>
      <c r="X403" s="58" t="n">
        <v>0</v>
      </c>
      <c r="Y403" s="58" t="n">
        <v>0</v>
      </c>
      <c r="Z403" s="57" t="n">
        <v>0</v>
      </c>
      <c r="AA403" s="57" t="n">
        <v>-56.45</v>
      </c>
      <c r="AB403" s="56" t="inlineStr">
        <is>
          <t>FALSE</t>
        </is>
      </c>
      <c r="AC403" s="56" t="inlineStr">
        <is>
          <t>FALSE</t>
        </is>
      </c>
      <c r="AD403" s="57" t="n">
        <v>595.2</v>
      </c>
      <c r="AE403" s="57" t="n">
        <v>0</v>
      </c>
      <c r="AF403" s="57" t="n">
        <v>0</v>
      </c>
      <c r="AG403" s="57" t="n">
        <v>0</v>
      </c>
      <c r="AH403" s="57" t="n">
        <v>0</v>
      </c>
    </row>
    <row r="404">
      <c r="A404" s="56" t="inlineStr">
        <is>
          <t>2026-06-17</t>
        </is>
      </c>
      <c r="B404" s="56" t="inlineStr">
        <is>
          <t>2488150</t>
        </is>
      </c>
      <c r="C404" s="56" t="inlineStr">
        <is>
          <t>DS.2025.2306 Courtyards of Russell Oaks 118</t>
        </is>
      </c>
      <c r="D404" s="56" t="inlineStr">
        <is>
          <t>DW</t>
        </is>
      </c>
      <c r="E404" s="56" t="inlineStr">
        <is>
          <t>(Unassigned)</t>
        </is>
      </c>
      <c r="F404" s="56" t="inlineStr">
        <is>
          <t>Big Dawg Drywall</t>
        </is>
      </c>
      <c r="G404" s="56" t="inlineStr">
        <is>
          <t>ACTIVE</t>
        </is>
      </c>
      <c r="H404" s="57" t="n">
        <v>4997.24</v>
      </c>
      <c r="I404" s="57" t="n">
        <v>0</v>
      </c>
      <c r="J404" s="57" t="n">
        <v>4997.24</v>
      </c>
      <c r="K404" s="57" t="n">
        <v>5347.05</v>
      </c>
      <c r="L404" s="57" t="n">
        <v>0</v>
      </c>
      <c r="M404" s="57" t="n">
        <v>3994.7</v>
      </c>
      <c r="N404" s="58" t="n">
        <v>0</v>
      </c>
      <c r="O404" s="57" t="n">
        <v>0</v>
      </c>
      <c r="P404" s="57" t="n">
        <v>-4997.24</v>
      </c>
      <c r="Q404" s="57" t="n">
        <v>0</v>
      </c>
      <c r="R404" s="57" t="n">
        <v>4997.24</v>
      </c>
      <c r="S404" s="57" t="n">
        <v>0</v>
      </c>
      <c r="T404" s="57" t="n">
        <v>1002.54</v>
      </c>
      <c r="U404" s="58" t="n">
        <v>0.2006</v>
      </c>
      <c r="V404" s="57" t="n">
        <v>4997.24</v>
      </c>
      <c r="W404" s="58" t="n">
        <v>1</v>
      </c>
      <c r="X404" s="58" t="n">
        <v>0</v>
      </c>
      <c r="Y404" s="58" t="n">
        <v>0</v>
      </c>
      <c r="Z404" s="57" t="n">
        <v>0</v>
      </c>
      <c r="AA404" s="57" t="n">
        <v>-349.81</v>
      </c>
      <c r="AB404" s="56" t="inlineStr">
        <is>
          <t>FALSE</t>
        </is>
      </c>
      <c r="AC404" s="56" t="inlineStr">
        <is>
          <t>FALSE</t>
        </is>
      </c>
      <c r="AD404" s="57" t="n">
        <v>3994.7</v>
      </c>
      <c r="AE404" s="57" t="n">
        <v>0</v>
      </c>
      <c r="AF404" s="57" t="n">
        <v>0</v>
      </c>
      <c r="AG404" s="57" t="n">
        <v>0</v>
      </c>
      <c r="AH404" s="57" t="n">
        <v>0</v>
      </c>
    </row>
    <row r="405">
      <c r="A405" s="56" t="inlineStr">
        <is>
          <t>2026-06-17</t>
        </is>
      </c>
      <c r="B405" s="56" t="inlineStr">
        <is>
          <t>2488125</t>
        </is>
      </c>
      <c r="C405" s="56" t="inlineStr">
        <is>
          <t>DS.2025.2305 Courtyards of Russell Oaks 62</t>
        </is>
      </c>
      <c r="D405" s="56" t="inlineStr">
        <is>
          <t>DW</t>
        </is>
      </c>
      <c r="E405" s="56" t="inlineStr">
        <is>
          <t>(Unassigned)</t>
        </is>
      </c>
      <c r="F405" s="56" t="inlineStr">
        <is>
          <t>Big Dawg Drywall</t>
        </is>
      </c>
      <c r="G405" s="56" t="inlineStr">
        <is>
          <t>ACTIVE</t>
        </is>
      </c>
      <c r="H405" s="57" t="n">
        <v>6963.91</v>
      </c>
      <c r="I405" s="57" t="n">
        <v>0</v>
      </c>
      <c r="J405" s="57" t="n">
        <v>6963.91</v>
      </c>
      <c r="K405" s="57" t="n">
        <v>7451.38</v>
      </c>
      <c r="L405" s="57" t="n">
        <v>0</v>
      </c>
      <c r="M405" s="57" t="n">
        <v>5504.18</v>
      </c>
      <c r="N405" s="58" t="n">
        <v>0</v>
      </c>
      <c r="O405" s="57" t="n">
        <v>0</v>
      </c>
      <c r="P405" s="57" t="n">
        <v>-6963.91</v>
      </c>
      <c r="Q405" s="57" t="n">
        <v>0</v>
      </c>
      <c r="R405" s="57" t="n">
        <v>6963.91</v>
      </c>
      <c r="S405" s="57" t="n">
        <v>0</v>
      </c>
      <c r="T405" s="57" t="n">
        <v>1459.73</v>
      </c>
      <c r="U405" s="58" t="n">
        <v>0.2096</v>
      </c>
      <c r="V405" s="57" t="n">
        <v>6963.91</v>
      </c>
      <c r="W405" s="58" t="n">
        <v>1</v>
      </c>
      <c r="X405" s="58" t="n">
        <v>0</v>
      </c>
      <c r="Y405" s="58" t="n">
        <v>0</v>
      </c>
      <c r="Z405" s="57" t="n">
        <v>0</v>
      </c>
      <c r="AA405" s="57" t="n">
        <v>-487.47</v>
      </c>
      <c r="AB405" s="56" t="inlineStr">
        <is>
          <t>FALSE</t>
        </is>
      </c>
      <c r="AC405" s="56" t="inlineStr">
        <is>
          <t>FALSE</t>
        </is>
      </c>
      <c r="AD405" s="57" t="n">
        <v>5504.18</v>
      </c>
      <c r="AE405" s="57" t="n">
        <v>0</v>
      </c>
      <c r="AF405" s="57" t="n">
        <v>0</v>
      </c>
      <c r="AG405" s="57" t="n">
        <v>0</v>
      </c>
      <c r="AH405" s="57" t="n">
        <v>0</v>
      </c>
    </row>
    <row r="406">
      <c r="A406" s="56" t="inlineStr">
        <is>
          <t>2026-06-17</t>
        </is>
      </c>
      <c r="B406" s="56" t="inlineStr">
        <is>
          <t>2488086</t>
        </is>
      </c>
      <c r="C406" s="56" t="inlineStr">
        <is>
          <t>DS.2025.2304 Charlstown Manor 10-22</t>
        </is>
      </c>
      <c r="D406" s="56" t="inlineStr">
        <is>
          <t>DW</t>
        </is>
      </c>
      <c r="E406" s="56" t="inlineStr">
        <is>
          <t>(Unassigned)</t>
        </is>
      </c>
      <c r="F406" s="56" t="inlineStr">
        <is>
          <t>GSI - Gregory Scott Inabnit LLC</t>
        </is>
      </c>
      <c r="G406" s="56" t="inlineStr">
        <is>
          <t>ACTIVE</t>
        </is>
      </c>
      <c r="H406" s="57" t="n">
        <v>8911.68</v>
      </c>
      <c r="I406" s="57" t="n">
        <v>0</v>
      </c>
      <c r="J406" s="57" t="n">
        <v>8911.68</v>
      </c>
      <c r="K406" s="57" t="n">
        <v>9535.5</v>
      </c>
      <c r="L406" s="57" t="n">
        <v>0</v>
      </c>
      <c r="M406" s="57" t="n">
        <v>6703.02</v>
      </c>
      <c r="N406" s="58" t="n">
        <v>0</v>
      </c>
      <c r="O406" s="57" t="n">
        <v>0</v>
      </c>
      <c r="P406" s="57" t="n">
        <v>-8911.68</v>
      </c>
      <c r="Q406" s="57" t="n">
        <v>0</v>
      </c>
      <c r="R406" s="57" t="n">
        <v>8911.68</v>
      </c>
      <c r="S406" s="57" t="n">
        <v>0</v>
      </c>
      <c r="T406" s="57" t="n">
        <v>2208.66</v>
      </c>
      <c r="U406" s="58" t="n">
        <v>0.2478</v>
      </c>
      <c r="V406" s="57" t="n">
        <v>8911.68</v>
      </c>
      <c r="W406" s="58" t="n">
        <v>1</v>
      </c>
      <c r="X406" s="58" t="n">
        <v>0</v>
      </c>
      <c r="Y406" s="58" t="n">
        <v>0</v>
      </c>
      <c r="Z406" s="57" t="n">
        <v>0</v>
      </c>
      <c r="AA406" s="57" t="n">
        <v>-623.8200000000001</v>
      </c>
      <c r="AB406" s="56" t="inlineStr">
        <is>
          <t>FALSE</t>
        </is>
      </c>
      <c r="AC406" s="56" t="inlineStr">
        <is>
          <t>FALSE</t>
        </is>
      </c>
      <c r="AD406" s="57" t="n">
        <v>6703.02</v>
      </c>
      <c r="AE406" s="57" t="n">
        <v>0</v>
      </c>
      <c r="AF406" s="57" t="n">
        <v>0</v>
      </c>
      <c r="AG406" s="57" t="n">
        <v>0</v>
      </c>
      <c r="AH406" s="57" t="n">
        <v>0</v>
      </c>
    </row>
    <row r="407">
      <c r="A407" s="56" t="inlineStr">
        <is>
          <t>2026-06-17</t>
        </is>
      </c>
      <c r="B407" s="56" t="inlineStr">
        <is>
          <t>2481041</t>
        </is>
      </c>
      <c r="C407" s="56" t="inlineStr">
        <is>
          <t>DS.2025.2303 Big Dawg Pickup 10-17</t>
        </is>
      </c>
      <c r="D407" s="56" t="inlineStr">
        <is>
          <t>DW</t>
        </is>
      </c>
      <c r="E407" s="56" t="inlineStr">
        <is>
          <t>(Unassigned)</t>
        </is>
      </c>
      <c r="F407" s="56" t="inlineStr">
        <is>
          <t>Big Dawg Drywall</t>
        </is>
      </c>
      <c r="G407" s="56" t="inlineStr">
        <is>
          <t>ACTIVE</t>
        </is>
      </c>
      <c r="H407" s="57" t="n">
        <v>1709.9</v>
      </c>
      <c r="I407" s="57" t="n">
        <v>0</v>
      </c>
      <c r="J407" s="57" t="n">
        <v>1709.9</v>
      </c>
      <c r="K407" s="57" t="n">
        <v>1829.59</v>
      </c>
      <c r="L407" s="57" t="n">
        <v>0</v>
      </c>
      <c r="M407" s="57" t="n">
        <v>1342.85</v>
      </c>
      <c r="N407" s="58" t="n">
        <v>0</v>
      </c>
      <c r="O407" s="57" t="n">
        <v>0</v>
      </c>
      <c r="P407" s="57" t="n">
        <v>-1709.9</v>
      </c>
      <c r="Q407" s="57" t="n">
        <v>0</v>
      </c>
      <c r="R407" s="57" t="n">
        <v>1709.9</v>
      </c>
      <c r="S407" s="57" t="n">
        <v>0</v>
      </c>
      <c r="T407" s="57" t="n">
        <v>367.05</v>
      </c>
      <c r="U407" s="58" t="n">
        <v>0.2147</v>
      </c>
      <c r="V407" s="57" t="n">
        <v>1709.9</v>
      </c>
      <c r="W407" s="58" t="n">
        <v>1</v>
      </c>
      <c r="X407" s="58" t="n">
        <v>0</v>
      </c>
      <c r="Y407" s="58" t="n">
        <v>0</v>
      </c>
      <c r="Z407" s="57" t="n">
        <v>0</v>
      </c>
      <c r="AA407" s="57" t="n">
        <v>-119.69</v>
      </c>
      <c r="AB407" s="56" t="inlineStr">
        <is>
          <t>FALSE</t>
        </is>
      </c>
      <c r="AC407" s="56" t="inlineStr">
        <is>
          <t>FALSE</t>
        </is>
      </c>
      <c r="AD407" s="57" t="n">
        <v>1342.85</v>
      </c>
      <c r="AE407" s="57" t="n">
        <v>0</v>
      </c>
      <c r="AF407" s="57" t="n">
        <v>0</v>
      </c>
      <c r="AG407" s="57" t="n">
        <v>0</v>
      </c>
      <c r="AH407" s="57" t="n">
        <v>0</v>
      </c>
    </row>
    <row r="408">
      <c r="A408" s="56" t="inlineStr">
        <is>
          <t>2026-06-17</t>
        </is>
      </c>
      <c r="B408" s="56" t="inlineStr">
        <is>
          <t>2480320</t>
        </is>
      </c>
      <c r="C408" s="56" t="inlineStr">
        <is>
          <t>DS.2025.2302 14 E South St</t>
        </is>
      </c>
      <c r="D408" s="56" t="inlineStr">
        <is>
          <t>DW</t>
        </is>
      </c>
      <c r="E408" s="56" t="inlineStr">
        <is>
          <t>(Unassigned)</t>
        </is>
      </c>
      <c r="F408" s="56" t="inlineStr">
        <is>
          <t>Flores Drywall and Remodeling LLC</t>
        </is>
      </c>
      <c r="G408" s="56" t="inlineStr">
        <is>
          <t>ACTIVE</t>
        </is>
      </c>
      <c r="H408" s="57" t="n">
        <v>2309.51</v>
      </c>
      <c r="I408" s="57" t="n">
        <v>0</v>
      </c>
      <c r="J408" s="57" t="n">
        <v>2309.51</v>
      </c>
      <c r="K408" s="57" t="n">
        <v>2471.18</v>
      </c>
      <c r="L408" s="57" t="n">
        <v>0</v>
      </c>
      <c r="M408" s="57" t="n">
        <v>1804.75</v>
      </c>
      <c r="N408" s="58" t="n">
        <v>0</v>
      </c>
      <c r="O408" s="57" t="n">
        <v>0</v>
      </c>
      <c r="P408" s="57" t="n">
        <v>-2309.51</v>
      </c>
      <c r="Q408" s="57" t="n">
        <v>0</v>
      </c>
      <c r="R408" s="57" t="n">
        <v>2309.51</v>
      </c>
      <c r="S408" s="57" t="n">
        <v>0</v>
      </c>
      <c r="T408" s="57" t="n">
        <v>504.76</v>
      </c>
      <c r="U408" s="58" t="n">
        <v>0.2186</v>
      </c>
      <c r="V408" s="57" t="n">
        <v>2309.51</v>
      </c>
      <c r="W408" s="58" t="n">
        <v>1</v>
      </c>
      <c r="X408" s="58" t="n">
        <v>0</v>
      </c>
      <c r="Y408" s="58" t="n">
        <v>0</v>
      </c>
      <c r="Z408" s="57" t="n">
        <v>0</v>
      </c>
      <c r="AA408" s="57" t="n">
        <v>-161.67</v>
      </c>
      <c r="AB408" s="56" t="inlineStr">
        <is>
          <t>FALSE</t>
        </is>
      </c>
      <c r="AC408" s="56" t="inlineStr">
        <is>
          <t>FALSE</t>
        </is>
      </c>
      <c r="AD408" s="57" t="n">
        <v>1804.75</v>
      </c>
      <c r="AE408" s="57" t="n">
        <v>0</v>
      </c>
      <c r="AF408" s="57" t="n">
        <v>0</v>
      </c>
      <c r="AG408" s="57" t="n">
        <v>0</v>
      </c>
      <c r="AH408" s="57" t="n">
        <v>0</v>
      </c>
    </row>
    <row r="409">
      <c r="A409" s="56" t="inlineStr">
        <is>
          <t>2026-06-17</t>
        </is>
      </c>
      <c r="B409" s="56" t="inlineStr">
        <is>
          <t>2480064</t>
        </is>
      </c>
      <c r="C409" s="56" t="inlineStr">
        <is>
          <t>DS.2025.2301 Courtyards of Cielo Ranch 39</t>
        </is>
      </c>
      <c r="D409" s="56" t="inlineStr">
        <is>
          <t>DW</t>
        </is>
      </c>
      <c r="E409" s="56" t="inlineStr">
        <is>
          <t>(Unassigned)</t>
        </is>
      </c>
      <c r="F409" s="56" t="inlineStr">
        <is>
          <t>Big Dawg Drywall</t>
        </is>
      </c>
      <c r="G409" s="56" t="inlineStr">
        <is>
          <t>ACTIVE</t>
        </is>
      </c>
      <c r="H409" s="57" t="n">
        <v>6072.33</v>
      </c>
      <c r="I409" s="57" t="n">
        <v>0</v>
      </c>
      <c r="J409" s="57" t="n">
        <v>6072.33</v>
      </c>
      <c r="K409" s="57" t="n">
        <v>6497.39</v>
      </c>
      <c r="L409" s="57" t="n">
        <v>0</v>
      </c>
      <c r="M409" s="57" t="n">
        <v>4863.05</v>
      </c>
      <c r="N409" s="58" t="n">
        <v>0</v>
      </c>
      <c r="O409" s="57" t="n">
        <v>0</v>
      </c>
      <c r="P409" s="57" t="n">
        <v>-6072.33</v>
      </c>
      <c r="Q409" s="57" t="n">
        <v>0</v>
      </c>
      <c r="R409" s="57" t="n">
        <v>6072.33</v>
      </c>
      <c r="S409" s="57" t="n">
        <v>0</v>
      </c>
      <c r="T409" s="57" t="n">
        <v>1209.28</v>
      </c>
      <c r="U409" s="58" t="n">
        <v>0.1991</v>
      </c>
      <c r="V409" s="57" t="n">
        <v>6072.33</v>
      </c>
      <c r="W409" s="58" t="n">
        <v>1</v>
      </c>
      <c r="X409" s="58" t="n">
        <v>0</v>
      </c>
      <c r="Y409" s="58" t="n">
        <v>0</v>
      </c>
      <c r="Z409" s="57" t="n">
        <v>0</v>
      </c>
      <c r="AA409" s="57" t="n">
        <v>-425.06</v>
      </c>
      <c r="AB409" s="56" t="inlineStr">
        <is>
          <t>FALSE</t>
        </is>
      </c>
      <c r="AC409" s="56" t="inlineStr">
        <is>
          <t>FALSE</t>
        </is>
      </c>
      <c r="AD409" s="57" t="n">
        <v>4863.05</v>
      </c>
      <c r="AE409" s="57" t="n">
        <v>0</v>
      </c>
      <c r="AF409" s="57" t="n">
        <v>0</v>
      </c>
      <c r="AG409" s="57" t="n">
        <v>0</v>
      </c>
      <c r="AH409" s="57" t="n">
        <v>0</v>
      </c>
    </row>
    <row r="410">
      <c r="A410" s="56" t="inlineStr">
        <is>
          <t>2026-06-17</t>
        </is>
      </c>
      <c r="B410" s="56" t="inlineStr">
        <is>
          <t>2479977</t>
        </is>
      </c>
      <c r="C410" s="56" t="inlineStr">
        <is>
          <t>DS.2025.2300 Courtyards of Cielo Ranch 10</t>
        </is>
      </c>
      <c r="D410" s="56" t="inlineStr">
        <is>
          <t>DW</t>
        </is>
      </c>
      <c r="E410" s="56" t="inlineStr">
        <is>
          <t>(Unassigned)</t>
        </is>
      </c>
      <c r="F410" s="56" t="inlineStr">
        <is>
          <t>Big Dawg Drywall</t>
        </is>
      </c>
      <c r="G410" s="56" t="inlineStr">
        <is>
          <t>ACTIVE</t>
        </is>
      </c>
      <c r="H410" s="57" t="n">
        <v>6856.72</v>
      </c>
      <c r="I410" s="57" t="n">
        <v>0</v>
      </c>
      <c r="J410" s="57" t="n">
        <v>6856.72</v>
      </c>
      <c r="K410" s="57" t="n">
        <v>7336.69</v>
      </c>
      <c r="L410" s="57" t="n">
        <v>0</v>
      </c>
      <c r="M410" s="57" t="n">
        <v>5424.54</v>
      </c>
      <c r="N410" s="58" t="n">
        <v>0</v>
      </c>
      <c r="O410" s="57" t="n">
        <v>0</v>
      </c>
      <c r="P410" s="57" t="n">
        <v>-6856.72</v>
      </c>
      <c r="Q410" s="57" t="n">
        <v>0</v>
      </c>
      <c r="R410" s="57" t="n">
        <v>6856.72</v>
      </c>
      <c r="S410" s="57" t="n">
        <v>0</v>
      </c>
      <c r="T410" s="57" t="n">
        <v>1432.18</v>
      </c>
      <c r="U410" s="58" t="n">
        <v>0.2089</v>
      </c>
      <c r="V410" s="57" t="n">
        <v>6856.72</v>
      </c>
      <c r="W410" s="58" t="n">
        <v>1</v>
      </c>
      <c r="X410" s="58" t="n">
        <v>0</v>
      </c>
      <c r="Y410" s="58" t="n">
        <v>0</v>
      </c>
      <c r="Z410" s="57" t="n">
        <v>0</v>
      </c>
      <c r="AA410" s="57" t="n">
        <v>-479.97</v>
      </c>
      <c r="AB410" s="56" t="inlineStr">
        <is>
          <t>FALSE</t>
        </is>
      </c>
      <c r="AC410" s="56" t="inlineStr">
        <is>
          <t>FALSE</t>
        </is>
      </c>
      <c r="AD410" s="57" t="n">
        <v>5424.54</v>
      </c>
      <c r="AE410" s="57" t="n">
        <v>0</v>
      </c>
      <c r="AF410" s="57" t="n">
        <v>0</v>
      </c>
      <c r="AG410" s="57" t="n">
        <v>0</v>
      </c>
      <c r="AH410" s="57" t="n">
        <v>0</v>
      </c>
    </row>
    <row r="411">
      <c r="A411" s="56" t="inlineStr">
        <is>
          <t>2026-06-17</t>
        </is>
      </c>
      <c r="B411" s="56" t="inlineStr">
        <is>
          <t>2475602</t>
        </is>
      </c>
      <c r="C411" s="56" t="inlineStr">
        <is>
          <t>DS.2025.2299 4435 Strathmore Lane</t>
        </is>
      </c>
      <c r="D411" s="56" t="inlineStr">
        <is>
          <t>DW</t>
        </is>
      </c>
      <c r="E411" s="56" t="inlineStr">
        <is>
          <t>(Unassigned)</t>
        </is>
      </c>
      <c r="F411" s="56" t="inlineStr">
        <is>
          <t>Precision Dry Wall</t>
        </is>
      </c>
      <c r="G411" s="56" t="inlineStr">
        <is>
          <t>ACTIVE</t>
        </is>
      </c>
      <c r="H411" s="57" t="n">
        <v>7225.49</v>
      </c>
      <c r="I411" s="57" t="n">
        <v>0</v>
      </c>
      <c r="J411" s="57" t="n">
        <v>7225.49</v>
      </c>
      <c r="K411" s="57" t="n">
        <v>7731.27</v>
      </c>
      <c r="L411" s="57" t="n">
        <v>0</v>
      </c>
      <c r="M411" s="57" t="n">
        <v>5282.34</v>
      </c>
      <c r="N411" s="58" t="n">
        <v>0</v>
      </c>
      <c r="O411" s="57" t="n">
        <v>0</v>
      </c>
      <c r="P411" s="57" t="n">
        <v>-7225.49</v>
      </c>
      <c r="Q411" s="57" t="n">
        <v>0</v>
      </c>
      <c r="R411" s="57" t="n">
        <v>7225.49</v>
      </c>
      <c r="S411" s="57" t="n">
        <v>0</v>
      </c>
      <c r="T411" s="57" t="n">
        <v>1943.15</v>
      </c>
      <c r="U411" s="58" t="n">
        <v>0.2689</v>
      </c>
      <c r="V411" s="57" t="n">
        <v>7225.49</v>
      </c>
      <c r="W411" s="58" t="n">
        <v>1</v>
      </c>
      <c r="X411" s="58" t="n">
        <v>0</v>
      </c>
      <c r="Y411" s="58" t="n">
        <v>0</v>
      </c>
      <c r="Z411" s="57" t="n">
        <v>0</v>
      </c>
      <c r="AA411" s="57" t="n">
        <v>-505.78</v>
      </c>
      <c r="AB411" s="56" t="inlineStr">
        <is>
          <t>FALSE</t>
        </is>
      </c>
      <c r="AC411" s="56" t="inlineStr">
        <is>
          <t>FALSE</t>
        </is>
      </c>
      <c r="AD411" s="57" t="n">
        <v>5282.34</v>
      </c>
      <c r="AE411" s="57" t="n">
        <v>0</v>
      </c>
      <c r="AF411" s="57" t="n">
        <v>0</v>
      </c>
      <c r="AG411" s="57" t="n">
        <v>0</v>
      </c>
      <c r="AH411" s="57" t="n">
        <v>0</v>
      </c>
    </row>
    <row r="412">
      <c r="A412" s="56" t="inlineStr">
        <is>
          <t>2026-06-17</t>
        </is>
      </c>
      <c r="B412" s="56" t="inlineStr">
        <is>
          <t>2475493</t>
        </is>
      </c>
      <c r="C412" s="56" t="inlineStr">
        <is>
          <t>DS.2025.2298 GSI Bloomington</t>
        </is>
      </c>
      <c r="D412" s="56" t="inlineStr">
        <is>
          <t>DW</t>
        </is>
      </c>
      <c r="E412" s="56" t="inlineStr">
        <is>
          <t>(Unassigned)</t>
        </is>
      </c>
      <c r="F412" s="56" t="inlineStr">
        <is>
          <t>GSI - Gregory Scott Inabnit LLC</t>
        </is>
      </c>
      <c r="G412" s="56" t="inlineStr">
        <is>
          <t>ACTIVE</t>
        </is>
      </c>
      <c r="H412" s="57" t="n">
        <v>4863.39</v>
      </c>
      <c r="I412" s="57" t="n">
        <v>0</v>
      </c>
      <c r="J412" s="57" t="n">
        <v>4863.39</v>
      </c>
      <c r="K412" s="57" t="n">
        <v>5203.83</v>
      </c>
      <c r="L412" s="57" t="n">
        <v>0</v>
      </c>
      <c r="M412" s="57" t="n">
        <v>3703.67</v>
      </c>
      <c r="N412" s="58" t="n">
        <v>0</v>
      </c>
      <c r="O412" s="57" t="n">
        <v>0</v>
      </c>
      <c r="P412" s="57" t="n">
        <v>-4863.39</v>
      </c>
      <c r="Q412" s="57" t="n">
        <v>0</v>
      </c>
      <c r="R412" s="57" t="n">
        <v>4863.39</v>
      </c>
      <c r="S412" s="57" t="n">
        <v>0</v>
      </c>
      <c r="T412" s="57" t="n">
        <v>1159.72</v>
      </c>
      <c r="U412" s="58" t="n">
        <v>0.2385</v>
      </c>
      <c r="V412" s="57" t="n">
        <v>4863.39</v>
      </c>
      <c r="W412" s="58" t="n">
        <v>1</v>
      </c>
      <c r="X412" s="58" t="n">
        <v>0</v>
      </c>
      <c r="Y412" s="58" t="n">
        <v>0</v>
      </c>
      <c r="Z412" s="57" t="n">
        <v>0</v>
      </c>
      <c r="AA412" s="57" t="n">
        <v>-340.44</v>
      </c>
      <c r="AB412" s="56" t="inlineStr">
        <is>
          <t>FALSE</t>
        </is>
      </c>
      <c r="AC412" s="56" t="inlineStr">
        <is>
          <t>FALSE</t>
        </is>
      </c>
      <c r="AD412" s="57" t="n">
        <v>3703.67</v>
      </c>
      <c r="AE412" s="57" t="n">
        <v>0</v>
      </c>
      <c r="AF412" s="57" t="n">
        <v>0</v>
      </c>
      <c r="AG412" s="57" t="n">
        <v>0</v>
      </c>
      <c r="AH412" s="57" t="n">
        <v>0</v>
      </c>
    </row>
    <row r="413">
      <c r="A413" s="56" t="inlineStr">
        <is>
          <t>2026-06-17</t>
        </is>
      </c>
      <c r="B413" s="56" t="inlineStr">
        <is>
          <t>2475432</t>
        </is>
      </c>
      <c r="C413" s="56" t="inlineStr">
        <is>
          <t>DS.2025.2297 Courtyards of Cielo Ranch 28</t>
        </is>
      </c>
      <c r="D413" s="56" t="inlineStr">
        <is>
          <t>DW</t>
        </is>
      </c>
      <c r="E413" s="56" t="inlineStr">
        <is>
          <t>(Unassigned)</t>
        </is>
      </c>
      <c r="F413" s="56" t="inlineStr">
        <is>
          <t>Big Dawg Drywall</t>
        </is>
      </c>
      <c r="G413" s="56" t="inlineStr">
        <is>
          <t>ACTIVE</t>
        </is>
      </c>
      <c r="H413" s="57" t="n">
        <v>6856.72</v>
      </c>
      <c r="I413" s="57" t="n">
        <v>0</v>
      </c>
      <c r="J413" s="57" t="n">
        <v>6856.72</v>
      </c>
      <c r="K413" s="57" t="n">
        <v>7336.69</v>
      </c>
      <c r="L413" s="57" t="n">
        <v>0</v>
      </c>
      <c r="M413" s="57" t="n">
        <v>5424.54</v>
      </c>
      <c r="N413" s="58" t="n">
        <v>0</v>
      </c>
      <c r="O413" s="57" t="n">
        <v>0</v>
      </c>
      <c r="P413" s="57" t="n">
        <v>-6856.72</v>
      </c>
      <c r="Q413" s="57" t="n">
        <v>0</v>
      </c>
      <c r="R413" s="57" t="n">
        <v>6856.72</v>
      </c>
      <c r="S413" s="57" t="n">
        <v>0</v>
      </c>
      <c r="T413" s="57" t="n">
        <v>1432.18</v>
      </c>
      <c r="U413" s="58" t="n">
        <v>0.2089</v>
      </c>
      <c r="V413" s="57" t="n">
        <v>6856.72</v>
      </c>
      <c r="W413" s="58" t="n">
        <v>1</v>
      </c>
      <c r="X413" s="58" t="n">
        <v>0</v>
      </c>
      <c r="Y413" s="58" t="n">
        <v>0</v>
      </c>
      <c r="Z413" s="57" t="n">
        <v>0</v>
      </c>
      <c r="AA413" s="57" t="n">
        <v>-479.97</v>
      </c>
      <c r="AB413" s="56" t="inlineStr">
        <is>
          <t>FALSE</t>
        </is>
      </c>
      <c r="AC413" s="56" t="inlineStr">
        <is>
          <t>FALSE</t>
        </is>
      </c>
      <c r="AD413" s="57" t="n">
        <v>5424.54</v>
      </c>
      <c r="AE413" s="57" t="n">
        <v>0</v>
      </c>
      <c r="AF413" s="57" t="n">
        <v>0</v>
      </c>
      <c r="AG413" s="57" t="n">
        <v>0</v>
      </c>
      <c r="AH413" s="57" t="n">
        <v>0</v>
      </c>
    </row>
    <row r="414">
      <c r="A414" s="56" t="inlineStr">
        <is>
          <t>2026-06-17</t>
        </is>
      </c>
      <c r="B414" s="56" t="inlineStr">
        <is>
          <t>2472092</t>
        </is>
      </c>
      <c r="C414" s="56" t="inlineStr">
        <is>
          <t>2025.1031 Pita Way</t>
        </is>
      </c>
      <c r="D414" s="56" t="inlineStr">
        <is>
          <t>TI</t>
        </is>
      </c>
      <c r="E414" s="56" t="inlineStr">
        <is>
          <t>Spencer Anderson</t>
        </is>
      </c>
      <c r="F414" s="56" t="inlineStr">
        <is>
          <t>Kort Builders, Inc</t>
        </is>
      </c>
      <c r="G414" s="56" t="inlineStr">
        <is>
          <t>ACTIVE</t>
        </is>
      </c>
      <c r="H414" s="57" t="n">
        <v>9745</v>
      </c>
      <c r="I414" s="57" t="n">
        <v>2745</v>
      </c>
      <c r="J414" s="57" t="n">
        <v>9745</v>
      </c>
      <c r="K414" s="57" t="n">
        <v>9745</v>
      </c>
      <c r="L414" s="57" t="n">
        <v>3664.37</v>
      </c>
      <c r="M414" s="57" t="n">
        <v>3301.8</v>
      </c>
      <c r="N414" s="58" t="n">
        <v>0.9011</v>
      </c>
      <c r="O414" s="57" t="n">
        <v>8781.219999999999</v>
      </c>
      <c r="P414" s="57" t="n">
        <v>-963.78</v>
      </c>
      <c r="Q414" s="57" t="n">
        <v>-964.22</v>
      </c>
      <c r="R414" s="57" t="n">
        <v>963.78</v>
      </c>
      <c r="S414" s="57" t="n">
        <v>0</v>
      </c>
      <c r="T414" s="57" t="n">
        <v>6443.2</v>
      </c>
      <c r="U414" s="58" t="n">
        <v>0.6612</v>
      </c>
      <c r="V414" s="57" t="n">
        <v>6080.63</v>
      </c>
      <c r="W414" s="58" t="n">
        <v>0.624</v>
      </c>
      <c r="X414" s="58" t="n">
        <v>0.624</v>
      </c>
      <c r="Y414" s="58" t="n">
        <v>-0.0372</v>
      </c>
      <c r="Z414" s="57" t="n">
        <v>0</v>
      </c>
      <c r="AA414" s="57" t="n">
        <v>0</v>
      </c>
      <c r="AB414" s="56" t="inlineStr">
        <is>
          <t>TRUE</t>
        </is>
      </c>
      <c r="AC414" s="56" t="inlineStr">
        <is>
          <t>TRUE</t>
        </is>
      </c>
      <c r="AD414" s="57" t="n">
        <v>1613.19</v>
      </c>
      <c r="AE414" s="57" t="n">
        <v>1688.61</v>
      </c>
      <c r="AF414" s="57" t="n">
        <v>0</v>
      </c>
      <c r="AG414" s="57" t="n">
        <v>0</v>
      </c>
      <c r="AH414" s="57" t="n">
        <v>0</v>
      </c>
    </row>
    <row r="415">
      <c r="A415" s="56" t="inlineStr">
        <is>
          <t>2026-06-17</t>
        </is>
      </c>
      <c r="B415" s="56" t="inlineStr">
        <is>
          <t>2469780</t>
        </is>
      </c>
      <c r="C415" s="56" t="inlineStr">
        <is>
          <t>DS.2025.2296 4380 Strathmore Lane</t>
        </is>
      </c>
      <c r="D415" s="56" t="inlineStr">
        <is>
          <t>DW</t>
        </is>
      </c>
      <c r="E415" s="56" t="inlineStr">
        <is>
          <t>(Unassigned)</t>
        </is>
      </c>
      <c r="F415" s="56" t="inlineStr">
        <is>
          <t>Precision Dry Wall</t>
        </is>
      </c>
      <c r="G415" s="56" t="inlineStr">
        <is>
          <t>ACTIVE</t>
        </is>
      </c>
      <c r="H415" s="57" t="n">
        <v>9268.08</v>
      </c>
      <c r="I415" s="57" t="n">
        <v>0</v>
      </c>
      <c r="J415" s="57" t="n">
        <v>9268.08</v>
      </c>
      <c r="K415" s="57" t="n">
        <v>10216.85</v>
      </c>
      <c r="L415" s="57" t="n">
        <v>0</v>
      </c>
      <c r="M415" s="57" t="n">
        <v>5329.28</v>
      </c>
      <c r="N415" s="58" t="n">
        <v>0</v>
      </c>
      <c r="O415" s="57" t="n">
        <v>0</v>
      </c>
      <c r="P415" s="57" t="n">
        <v>-9268.08</v>
      </c>
      <c r="Q415" s="57" t="n">
        <v>0</v>
      </c>
      <c r="R415" s="57" t="n">
        <v>9268.08</v>
      </c>
      <c r="S415" s="57" t="n">
        <v>0</v>
      </c>
      <c r="T415" s="57" t="n">
        <v>3938.8</v>
      </c>
      <c r="U415" s="58" t="n">
        <v>0.425</v>
      </c>
      <c r="V415" s="57" t="n">
        <v>9268.08</v>
      </c>
      <c r="W415" s="58" t="n">
        <v>1</v>
      </c>
      <c r="X415" s="58" t="n">
        <v>0</v>
      </c>
      <c r="Y415" s="58" t="n">
        <v>0</v>
      </c>
      <c r="Z415" s="57" t="n">
        <v>0</v>
      </c>
      <c r="AA415" s="57" t="n">
        <v>-948.77</v>
      </c>
      <c r="AB415" s="56" t="inlineStr">
        <is>
          <t>FALSE</t>
        </is>
      </c>
      <c r="AC415" s="56" t="inlineStr">
        <is>
          <t>FALSE</t>
        </is>
      </c>
      <c r="AD415" s="57" t="n">
        <v>5329.28</v>
      </c>
      <c r="AE415" s="57" t="n">
        <v>0</v>
      </c>
      <c r="AF415" s="57" t="n">
        <v>0</v>
      </c>
      <c r="AG415" s="57" t="n">
        <v>0</v>
      </c>
      <c r="AH415" s="57" t="n">
        <v>0</v>
      </c>
    </row>
    <row r="416">
      <c r="A416" s="56" t="inlineStr">
        <is>
          <t>2026-06-17</t>
        </is>
      </c>
      <c r="B416" s="56" t="inlineStr">
        <is>
          <t>2469724</t>
        </is>
      </c>
      <c r="C416" s="56" t="inlineStr">
        <is>
          <t>DS.2025.2295 Courtyards of Cielo Ranch 35</t>
        </is>
      </c>
      <c r="D416" s="56" t="inlineStr">
        <is>
          <t>DW</t>
        </is>
      </c>
      <c r="E416" s="56" t="inlineStr">
        <is>
          <t>(Unassigned)</t>
        </is>
      </c>
      <c r="F416" s="56" t="inlineStr">
        <is>
          <t>Big Dawg Drywall</t>
        </is>
      </c>
      <c r="G416" s="56" t="inlineStr">
        <is>
          <t>ACTIVE</t>
        </is>
      </c>
      <c r="H416" s="57" t="n">
        <v>5327.87</v>
      </c>
      <c r="I416" s="57" t="n">
        <v>0</v>
      </c>
      <c r="J416" s="57" t="n">
        <v>5327.87</v>
      </c>
      <c r="K416" s="57" t="n">
        <v>5700.82</v>
      </c>
      <c r="L416" s="57" t="n">
        <v>0</v>
      </c>
      <c r="M416" s="57" t="n">
        <v>4254.91</v>
      </c>
      <c r="N416" s="58" t="n">
        <v>0</v>
      </c>
      <c r="O416" s="57" t="n">
        <v>0</v>
      </c>
      <c r="P416" s="57" t="n">
        <v>-5327.87</v>
      </c>
      <c r="Q416" s="57" t="n">
        <v>0</v>
      </c>
      <c r="R416" s="57" t="n">
        <v>5327.87</v>
      </c>
      <c r="S416" s="57" t="n">
        <v>0</v>
      </c>
      <c r="T416" s="57" t="n">
        <v>1072.96</v>
      </c>
      <c r="U416" s="58" t="n">
        <v>0.2014</v>
      </c>
      <c r="V416" s="57" t="n">
        <v>5327.87</v>
      </c>
      <c r="W416" s="58" t="n">
        <v>1</v>
      </c>
      <c r="X416" s="58" t="n">
        <v>0</v>
      </c>
      <c r="Y416" s="58" t="n">
        <v>0</v>
      </c>
      <c r="Z416" s="57" t="n">
        <v>0</v>
      </c>
      <c r="AA416" s="57" t="n">
        <v>-372.95</v>
      </c>
      <c r="AB416" s="56" t="inlineStr">
        <is>
          <t>FALSE</t>
        </is>
      </c>
      <c r="AC416" s="56" t="inlineStr">
        <is>
          <t>FALSE</t>
        </is>
      </c>
      <c r="AD416" s="57" t="n">
        <v>4254.91</v>
      </c>
      <c r="AE416" s="57" t="n">
        <v>0</v>
      </c>
      <c r="AF416" s="57" t="n">
        <v>0</v>
      </c>
      <c r="AG416" s="57" t="n">
        <v>0</v>
      </c>
      <c r="AH416" s="57" t="n">
        <v>0</v>
      </c>
    </row>
    <row r="417">
      <c r="A417" s="56" t="inlineStr">
        <is>
          <t>2026-06-17</t>
        </is>
      </c>
      <c r="B417" s="56" t="inlineStr">
        <is>
          <t>2469631</t>
        </is>
      </c>
      <c r="C417" s="56" t="inlineStr">
        <is>
          <t>DS.2025.2294 Courtyards of Cielo Ranch 9</t>
        </is>
      </c>
      <c r="D417" s="56" t="inlineStr">
        <is>
          <t>DW</t>
        </is>
      </c>
      <c r="E417" s="56" t="inlineStr">
        <is>
          <t>(Unassigned)</t>
        </is>
      </c>
      <c r="F417" s="56" t="inlineStr">
        <is>
          <t>Big Dawg Drywall</t>
        </is>
      </c>
      <c r="G417" s="56" t="inlineStr">
        <is>
          <t>ACTIVE</t>
        </is>
      </c>
      <c r="H417" s="57" t="n">
        <v>5327.87</v>
      </c>
      <c r="I417" s="57" t="n">
        <v>0</v>
      </c>
      <c r="J417" s="57" t="n">
        <v>5327.87</v>
      </c>
      <c r="K417" s="57" t="n">
        <v>5700.82</v>
      </c>
      <c r="L417" s="57" t="n">
        <v>0</v>
      </c>
      <c r="M417" s="57" t="n">
        <v>4254.91</v>
      </c>
      <c r="N417" s="58" t="n">
        <v>0</v>
      </c>
      <c r="O417" s="57" t="n">
        <v>0</v>
      </c>
      <c r="P417" s="57" t="n">
        <v>-5327.87</v>
      </c>
      <c r="Q417" s="57" t="n">
        <v>0</v>
      </c>
      <c r="R417" s="57" t="n">
        <v>5327.87</v>
      </c>
      <c r="S417" s="57" t="n">
        <v>0</v>
      </c>
      <c r="T417" s="57" t="n">
        <v>1072.96</v>
      </c>
      <c r="U417" s="58" t="n">
        <v>0.2014</v>
      </c>
      <c r="V417" s="57" t="n">
        <v>5327.87</v>
      </c>
      <c r="W417" s="58" t="n">
        <v>1</v>
      </c>
      <c r="X417" s="58" t="n">
        <v>0</v>
      </c>
      <c r="Y417" s="58" t="n">
        <v>0</v>
      </c>
      <c r="Z417" s="57" t="n">
        <v>0</v>
      </c>
      <c r="AA417" s="57" t="n">
        <v>-372.95</v>
      </c>
      <c r="AB417" s="56" t="inlineStr">
        <is>
          <t>FALSE</t>
        </is>
      </c>
      <c r="AC417" s="56" t="inlineStr">
        <is>
          <t>FALSE</t>
        </is>
      </c>
      <c r="AD417" s="57" t="n">
        <v>4254.91</v>
      </c>
      <c r="AE417" s="57" t="n">
        <v>0</v>
      </c>
      <c r="AF417" s="57" t="n">
        <v>0</v>
      </c>
      <c r="AG417" s="57" t="n">
        <v>0</v>
      </c>
      <c r="AH417" s="57" t="n">
        <v>0</v>
      </c>
    </row>
    <row r="418">
      <c r="A418" s="56" t="inlineStr">
        <is>
          <t>2026-06-17</t>
        </is>
      </c>
      <c r="B418" s="56" t="inlineStr">
        <is>
          <t>2468636</t>
        </is>
      </c>
      <c r="C418" s="56" t="inlineStr">
        <is>
          <t>DS.2025.2293 1248 Chatham Ridge Court</t>
        </is>
      </c>
      <c r="D418" s="56" t="inlineStr">
        <is>
          <t>DW</t>
        </is>
      </c>
      <c r="E418" s="56" t="inlineStr">
        <is>
          <t>(Unassigned)</t>
        </is>
      </c>
      <c r="F418" s="56" t="inlineStr">
        <is>
          <t>Pro Fix Drywaller, LLC</t>
        </is>
      </c>
      <c r="G418" s="56" t="inlineStr">
        <is>
          <t>ACTIVE</t>
        </is>
      </c>
      <c r="H418" s="57" t="n">
        <v>1007.06</v>
      </c>
      <c r="I418" s="57" t="n">
        <v>0</v>
      </c>
      <c r="J418" s="57" t="n">
        <v>1007.06</v>
      </c>
      <c r="K418" s="57" t="n">
        <v>1077.55</v>
      </c>
      <c r="L418" s="57" t="n">
        <v>0</v>
      </c>
      <c r="M418" s="57" t="n">
        <v>816.8</v>
      </c>
      <c r="N418" s="58" t="n">
        <v>0</v>
      </c>
      <c r="O418" s="57" t="n">
        <v>0</v>
      </c>
      <c r="P418" s="57" t="n">
        <v>-1007.06</v>
      </c>
      <c r="Q418" s="57" t="n">
        <v>0</v>
      </c>
      <c r="R418" s="57" t="n">
        <v>1007.06</v>
      </c>
      <c r="S418" s="57" t="n">
        <v>0</v>
      </c>
      <c r="T418" s="57" t="n">
        <v>190.26</v>
      </c>
      <c r="U418" s="58" t="n">
        <v>0.1889</v>
      </c>
      <c r="V418" s="57" t="n">
        <v>1007.06</v>
      </c>
      <c r="W418" s="58" t="n">
        <v>1</v>
      </c>
      <c r="X418" s="58" t="n">
        <v>0</v>
      </c>
      <c r="Y418" s="58" t="n">
        <v>0</v>
      </c>
      <c r="Z418" s="57" t="n">
        <v>0</v>
      </c>
      <c r="AA418" s="57" t="n">
        <v>-70.48999999999999</v>
      </c>
      <c r="AB418" s="56" t="inlineStr">
        <is>
          <t>FALSE</t>
        </is>
      </c>
      <c r="AC418" s="56" t="inlineStr">
        <is>
          <t>FALSE</t>
        </is>
      </c>
      <c r="AD418" s="57" t="n">
        <v>816.8</v>
      </c>
      <c r="AE418" s="57" t="n">
        <v>0</v>
      </c>
      <c r="AF418" s="57" t="n">
        <v>0</v>
      </c>
      <c r="AG418" s="57" t="n">
        <v>0</v>
      </c>
      <c r="AH418" s="57" t="n">
        <v>0</v>
      </c>
    </row>
    <row r="419">
      <c r="A419" s="56" t="inlineStr">
        <is>
          <t>2026-06-17</t>
        </is>
      </c>
      <c r="B419" s="56" t="inlineStr">
        <is>
          <t>2468607</t>
        </is>
      </c>
      <c r="C419" s="56" t="inlineStr">
        <is>
          <t>DS.2025.2292 Courtyards of Russell Oaks 121</t>
        </is>
      </c>
      <c r="D419" s="56" t="inlineStr">
        <is>
          <t>DW</t>
        </is>
      </c>
      <c r="E419" s="56" t="inlineStr">
        <is>
          <t>(Unassigned)</t>
        </is>
      </c>
      <c r="F419" s="56" t="inlineStr">
        <is>
          <t>Big Dawg Drywall</t>
        </is>
      </c>
      <c r="G419" s="56" t="inlineStr">
        <is>
          <t>ACTIVE</t>
        </is>
      </c>
      <c r="H419" s="57" t="n">
        <v>5357.27</v>
      </c>
      <c r="I419" s="57" t="n">
        <v>507.6</v>
      </c>
      <c r="J419" s="57" t="n">
        <v>5357.27</v>
      </c>
      <c r="K419" s="57" t="n">
        <v>5732.28</v>
      </c>
      <c r="L419" s="57" t="n">
        <v>0</v>
      </c>
      <c r="M419" s="57" t="n">
        <v>4292.77</v>
      </c>
      <c r="N419" s="58" t="n">
        <v>0</v>
      </c>
      <c r="O419" s="57" t="n">
        <v>0</v>
      </c>
      <c r="P419" s="57" t="n">
        <v>-5357.27</v>
      </c>
      <c r="Q419" s="57" t="n">
        <v>0</v>
      </c>
      <c r="R419" s="57" t="n">
        <v>5357.27</v>
      </c>
      <c r="S419" s="57" t="n">
        <v>0</v>
      </c>
      <c r="T419" s="57" t="n">
        <v>1064.5</v>
      </c>
      <c r="U419" s="58" t="n">
        <v>0.1987</v>
      </c>
      <c r="V419" s="57" t="n">
        <v>5357.27</v>
      </c>
      <c r="W419" s="58" t="n">
        <v>1</v>
      </c>
      <c r="X419" s="58" t="n">
        <v>0</v>
      </c>
      <c r="Y419" s="58" t="n">
        <v>0</v>
      </c>
      <c r="Z419" s="57" t="n">
        <v>0</v>
      </c>
      <c r="AA419" s="57" t="n">
        <v>-375.01</v>
      </c>
      <c r="AB419" s="56" t="inlineStr">
        <is>
          <t>FALSE</t>
        </is>
      </c>
      <c r="AC419" s="56" t="inlineStr">
        <is>
          <t>FALSE</t>
        </is>
      </c>
      <c r="AD419" s="57" t="n">
        <v>4292.77</v>
      </c>
      <c r="AE419" s="57" t="n">
        <v>0</v>
      </c>
      <c r="AF419" s="57" t="n">
        <v>0</v>
      </c>
      <c r="AG419" s="57" t="n">
        <v>0</v>
      </c>
      <c r="AH419" s="57" t="n">
        <v>0</v>
      </c>
    </row>
    <row r="420">
      <c r="A420" s="56" t="inlineStr">
        <is>
          <t>2026-06-17</t>
        </is>
      </c>
      <c r="B420" s="56" t="inlineStr">
        <is>
          <t>2468570</t>
        </is>
      </c>
      <c r="C420" s="56" t="inlineStr">
        <is>
          <t>DS.2025.2291 Courtyards of Russell Oaks 63</t>
        </is>
      </c>
      <c r="D420" s="56" t="inlineStr">
        <is>
          <t>DW</t>
        </is>
      </c>
      <c r="E420" s="56" t="inlineStr">
        <is>
          <t>(Unassigned)</t>
        </is>
      </c>
      <c r="F420" s="56" t="inlineStr">
        <is>
          <t>Big Dawg Drywall</t>
        </is>
      </c>
      <c r="G420" s="56" t="inlineStr">
        <is>
          <t>ACTIVE</t>
        </is>
      </c>
      <c r="H420" s="57" t="n">
        <v>6794.73</v>
      </c>
      <c r="I420" s="57" t="n">
        <v>0</v>
      </c>
      <c r="J420" s="57" t="n">
        <v>6794.73</v>
      </c>
      <c r="K420" s="57" t="n">
        <v>7270.36</v>
      </c>
      <c r="L420" s="57" t="n">
        <v>0</v>
      </c>
      <c r="M420" s="57" t="n">
        <v>5376.04</v>
      </c>
      <c r="N420" s="58" t="n">
        <v>0</v>
      </c>
      <c r="O420" s="57" t="n">
        <v>0</v>
      </c>
      <c r="P420" s="57" t="n">
        <v>-6794.73</v>
      </c>
      <c r="Q420" s="57" t="n">
        <v>0</v>
      </c>
      <c r="R420" s="57" t="n">
        <v>6794.73</v>
      </c>
      <c r="S420" s="57" t="n">
        <v>0</v>
      </c>
      <c r="T420" s="57" t="n">
        <v>1418.69</v>
      </c>
      <c r="U420" s="58" t="n">
        <v>0.2088</v>
      </c>
      <c r="V420" s="57" t="n">
        <v>6794.73</v>
      </c>
      <c r="W420" s="58" t="n">
        <v>1</v>
      </c>
      <c r="X420" s="58" t="n">
        <v>0</v>
      </c>
      <c r="Y420" s="58" t="n">
        <v>0</v>
      </c>
      <c r="Z420" s="57" t="n">
        <v>0</v>
      </c>
      <c r="AA420" s="57" t="n">
        <v>-475.63</v>
      </c>
      <c r="AB420" s="56" t="inlineStr">
        <is>
          <t>FALSE</t>
        </is>
      </c>
      <c r="AC420" s="56" t="inlineStr">
        <is>
          <t>FALSE</t>
        </is>
      </c>
      <c r="AD420" s="57" t="n">
        <v>5376.04</v>
      </c>
      <c r="AE420" s="57" t="n">
        <v>0</v>
      </c>
      <c r="AF420" s="57" t="n">
        <v>0</v>
      </c>
      <c r="AG420" s="57" t="n">
        <v>0</v>
      </c>
      <c r="AH420" s="57" t="n">
        <v>0</v>
      </c>
    </row>
    <row r="421">
      <c r="A421" s="56" t="inlineStr">
        <is>
          <t>2026-06-17</t>
        </is>
      </c>
      <c r="B421" s="56" t="inlineStr">
        <is>
          <t>2468525</t>
        </is>
      </c>
      <c r="C421" s="56" t="inlineStr">
        <is>
          <t>DS.2025.2290 Walnut Town Homes</t>
        </is>
      </c>
      <c r="D421" s="56" t="inlineStr">
        <is>
          <t>DW</t>
        </is>
      </c>
      <c r="E421" s="56" t="inlineStr">
        <is>
          <t>(Unassigned)</t>
        </is>
      </c>
      <c r="F421" s="56" t="inlineStr">
        <is>
          <t>Flores Drywall and Remodeling LLC</t>
        </is>
      </c>
      <c r="G421" s="56" t="inlineStr">
        <is>
          <t>ACTIVE</t>
        </is>
      </c>
      <c r="H421" s="57" t="n">
        <v>4911.52</v>
      </c>
      <c r="I421" s="57" t="n">
        <v>0</v>
      </c>
      <c r="J421" s="57" t="n">
        <v>4911.52</v>
      </c>
      <c r="K421" s="57" t="n">
        <v>5255.33</v>
      </c>
      <c r="L421" s="57" t="n">
        <v>0</v>
      </c>
      <c r="M421" s="57" t="n">
        <v>4231.46</v>
      </c>
      <c r="N421" s="58" t="n">
        <v>0</v>
      </c>
      <c r="O421" s="57" t="n">
        <v>0</v>
      </c>
      <c r="P421" s="57" t="n">
        <v>-4911.52</v>
      </c>
      <c r="Q421" s="57" t="n">
        <v>0</v>
      </c>
      <c r="R421" s="57" t="n">
        <v>4911.52</v>
      </c>
      <c r="S421" s="57" t="n">
        <v>0</v>
      </c>
      <c r="T421" s="57" t="n">
        <v>680.0599999999999</v>
      </c>
      <c r="U421" s="58" t="n">
        <v>0.1385</v>
      </c>
      <c r="V421" s="57" t="n">
        <v>4911.52</v>
      </c>
      <c r="W421" s="58" t="n">
        <v>1</v>
      </c>
      <c r="X421" s="58" t="n">
        <v>0</v>
      </c>
      <c r="Y421" s="58" t="n">
        <v>0</v>
      </c>
      <c r="Z421" s="57" t="n">
        <v>0</v>
      </c>
      <c r="AA421" s="57" t="n">
        <v>-343.81</v>
      </c>
      <c r="AB421" s="56" t="inlineStr">
        <is>
          <t>FALSE</t>
        </is>
      </c>
      <c r="AC421" s="56" t="inlineStr">
        <is>
          <t>FALSE</t>
        </is>
      </c>
      <c r="AD421" s="57" t="n">
        <v>4231.46</v>
      </c>
      <c r="AE421" s="57" t="n">
        <v>0</v>
      </c>
      <c r="AF421" s="57" t="n">
        <v>0</v>
      </c>
      <c r="AG421" s="57" t="n">
        <v>0</v>
      </c>
      <c r="AH421" s="57" t="n">
        <v>0</v>
      </c>
    </row>
    <row r="422">
      <c r="A422" s="56" t="inlineStr">
        <is>
          <t>2026-06-17</t>
        </is>
      </c>
      <c r="B422" s="56" t="inlineStr">
        <is>
          <t>2468496</t>
        </is>
      </c>
      <c r="C422" s="56" t="inlineStr">
        <is>
          <t>DS.2025.2289 Courtyards of Westfield 118</t>
        </is>
      </c>
      <c r="D422" s="56" t="inlineStr">
        <is>
          <t>DW</t>
        </is>
      </c>
      <c r="E422" s="56" t="inlineStr">
        <is>
          <t>(Unassigned)</t>
        </is>
      </c>
      <c r="F422" s="56" t="inlineStr">
        <is>
          <t>Big Dawg Drywall</t>
        </is>
      </c>
      <c r="G422" s="56" t="inlineStr">
        <is>
          <t>ACTIVE</t>
        </is>
      </c>
      <c r="H422" s="57" t="n">
        <v>6689.88</v>
      </c>
      <c r="I422" s="57" t="n">
        <v>0</v>
      </c>
      <c r="J422" s="57" t="n">
        <v>6689.88</v>
      </c>
      <c r="K422" s="57" t="n">
        <v>7158.17</v>
      </c>
      <c r="L422" s="57" t="n">
        <v>0</v>
      </c>
      <c r="M422" s="57" t="n">
        <v>5278.62</v>
      </c>
      <c r="N422" s="58" t="n">
        <v>0</v>
      </c>
      <c r="O422" s="57" t="n">
        <v>0</v>
      </c>
      <c r="P422" s="57" t="n">
        <v>-6689.88</v>
      </c>
      <c r="Q422" s="57" t="n">
        <v>0</v>
      </c>
      <c r="R422" s="57" t="n">
        <v>6689.88</v>
      </c>
      <c r="S422" s="57" t="n">
        <v>0</v>
      </c>
      <c r="T422" s="57" t="n">
        <v>1411.26</v>
      </c>
      <c r="U422" s="58" t="n">
        <v>0.211</v>
      </c>
      <c r="V422" s="57" t="n">
        <v>6689.88</v>
      </c>
      <c r="W422" s="58" t="n">
        <v>1</v>
      </c>
      <c r="X422" s="58" t="n">
        <v>0</v>
      </c>
      <c r="Y422" s="58" t="n">
        <v>0</v>
      </c>
      <c r="Z422" s="57" t="n">
        <v>0</v>
      </c>
      <c r="AA422" s="57" t="n">
        <v>-468.29</v>
      </c>
      <c r="AB422" s="56" t="inlineStr">
        <is>
          <t>FALSE</t>
        </is>
      </c>
      <c r="AC422" s="56" t="inlineStr">
        <is>
          <t>FALSE</t>
        </is>
      </c>
      <c r="AD422" s="57" t="n">
        <v>5278.62</v>
      </c>
      <c r="AE422" s="57" t="n">
        <v>0</v>
      </c>
      <c r="AF422" s="57" t="n">
        <v>0</v>
      </c>
      <c r="AG422" s="57" t="n">
        <v>0</v>
      </c>
      <c r="AH422" s="57" t="n">
        <v>0</v>
      </c>
    </row>
    <row r="423">
      <c r="A423" s="56" t="inlineStr">
        <is>
          <t>2026-06-17</t>
        </is>
      </c>
      <c r="B423" s="56" t="inlineStr">
        <is>
          <t>2463881</t>
        </is>
      </c>
      <c r="C423" s="56" t="inlineStr">
        <is>
          <t>DS.2025.2288 Courtyards of Russell Oaks 120</t>
        </is>
      </c>
      <c r="D423" s="56" t="inlineStr">
        <is>
          <t>DW</t>
        </is>
      </c>
      <c r="E423" s="56" t="inlineStr">
        <is>
          <t>(Unassigned)</t>
        </is>
      </c>
      <c r="F423" s="56" t="inlineStr">
        <is>
          <t>Big Dawg Drywall</t>
        </is>
      </c>
      <c r="G423" s="56" t="inlineStr">
        <is>
          <t>ACTIVE</t>
        </is>
      </c>
      <c r="H423" s="57" t="n">
        <v>7550.89</v>
      </c>
      <c r="I423" s="57" t="n">
        <v>0</v>
      </c>
      <c r="J423" s="57" t="n">
        <v>7550.89</v>
      </c>
      <c r="K423" s="57" t="n">
        <v>8079.45</v>
      </c>
      <c r="L423" s="57" t="n">
        <v>0</v>
      </c>
      <c r="M423" s="57" t="n">
        <v>5977.12</v>
      </c>
      <c r="N423" s="58" t="n">
        <v>0</v>
      </c>
      <c r="O423" s="57" t="n">
        <v>0</v>
      </c>
      <c r="P423" s="57" t="n">
        <v>-7550.89</v>
      </c>
      <c r="Q423" s="57" t="n">
        <v>0</v>
      </c>
      <c r="R423" s="57" t="n">
        <v>7550.89</v>
      </c>
      <c r="S423" s="57" t="n">
        <v>0</v>
      </c>
      <c r="T423" s="57" t="n">
        <v>1573.77</v>
      </c>
      <c r="U423" s="58" t="n">
        <v>0.2084</v>
      </c>
      <c r="V423" s="57" t="n">
        <v>7550.89</v>
      </c>
      <c r="W423" s="58" t="n">
        <v>1</v>
      </c>
      <c r="X423" s="58" t="n">
        <v>0</v>
      </c>
      <c r="Y423" s="58" t="n">
        <v>0</v>
      </c>
      <c r="Z423" s="57" t="n">
        <v>0</v>
      </c>
      <c r="AA423" s="57" t="n">
        <v>-528.5599999999999</v>
      </c>
      <c r="AB423" s="56" t="inlineStr">
        <is>
          <t>FALSE</t>
        </is>
      </c>
      <c r="AC423" s="56" t="inlineStr">
        <is>
          <t>FALSE</t>
        </is>
      </c>
      <c r="AD423" s="57" t="n">
        <v>5977.12</v>
      </c>
      <c r="AE423" s="57" t="n">
        <v>0</v>
      </c>
      <c r="AF423" s="57" t="n">
        <v>0</v>
      </c>
      <c r="AG423" s="57" t="n">
        <v>0</v>
      </c>
      <c r="AH423" s="57" t="n">
        <v>0</v>
      </c>
    </row>
    <row r="424">
      <c r="A424" s="56" t="inlineStr">
        <is>
          <t>2026-06-17</t>
        </is>
      </c>
      <c r="B424" s="56" t="inlineStr">
        <is>
          <t>2459666</t>
        </is>
      </c>
      <c r="C424" s="56" t="inlineStr">
        <is>
          <t>DS.2025.2286 Courtyards of Westfield 117</t>
        </is>
      </c>
      <c r="D424" s="56" t="inlineStr">
        <is>
          <t>DW</t>
        </is>
      </c>
      <c r="E424" s="56" t="inlineStr">
        <is>
          <t>(Unassigned)</t>
        </is>
      </c>
      <c r="F424" s="56" t="inlineStr">
        <is>
          <t>Big Dawg Drywall</t>
        </is>
      </c>
      <c r="G424" s="56" t="inlineStr">
        <is>
          <t>ACTIVE</t>
        </is>
      </c>
      <c r="H424" s="57" t="n">
        <v>5628.92</v>
      </c>
      <c r="I424" s="57" t="n">
        <v>0</v>
      </c>
      <c r="J424" s="57" t="n">
        <v>5628.92</v>
      </c>
      <c r="K424" s="57" t="n">
        <v>6022.94</v>
      </c>
      <c r="L424" s="57" t="n">
        <v>0</v>
      </c>
      <c r="M424" s="57" t="n">
        <v>4174.16</v>
      </c>
      <c r="N424" s="58" t="n">
        <v>0</v>
      </c>
      <c r="O424" s="57" t="n">
        <v>0</v>
      </c>
      <c r="P424" s="57" t="n">
        <v>-5628.92</v>
      </c>
      <c r="Q424" s="57" t="n">
        <v>0</v>
      </c>
      <c r="R424" s="57" t="n">
        <v>5628.92</v>
      </c>
      <c r="S424" s="57" t="n">
        <v>0</v>
      </c>
      <c r="T424" s="57" t="n">
        <v>1454.76</v>
      </c>
      <c r="U424" s="58" t="n">
        <v>0.2584</v>
      </c>
      <c r="V424" s="57" t="n">
        <v>5628.92</v>
      </c>
      <c r="W424" s="58" t="n">
        <v>1</v>
      </c>
      <c r="X424" s="58" t="n">
        <v>0</v>
      </c>
      <c r="Y424" s="58" t="n">
        <v>0</v>
      </c>
      <c r="Z424" s="57" t="n">
        <v>0</v>
      </c>
      <c r="AA424" s="57" t="n">
        <v>-394.02</v>
      </c>
      <c r="AB424" s="56" t="inlineStr">
        <is>
          <t>FALSE</t>
        </is>
      </c>
      <c r="AC424" s="56" t="inlineStr">
        <is>
          <t>FALSE</t>
        </is>
      </c>
      <c r="AD424" s="57" t="n">
        <v>4174.16</v>
      </c>
      <c r="AE424" s="57" t="n">
        <v>0</v>
      </c>
      <c r="AF424" s="57" t="n">
        <v>0</v>
      </c>
      <c r="AG424" s="57" t="n">
        <v>0</v>
      </c>
      <c r="AH424" s="57" t="n">
        <v>0</v>
      </c>
    </row>
    <row r="425">
      <c r="A425" s="56" t="inlineStr">
        <is>
          <t>2026-06-17</t>
        </is>
      </c>
      <c r="B425" s="56" t="inlineStr">
        <is>
          <t>2453104</t>
        </is>
      </c>
      <c r="C425" s="56" t="inlineStr">
        <is>
          <t>DS.2025.2285 GSI - Rushville 5</t>
        </is>
      </c>
      <c r="D425" s="56" t="inlineStr">
        <is>
          <t>DW</t>
        </is>
      </c>
      <c r="E425" s="56" t="inlineStr">
        <is>
          <t>(Unassigned)</t>
        </is>
      </c>
      <c r="F425" s="56" t="inlineStr">
        <is>
          <t>GSI - Gregory Scott Inabnit LLC</t>
        </is>
      </c>
      <c r="G425" s="56" t="inlineStr">
        <is>
          <t>ACTIVE</t>
        </is>
      </c>
      <c r="H425" s="57" t="n">
        <v>4186.2</v>
      </c>
      <c r="I425" s="57" t="n">
        <v>0</v>
      </c>
      <c r="J425" s="57" t="n">
        <v>4186.2</v>
      </c>
      <c r="K425" s="57" t="n">
        <v>4479.23</v>
      </c>
      <c r="L425" s="57" t="n">
        <v>0</v>
      </c>
      <c r="M425" s="57" t="n">
        <v>2991.68</v>
      </c>
      <c r="N425" s="58" t="n">
        <v>0</v>
      </c>
      <c r="O425" s="57" t="n">
        <v>0</v>
      </c>
      <c r="P425" s="57" t="n">
        <v>-4186.2</v>
      </c>
      <c r="Q425" s="57" t="n">
        <v>0</v>
      </c>
      <c r="R425" s="57" t="n">
        <v>4186.2</v>
      </c>
      <c r="S425" s="57" t="n">
        <v>0</v>
      </c>
      <c r="T425" s="57" t="n">
        <v>1194.52</v>
      </c>
      <c r="U425" s="58" t="n">
        <v>0.2853</v>
      </c>
      <c r="V425" s="57" t="n">
        <v>4186.2</v>
      </c>
      <c r="W425" s="58" t="n">
        <v>1</v>
      </c>
      <c r="X425" s="58" t="n">
        <v>0</v>
      </c>
      <c r="Y425" s="58" t="n">
        <v>0</v>
      </c>
      <c r="Z425" s="57" t="n">
        <v>0</v>
      </c>
      <c r="AA425" s="57" t="n">
        <v>-293.03</v>
      </c>
      <c r="AB425" s="56" t="inlineStr">
        <is>
          <t>FALSE</t>
        </is>
      </c>
      <c r="AC425" s="56" t="inlineStr">
        <is>
          <t>FALSE</t>
        </is>
      </c>
      <c r="AD425" s="57" t="n">
        <v>2991.68</v>
      </c>
      <c r="AE425" s="57" t="n">
        <v>0</v>
      </c>
      <c r="AF425" s="57" t="n">
        <v>0</v>
      </c>
      <c r="AG425" s="57" t="n">
        <v>0</v>
      </c>
      <c r="AH425" s="57" t="n">
        <v>0</v>
      </c>
    </row>
    <row r="426">
      <c r="A426" s="56" t="inlineStr">
        <is>
          <t>2026-06-17</t>
        </is>
      </c>
      <c r="B426" s="56" t="inlineStr">
        <is>
          <t>2452961</t>
        </is>
      </c>
      <c r="C426" s="56" t="inlineStr">
        <is>
          <t>DS.2025.2284 Courtyards of Russell Oaks 59</t>
        </is>
      </c>
      <c r="D426" s="56" t="inlineStr">
        <is>
          <t>DW</t>
        </is>
      </c>
      <c r="E426" s="56" t="inlineStr">
        <is>
          <t>(Unassigned)</t>
        </is>
      </c>
      <c r="F426" s="56" t="inlineStr">
        <is>
          <t>Big Dawg Drywall</t>
        </is>
      </c>
      <c r="G426" s="56" t="inlineStr">
        <is>
          <t>ACTIVE</t>
        </is>
      </c>
      <c r="H426" s="57" t="n">
        <v>5780.19</v>
      </c>
      <c r="I426" s="57" t="n">
        <v>0</v>
      </c>
      <c r="J426" s="57" t="n">
        <v>5780.19</v>
      </c>
      <c r="K426" s="57" t="n">
        <v>6184.8</v>
      </c>
      <c r="L426" s="57" t="n">
        <v>0</v>
      </c>
      <c r="M426" s="57" t="n">
        <v>4302.74</v>
      </c>
      <c r="N426" s="58" t="n">
        <v>0</v>
      </c>
      <c r="O426" s="57" t="n">
        <v>0</v>
      </c>
      <c r="P426" s="57" t="n">
        <v>-5780.19</v>
      </c>
      <c r="Q426" s="57" t="n">
        <v>0</v>
      </c>
      <c r="R426" s="57" t="n">
        <v>5780.19</v>
      </c>
      <c r="S426" s="57" t="n">
        <v>0</v>
      </c>
      <c r="T426" s="57" t="n">
        <v>1477.45</v>
      </c>
      <c r="U426" s="58" t="n">
        <v>0.2556</v>
      </c>
      <c r="V426" s="57" t="n">
        <v>5780.19</v>
      </c>
      <c r="W426" s="58" t="n">
        <v>1</v>
      </c>
      <c r="X426" s="58" t="n">
        <v>0</v>
      </c>
      <c r="Y426" s="58" t="n">
        <v>0</v>
      </c>
      <c r="Z426" s="57" t="n">
        <v>0</v>
      </c>
      <c r="AA426" s="57" t="n">
        <v>-404.61</v>
      </c>
      <c r="AB426" s="56" t="inlineStr">
        <is>
          <t>FALSE</t>
        </is>
      </c>
      <c r="AC426" s="56" t="inlineStr">
        <is>
          <t>FALSE</t>
        </is>
      </c>
      <c r="AD426" s="57" t="n">
        <v>4302.74</v>
      </c>
      <c r="AE426" s="57" t="n">
        <v>0</v>
      </c>
      <c r="AF426" s="57" t="n">
        <v>0</v>
      </c>
      <c r="AG426" s="57" t="n">
        <v>0</v>
      </c>
      <c r="AH426" s="57" t="n">
        <v>0</v>
      </c>
    </row>
    <row r="427">
      <c r="A427" s="56" t="inlineStr">
        <is>
          <t>2026-06-17</t>
        </is>
      </c>
      <c r="B427" s="56" t="inlineStr">
        <is>
          <t>2446907</t>
        </is>
      </c>
      <c r="C427" s="56" t="inlineStr">
        <is>
          <t>DS.2025.2281 Courtyards of Russell Oaks 117</t>
        </is>
      </c>
      <c r="D427" s="56" t="inlineStr">
        <is>
          <t>DW</t>
        </is>
      </c>
      <c r="E427" s="56" t="inlineStr">
        <is>
          <t>(Unassigned)</t>
        </is>
      </c>
      <c r="F427" s="56" t="inlineStr">
        <is>
          <t>Big Dawg Drywall</t>
        </is>
      </c>
      <c r="G427" s="56" t="inlineStr">
        <is>
          <t>ACTIVE</t>
        </is>
      </c>
      <c r="H427" s="57" t="n">
        <v>5285.62</v>
      </c>
      <c r="I427" s="57" t="n">
        <v>0</v>
      </c>
      <c r="J427" s="57" t="n">
        <v>5285.62</v>
      </c>
      <c r="K427" s="57" t="n">
        <v>5655.61</v>
      </c>
      <c r="L427" s="57" t="n">
        <v>0</v>
      </c>
      <c r="M427" s="57" t="n">
        <v>3959.29</v>
      </c>
      <c r="N427" s="58" t="n">
        <v>0</v>
      </c>
      <c r="O427" s="57" t="n">
        <v>0</v>
      </c>
      <c r="P427" s="57" t="n">
        <v>-5285.62</v>
      </c>
      <c r="Q427" s="57" t="n">
        <v>0</v>
      </c>
      <c r="R427" s="57" t="n">
        <v>5285.62</v>
      </c>
      <c r="S427" s="57" t="n">
        <v>0</v>
      </c>
      <c r="T427" s="57" t="n">
        <v>1326.33</v>
      </c>
      <c r="U427" s="58" t="n">
        <v>0.2509</v>
      </c>
      <c r="V427" s="57" t="n">
        <v>5285.62</v>
      </c>
      <c r="W427" s="58" t="n">
        <v>1</v>
      </c>
      <c r="X427" s="58" t="n">
        <v>0</v>
      </c>
      <c r="Y427" s="58" t="n">
        <v>0</v>
      </c>
      <c r="Z427" s="57" t="n">
        <v>0</v>
      </c>
      <c r="AA427" s="57" t="n">
        <v>-369.99</v>
      </c>
      <c r="AB427" s="56" t="inlineStr">
        <is>
          <t>FALSE</t>
        </is>
      </c>
      <c r="AC427" s="56" t="inlineStr">
        <is>
          <t>FALSE</t>
        </is>
      </c>
      <c r="AD427" s="57" t="n">
        <v>3959.29</v>
      </c>
      <c r="AE427" s="57" t="n">
        <v>0</v>
      </c>
      <c r="AF427" s="57" t="n">
        <v>0</v>
      </c>
      <c r="AG427" s="57" t="n">
        <v>0</v>
      </c>
      <c r="AH427" s="57" t="n">
        <v>0</v>
      </c>
    </row>
    <row r="428">
      <c r="A428" s="56" t="inlineStr">
        <is>
          <t>2026-06-17</t>
        </is>
      </c>
      <c r="B428" s="56" t="inlineStr">
        <is>
          <t>2446248</t>
        </is>
      </c>
      <c r="C428" s="56" t="inlineStr">
        <is>
          <t>DS.2025.2280 GSI - E Crestwine Dr</t>
        </is>
      </c>
      <c r="D428" s="56" t="inlineStr">
        <is>
          <t>DW</t>
        </is>
      </c>
      <c r="E428" s="56" t="inlineStr">
        <is>
          <t>(Unassigned)</t>
        </is>
      </c>
      <c r="F428" s="56" t="inlineStr">
        <is>
          <t>GSI - Gregory Scott Inabnit LLC</t>
        </is>
      </c>
      <c r="G428" s="56" t="inlineStr">
        <is>
          <t>ACTIVE</t>
        </is>
      </c>
      <c r="H428" s="57" t="n">
        <v>9105.65</v>
      </c>
      <c r="I428" s="57" t="n">
        <v>0</v>
      </c>
      <c r="J428" s="57" t="n">
        <v>9105.65</v>
      </c>
      <c r="K428" s="57" t="n">
        <v>9743.049999999999</v>
      </c>
      <c r="L428" s="57" t="n">
        <v>0</v>
      </c>
      <c r="M428" s="57" t="n">
        <v>6483</v>
      </c>
      <c r="N428" s="58" t="n">
        <v>0</v>
      </c>
      <c r="O428" s="57" t="n">
        <v>0</v>
      </c>
      <c r="P428" s="57" t="n">
        <v>-9105.65</v>
      </c>
      <c r="Q428" s="57" t="n">
        <v>0</v>
      </c>
      <c r="R428" s="57" t="n">
        <v>9105.65</v>
      </c>
      <c r="S428" s="57" t="n">
        <v>0</v>
      </c>
      <c r="T428" s="57" t="n">
        <v>2622.65</v>
      </c>
      <c r="U428" s="58" t="n">
        <v>0.288</v>
      </c>
      <c r="V428" s="57" t="n">
        <v>9105.65</v>
      </c>
      <c r="W428" s="58" t="n">
        <v>1</v>
      </c>
      <c r="X428" s="58" t="n">
        <v>0</v>
      </c>
      <c r="Y428" s="58" t="n">
        <v>0</v>
      </c>
      <c r="Z428" s="57" t="n">
        <v>0</v>
      </c>
      <c r="AA428" s="57" t="n">
        <v>-637.4</v>
      </c>
      <c r="AB428" s="56" t="inlineStr">
        <is>
          <t>FALSE</t>
        </is>
      </c>
      <c r="AC428" s="56" t="inlineStr">
        <is>
          <t>FALSE</t>
        </is>
      </c>
      <c r="AD428" s="57" t="n">
        <v>6483</v>
      </c>
      <c r="AE428" s="57" t="n">
        <v>0</v>
      </c>
      <c r="AF428" s="57" t="n">
        <v>0</v>
      </c>
      <c r="AG428" s="57" t="n">
        <v>0</v>
      </c>
      <c r="AH428" s="57" t="n">
        <v>0</v>
      </c>
    </row>
    <row r="429">
      <c r="A429" s="56" t="inlineStr">
        <is>
          <t>2026-06-17</t>
        </is>
      </c>
      <c r="B429" s="56" t="inlineStr">
        <is>
          <t>2444852</t>
        </is>
      </c>
      <c r="C429" s="56" t="inlineStr">
        <is>
          <t>DS.2025.2279 8810 Bergeson Drive</t>
        </is>
      </c>
      <c r="D429" s="56" t="inlineStr">
        <is>
          <t>DW</t>
        </is>
      </c>
      <c r="E429" s="56" t="inlineStr">
        <is>
          <t>(Unassigned)</t>
        </is>
      </c>
      <c r="F429" s="56" t="inlineStr">
        <is>
          <t>Pro Fix Drywaller, LLC</t>
        </is>
      </c>
      <c r="G429" s="56" t="inlineStr">
        <is>
          <t>ACTIVE</t>
        </is>
      </c>
      <c r="H429" s="57" t="n">
        <v>784.91</v>
      </c>
      <c r="I429" s="57" t="n">
        <v>0</v>
      </c>
      <c r="J429" s="57" t="n">
        <v>784.91</v>
      </c>
      <c r="K429" s="57" t="n">
        <v>839.85</v>
      </c>
      <c r="L429" s="57" t="n">
        <v>0</v>
      </c>
      <c r="M429" s="57" t="n">
        <v>567.3</v>
      </c>
      <c r="N429" s="58" t="n">
        <v>0</v>
      </c>
      <c r="O429" s="57" t="n">
        <v>0</v>
      </c>
      <c r="P429" s="57" t="n">
        <v>-784.91</v>
      </c>
      <c r="Q429" s="57" t="n">
        <v>0</v>
      </c>
      <c r="R429" s="57" t="n">
        <v>784.91</v>
      </c>
      <c r="S429" s="57" t="n">
        <v>0</v>
      </c>
      <c r="T429" s="57" t="n">
        <v>217.61</v>
      </c>
      <c r="U429" s="58" t="n">
        <v>0.2772</v>
      </c>
      <c r="V429" s="57" t="n">
        <v>784.91</v>
      </c>
      <c r="W429" s="58" t="n">
        <v>1</v>
      </c>
      <c r="X429" s="58" t="n">
        <v>0</v>
      </c>
      <c r="Y429" s="58" t="n">
        <v>0</v>
      </c>
      <c r="Z429" s="57" t="n">
        <v>0</v>
      </c>
      <c r="AA429" s="57" t="n">
        <v>-54.94</v>
      </c>
      <c r="AB429" s="56" t="inlineStr">
        <is>
          <t>FALSE</t>
        </is>
      </c>
      <c r="AC429" s="56" t="inlineStr">
        <is>
          <t>FALSE</t>
        </is>
      </c>
      <c r="AD429" s="57" t="n">
        <v>567.3</v>
      </c>
      <c r="AE429" s="57" t="n">
        <v>0</v>
      </c>
      <c r="AF429" s="57" t="n">
        <v>0</v>
      </c>
      <c r="AG429" s="57" t="n">
        <v>0</v>
      </c>
      <c r="AH429" s="57" t="n">
        <v>0</v>
      </c>
    </row>
    <row r="430">
      <c r="A430" s="56" t="inlineStr">
        <is>
          <t>2026-06-17</t>
        </is>
      </c>
      <c r="B430" s="56" t="inlineStr">
        <is>
          <t>2444545</t>
        </is>
      </c>
      <c r="C430" s="56" t="inlineStr">
        <is>
          <t>DS.2025.2278 Courtyards of Russell Oaks 52</t>
        </is>
      </c>
      <c r="D430" s="56" t="inlineStr">
        <is>
          <t>DW</t>
        </is>
      </c>
      <c r="E430" s="56" t="inlineStr">
        <is>
          <t>(Unassigned)</t>
        </is>
      </c>
      <c r="F430" s="56" t="inlineStr">
        <is>
          <t>Big Dawg Drywall</t>
        </is>
      </c>
      <c r="G430" s="56" t="inlineStr">
        <is>
          <t>ACTIVE</t>
        </is>
      </c>
      <c r="H430" s="57" t="n">
        <v>7142.71</v>
      </c>
      <c r="I430" s="57" t="n">
        <v>0</v>
      </c>
      <c r="J430" s="57" t="n">
        <v>7142.71</v>
      </c>
      <c r="K430" s="57" t="n">
        <v>7642.7</v>
      </c>
      <c r="L430" s="57" t="n">
        <v>0</v>
      </c>
      <c r="M430" s="57" t="n">
        <v>5271.78</v>
      </c>
      <c r="N430" s="58" t="n">
        <v>0</v>
      </c>
      <c r="O430" s="57" t="n">
        <v>0</v>
      </c>
      <c r="P430" s="57" t="n">
        <v>-7142.71</v>
      </c>
      <c r="Q430" s="57" t="n">
        <v>0</v>
      </c>
      <c r="R430" s="57" t="n">
        <v>7142.71</v>
      </c>
      <c r="S430" s="57" t="n">
        <v>0</v>
      </c>
      <c r="T430" s="57" t="n">
        <v>1870.93</v>
      </c>
      <c r="U430" s="58" t="n">
        <v>0.2619</v>
      </c>
      <c r="V430" s="57" t="n">
        <v>7142.71</v>
      </c>
      <c r="W430" s="58" t="n">
        <v>1</v>
      </c>
      <c r="X430" s="58" t="n">
        <v>0</v>
      </c>
      <c r="Y430" s="58" t="n">
        <v>0</v>
      </c>
      <c r="Z430" s="57" t="n">
        <v>0</v>
      </c>
      <c r="AA430" s="57" t="n">
        <v>-499.99</v>
      </c>
      <c r="AB430" s="56" t="inlineStr">
        <is>
          <t>FALSE</t>
        </is>
      </c>
      <c r="AC430" s="56" t="inlineStr">
        <is>
          <t>FALSE</t>
        </is>
      </c>
      <c r="AD430" s="57" t="n">
        <v>5271.78</v>
      </c>
      <c r="AE430" s="57" t="n">
        <v>0</v>
      </c>
      <c r="AF430" s="57" t="n">
        <v>0</v>
      </c>
      <c r="AG430" s="57" t="n">
        <v>0</v>
      </c>
      <c r="AH430" s="57" t="n">
        <v>0</v>
      </c>
    </row>
    <row r="431">
      <c r="A431" s="56" t="inlineStr">
        <is>
          <t>2026-06-17</t>
        </is>
      </c>
      <c r="B431" s="56" t="inlineStr">
        <is>
          <t>2441368</t>
        </is>
      </c>
      <c r="C431" s="56" t="inlineStr">
        <is>
          <t>DS.2025.2275 Courtyards of Cielo Ranch 9</t>
        </is>
      </c>
      <c r="D431" s="56" t="inlineStr">
        <is>
          <t>DW</t>
        </is>
      </c>
      <c r="E431" s="56" t="inlineStr">
        <is>
          <t>(Unassigned)</t>
        </is>
      </c>
      <c r="F431" s="56" t="inlineStr">
        <is>
          <t>Big Dawg Drywall</t>
        </is>
      </c>
      <c r="G431" s="56" t="inlineStr">
        <is>
          <t>ACTIVE</t>
        </is>
      </c>
      <c r="H431" s="57" t="n">
        <v>505.44</v>
      </c>
      <c r="I431" s="57" t="n">
        <v>0</v>
      </c>
      <c r="J431" s="57" t="n">
        <v>505.44</v>
      </c>
      <c r="K431" s="57" t="n">
        <v>540.8200000000001</v>
      </c>
      <c r="L431" s="57" t="n">
        <v>0</v>
      </c>
      <c r="M431" s="57" t="n">
        <v>349.92</v>
      </c>
      <c r="N431" s="58" t="n">
        <v>0</v>
      </c>
      <c r="O431" s="57" t="n">
        <v>0</v>
      </c>
      <c r="P431" s="57" t="n">
        <v>-505.44</v>
      </c>
      <c r="Q431" s="57" t="n">
        <v>0</v>
      </c>
      <c r="R431" s="57" t="n">
        <v>505.44</v>
      </c>
      <c r="S431" s="57" t="n">
        <v>0</v>
      </c>
      <c r="T431" s="57" t="n">
        <v>155.52</v>
      </c>
      <c r="U431" s="58" t="n">
        <v>0.3077</v>
      </c>
      <c r="V431" s="57" t="n">
        <v>505.44</v>
      </c>
      <c r="W431" s="58" t="n">
        <v>1</v>
      </c>
      <c r="X431" s="58" t="n">
        <v>0</v>
      </c>
      <c r="Y431" s="58" t="n">
        <v>0</v>
      </c>
      <c r="Z431" s="57" t="n">
        <v>0</v>
      </c>
      <c r="AA431" s="57" t="n">
        <v>-35.38</v>
      </c>
      <c r="AB431" s="56" t="inlineStr">
        <is>
          <t>FALSE</t>
        </is>
      </c>
      <c r="AC431" s="56" t="inlineStr">
        <is>
          <t>FALSE</t>
        </is>
      </c>
      <c r="AD431" s="57" t="n">
        <v>349.92</v>
      </c>
      <c r="AE431" s="57" t="n">
        <v>0</v>
      </c>
      <c r="AF431" s="57" t="n">
        <v>0</v>
      </c>
      <c r="AG431" s="57" t="n">
        <v>0</v>
      </c>
      <c r="AH431" s="57" t="n">
        <v>0</v>
      </c>
    </row>
    <row r="432">
      <c r="A432" s="56" t="inlineStr">
        <is>
          <t>2026-06-17</t>
        </is>
      </c>
      <c r="B432" s="56" t="inlineStr">
        <is>
          <t>2439356</t>
        </is>
      </c>
      <c r="C432" s="56" t="inlineStr">
        <is>
          <t>DS.2025.2274 Barndo 2 Frankfort</t>
        </is>
      </c>
      <c r="D432" s="56" t="inlineStr">
        <is>
          <t>DW</t>
        </is>
      </c>
      <c r="E432" s="56" t="inlineStr">
        <is>
          <t>(Unassigned)</t>
        </is>
      </c>
      <c r="F432" s="56" t="inlineStr">
        <is>
          <t>Flores Drywall and Remodeling LLC</t>
        </is>
      </c>
      <c r="G432" s="56" t="inlineStr">
        <is>
          <t>ACTIVE</t>
        </is>
      </c>
      <c r="H432" s="57" t="n">
        <v>2325.89</v>
      </c>
      <c r="I432" s="57" t="n">
        <v>0</v>
      </c>
      <c r="J432" s="57" t="n">
        <v>2325.89</v>
      </c>
      <c r="K432" s="57" t="n">
        <v>2488.7</v>
      </c>
      <c r="L432" s="57" t="n">
        <v>0</v>
      </c>
      <c r="M432" s="57" t="n">
        <v>1704.29</v>
      </c>
      <c r="N432" s="58" t="n">
        <v>0</v>
      </c>
      <c r="O432" s="57" t="n">
        <v>0</v>
      </c>
      <c r="P432" s="57" t="n">
        <v>-2325.89</v>
      </c>
      <c r="Q432" s="57" t="n">
        <v>0</v>
      </c>
      <c r="R432" s="57" t="n">
        <v>2325.89</v>
      </c>
      <c r="S432" s="57" t="n">
        <v>0</v>
      </c>
      <c r="T432" s="57" t="n">
        <v>621.6</v>
      </c>
      <c r="U432" s="58" t="n">
        <v>0.2673</v>
      </c>
      <c r="V432" s="57" t="n">
        <v>2325.89</v>
      </c>
      <c r="W432" s="58" t="n">
        <v>1</v>
      </c>
      <c r="X432" s="58" t="n">
        <v>0</v>
      </c>
      <c r="Y432" s="58" t="n">
        <v>0</v>
      </c>
      <c r="Z432" s="57" t="n">
        <v>0</v>
      </c>
      <c r="AA432" s="57" t="n">
        <v>-162.81</v>
      </c>
      <c r="AB432" s="56" t="inlineStr">
        <is>
          <t>FALSE</t>
        </is>
      </c>
      <c r="AC432" s="56" t="inlineStr">
        <is>
          <t>FALSE</t>
        </is>
      </c>
      <c r="AD432" s="57" t="n">
        <v>1704.29</v>
      </c>
      <c r="AE432" s="57" t="n">
        <v>0</v>
      </c>
      <c r="AF432" s="57" t="n">
        <v>0</v>
      </c>
      <c r="AG432" s="57" t="n">
        <v>0</v>
      </c>
      <c r="AH432" s="57" t="n">
        <v>0</v>
      </c>
    </row>
    <row r="433">
      <c r="A433" s="56" t="inlineStr">
        <is>
          <t>2026-06-17</t>
        </is>
      </c>
      <c r="B433" s="56" t="inlineStr">
        <is>
          <t>2438113</t>
        </is>
      </c>
      <c r="C433" s="56" t="inlineStr">
        <is>
          <t>DS.2025.2272 Courtyards of Russell Oaks 48</t>
        </is>
      </c>
      <c r="D433" s="56" t="inlineStr">
        <is>
          <t>DW</t>
        </is>
      </c>
      <c r="E433" s="56" t="inlineStr">
        <is>
          <t>(Unassigned)</t>
        </is>
      </c>
      <c r="F433" s="56" t="inlineStr">
        <is>
          <t>Big Dawg Drywall</t>
        </is>
      </c>
      <c r="G433" s="56" t="inlineStr">
        <is>
          <t>ACTIVE</t>
        </is>
      </c>
      <c r="H433" s="57" t="n">
        <v>5849.67</v>
      </c>
      <c r="I433" s="57" t="n">
        <v>0</v>
      </c>
      <c r="J433" s="57" t="n">
        <v>5849.67</v>
      </c>
      <c r="K433" s="57" t="n">
        <v>6259.15</v>
      </c>
      <c r="L433" s="57" t="n">
        <v>0</v>
      </c>
      <c r="M433" s="57" t="n">
        <v>4371.5</v>
      </c>
      <c r="N433" s="58" t="n">
        <v>0</v>
      </c>
      <c r="O433" s="57" t="n">
        <v>0</v>
      </c>
      <c r="P433" s="57" t="n">
        <v>-5849.67</v>
      </c>
      <c r="Q433" s="57" t="n">
        <v>0</v>
      </c>
      <c r="R433" s="57" t="n">
        <v>5849.67</v>
      </c>
      <c r="S433" s="57" t="n">
        <v>0</v>
      </c>
      <c r="T433" s="57" t="n">
        <v>1478.17</v>
      </c>
      <c r="U433" s="58" t="n">
        <v>0.2527</v>
      </c>
      <c r="V433" s="57" t="n">
        <v>5849.67</v>
      </c>
      <c r="W433" s="58" t="n">
        <v>1</v>
      </c>
      <c r="X433" s="58" t="n">
        <v>0</v>
      </c>
      <c r="Y433" s="58" t="n">
        <v>0</v>
      </c>
      <c r="Z433" s="57" t="n">
        <v>0</v>
      </c>
      <c r="AA433" s="57" t="n">
        <v>-409.48</v>
      </c>
      <c r="AB433" s="56" t="inlineStr">
        <is>
          <t>FALSE</t>
        </is>
      </c>
      <c r="AC433" s="56" t="inlineStr">
        <is>
          <t>FALSE</t>
        </is>
      </c>
      <c r="AD433" s="57" t="n">
        <v>4371.5</v>
      </c>
      <c r="AE433" s="57" t="n">
        <v>0</v>
      </c>
      <c r="AF433" s="57" t="n">
        <v>0</v>
      </c>
      <c r="AG433" s="57" t="n">
        <v>0</v>
      </c>
      <c r="AH433" s="57" t="n">
        <v>0</v>
      </c>
    </row>
    <row r="434">
      <c r="A434" s="56" t="inlineStr">
        <is>
          <t>2026-06-17</t>
        </is>
      </c>
      <c r="B434" s="56" t="inlineStr">
        <is>
          <t>2438103</t>
        </is>
      </c>
      <c r="C434" s="56" t="inlineStr">
        <is>
          <t>DS.2025.2271 Courtyards of Westfield 113</t>
        </is>
      </c>
      <c r="D434" s="56" t="inlineStr">
        <is>
          <t>DW</t>
        </is>
      </c>
      <c r="E434" s="56" t="inlineStr">
        <is>
          <t>(Unassigned)</t>
        </is>
      </c>
      <c r="F434" s="56" t="inlineStr">
        <is>
          <t>Big Dawg Drywall</t>
        </is>
      </c>
      <c r="G434" s="56" t="inlineStr">
        <is>
          <t>ACTIVE</t>
        </is>
      </c>
      <c r="H434" s="57" t="n">
        <v>7005.73</v>
      </c>
      <c r="I434" s="57" t="n">
        <v>0</v>
      </c>
      <c r="J434" s="57" t="n">
        <v>7005.73</v>
      </c>
      <c r="K434" s="57" t="n">
        <v>7496.13</v>
      </c>
      <c r="L434" s="57" t="n">
        <v>0</v>
      </c>
      <c r="M434" s="57" t="n">
        <v>5233.09</v>
      </c>
      <c r="N434" s="58" t="n">
        <v>0</v>
      </c>
      <c r="O434" s="57" t="n">
        <v>0</v>
      </c>
      <c r="P434" s="57" t="n">
        <v>-7005.73</v>
      </c>
      <c r="Q434" s="57" t="n">
        <v>0</v>
      </c>
      <c r="R434" s="57" t="n">
        <v>7005.73</v>
      </c>
      <c r="S434" s="57" t="n">
        <v>0</v>
      </c>
      <c r="T434" s="57" t="n">
        <v>1772.64</v>
      </c>
      <c r="U434" s="58" t="n">
        <v>0.253</v>
      </c>
      <c r="V434" s="57" t="n">
        <v>7005.73</v>
      </c>
      <c r="W434" s="58" t="n">
        <v>1</v>
      </c>
      <c r="X434" s="58" t="n">
        <v>0</v>
      </c>
      <c r="Y434" s="58" t="n">
        <v>0</v>
      </c>
      <c r="Z434" s="57" t="n">
        <v>0</v>
      </c>
      <c r="AA434" s="57" t="n">
        <v>-490.4</v>
      </c>
      <c r="AB434" s="56" t="inlineStr">
        <is>
          <t>FALSE</t>
        </is>
      </c>
      <c r="AC434" s="56" t="inlineStr">
        <is>
          <t>FALSE</t>
        </is>
      </c>
      <c r="AD434" s="57" t="n">
        <v>5233.09</v>
      </c>
      <c r="AE434" s="57" t="n">
        <v>0</v>
      </c>
      <c r="AF434" s="57" t="n">
        <v>0</v>
      </c>
      <c r="AG434" s="57" t="n">
        <v>0</v>
      </c>
      <c r="AH434" s="57" t="n">
        <v>0</v>
      </c>
    </row>
    <row r="435">
      <c r="A435" s="56" t="inlineStr">
        <is>
          <t>2026-06-17</t>
        </is>
      </c>
      <c r="B435" s="56" t="inlineStr">
        <is>
          <t>2433725</t>
        </is>
      </c>
      <c r="C435" s="56" t="inlineStr">
        <is>
          <t>DS.2025.2269 GSI Ranch Basement House 9-22</t>
        </is>
      </c>
      <c r="D435" s="56" t="inlineStr">
        <is>
          <t>DW</t>
        </is>
      </c>
      <c r="E435" s="56" t="inlineStr">
        <is>
          <t>(Unassigned)</t>
        </is>
      </c>
      <c r="F435" s="56" t="inlineStr">
        <is>
          <t>GSI - Gregory Scott Inabnit LLC</t>
        </is>
      </c>
      <c r="G435" s="56" t="inlineStr">
        <is>
          <t>ACTIVE</t>
        </is>
      </c>
      <c r="H435" s="57" t="n">
        <v>6041.4</v>
      </c>
      <c r="I435" s="57" t="n">
        <v>0</v>
      </c>
      <c r="J435" s="57" t="n">
        <v>6041.4</v>
      </c>
      <c r="K435" s="57" t="n">
        <v>6464.3</v>
      </c>
      <c r="L435" s="57" t="n">
        <v>0</v>
      </c>
      <c r="M435" s="57" t="n">
        <v>4279.47</v>
      </c>
      <c r="N435" s="58" t="n">
        <v>0</v>
      </c>
      <c r="O435" s="57" t="n">
        <v>0</v>
      </c>
      <c r="P435" s="57" t="n">
        <v>-6041.4</v>
      </c>
      <c r="Q435" s="57" t="n">
        <v>0</v>
      </c>
      <c r="R435" s="57" t="n">
        <v>6041.4</v>
      </c>
      <c r="S435" s="57" t="n">
        <v>0</v>
      </c>
      <c r="T435" s="57" t="n">
        <v>1761.93</v>
      </c>
      <c r="U435" s="58" t="n">
        <v>0.2916</v>
      </c>
      <c r="V435" s="57" t="n">
        <v>6041.4</v>
      </c>
      <c r="W435" s="58" t="n">
        <v>1</v>
      </c>
      <c r="X435" s="58" t="n">
        <v>0</v>
      </c>
      <c r="Y435" s="58" t="n">
        <v>0</v>
      </c>
      <c r="Z435" s="57" t="n">
        <v>0</v>
      </c>
      <c r="AA435" s="57" t="n">
        <v>-422.9</v>
      </c>
      <c r="AB435" s="56" t="inlineStr">
        <is>
          <t>FALSE</t>
        </is>
      </c>
      <c r="AC435" s="56" t="inlineStr">
        <is>
          <t>FALSE</t>
        </is>
      </c>
      <c r="AD435" s="57" t="n">
        <v>4279.47</v>
      </c>
      <c r="AE435" s="57" t="n">
        <v>0</v>
      </c>
      <c r="AF435" s="57" t="n">
        <v>0</v>
      </c>
      <c r="AG435" s="57" t="n">
        <v>0</v>
      </c>
      <c r="AH435" s="57" t="n">
        <v>0</v>
      </c>
    </row>
    <row r="436">
      <c r="A436" s="56" t="inlineStr">
        <is>
          <t>2026-06-17</t>
        </is>
      </c>
      <c r="B436" s="56" t="inlineStr">
        <is>
          <t>2431674</t>
        </is>
      </c>
      <c r="C436" s="56" t="inlineStr">
        <is>
          <t>DS.2025.2267 GSI Rushville Lot 17</t>
        </is>
      </c>
      <c r="D436" s="56" t="inlineStr">
        <is>
          <t>DW</t>
        </is>
      </c>
      <c r="E436" s="56" t="inlineStr">
        <is>
          <t>(Unassigned)</t>
        </is>
      </c>
      <c r="F436" s="56" t="inlineStr">
        <is>
          <t>GSI - Gregory Scott Inabnit LLC</t>
        </is>
      </c>
      <c r="G436" s="56" t="inlineStr">
        <is>
          <t>ACTIVE</t>
        </is>
      </c>
      <c r="H436" s="57" t="n">
        <v>3571.1</v>
      </c>
      <c r="I436" s="57" t="n">
        <v>0</v>
      </c>
      <c r="J436" s="57" t="n">
        <v>3571.1</v>
      </c>
      <c r="K436" s="57" t="n">
        <v>3821.08</v>
      </c>
      <c r="L436" s="57" t="n">
        <v>0</v>
      </c>
      <c r="M436" s="57" t="n">
        <v>2655.4</v>
      </c>
      <c r="N436" s="58" t="n">
        <v>0</v>
      </c>
      <c r="O436" s="57" t="n">
        <v>0</v>
      </c>
      <c r="P436" s="57" t="n">
        <v>-3571.1</v>
      </c>
      <c r="Q436" s="57" t="n">
        <v>0</v>
      </c>
      <c r="R436" s="57" t="n">
        <v>3571.1</v>
      </c>
      <c r="S436" s="57" t="n">
        <v>0</v>
      </c>
      <c r="T436" s="57" t="n">
        <v>915.7</v>
      </c>
      <c r="U436" s="58" t="n">
        <v>0.2564</v>
      </c>
      <c r="V436" s="57" t="n">
        <v>3571.1</v>
      </c>
      <c r="W436" s="58" t="n">
        <v>1</v>
      </c>
      <c r="X436" s="58" t="n">
        <v>0</v>
      </c>
      <c r="Y436" s="58" t="n">
        <v>0</v>
      </c>
      <c r="Z436" s="57" t="n">
        <v>0</v>
      </c>
      <c r="AA436" s="57" t="n">
        <v>-249.98</v>
      </c>
      <c r="AB436" s="56" t="inlineStr">
        <is>
          <t>FALSE</t>
        </is>
      </c>
      <c r="AC436" s="56" t="inlineStr">
        <is>
          <t>FALSE</t>
        </is>
      </c>
      <c r="AD436" s="57" t="n">
        <v>2655.4</v>
      </c>
      <c r="AE436" s="57" t="n">
        <v>0</v>
      </c>
      <c r="AF436" s="57" t="n">
        <v>0</v>
      </c>
      <c r="AG436" s="57" t="n">
        <v>0</v>
      </c>
      <c r="AH436" s="57" t="n">
        <v>0</v>
      </c>
    </row>
    <row r="437">
      <c r="A437" s="56" t="inlineStr">
        <is>
          <t>2026-06-17</t>
        </is>
      </c>
      <c r="B437" s="56" t="inlineStr">
        <is>
          <t>2431619</t>
        </is>
      </c>
      <c r="C437" s="56" t="inlineStr">
        <is>
          <t>DS.2025.2265 Courtyards of Westfield 42</t>
        </is>
      </c>
      <c r="D437" s="56" t="inlineStr">
        <is>
          <t>DW</t>
        </is>
      </c>
      <c r="E437" s="56" t="inlineStr">
        <is>
          <t>(Unassigned)</t>
        </is>
      </c>
      <c r="F437" s="56" t="inlineStr">
        <is>
          <t>Big Dawg Drywall</t>
        </is>
      </c>
      <c r="G437" s="56" t="inlineStr">
        <is>
          <t>ACTIVE</t>
        </is>
      </c>
      <c r="H437" s="57" t="n">
        <v>6951.57</v>
      </c>
      <c r="I437" s="57" t="n">
        <v>507.6</v>
      </c>
      <c r="J437" s="57" t="n">
        <v>6951.57</v>
      </c>
      <c r="K437" s="57" t="n">
        <v>7402.65</v>
      </c>
      <c r="L437" s="57" t="n">
        <v>0</v>
      </c>
      <c r="M437" s="57" t="n">
        <v>5144.6</v>
      </c>
      <c r="N437" s="58" t="n">
        <v>0</v>
      </c>
      <c r="O437" s="57" t="n">
        <v>0</v>
      </c>
      <c r="P437" s="57" t="n">
        <v>-6951.57</v>
      </c>
      <c r="Q437" s="57" t="n">
        <v>0</v>
      </c>
      <c r="R437" s="57" t="n">
        <v>6951.57</v>
      </c>
      <c r="S437" s="57" t="n">
        <v>0</v>
      </c>
      <c r="T437" s="57" t="n">
        <v>1806.97</v>
      </c>
      <c r="U437" s="58" t="n">
        <v>0.2599</v>
      </c>
      <c r="V437" s="57" t="n">
        <v>6951.57</v>
      </c>
      <c r="W437" s="58" t="n">
        <v>1</v>
      </c>
      <c r="X437" s="58" t="n">
        <v>0</v>
      </c>
      <c r="Y437" s="58" t="n">
        <v>0</v>
      </c>
      <c r="Z437" s="57" t="n">
        <v>0</v>
      </c>
      <c r="AA437" s="57" t="n">
        <v>-451.08</v>
      </c>
      <c r="AB437" s="56" t="inlineStr">
        <is>
          <t>FALSE</t>
        </is>
      </c>
      <c r="AC437" s="56" t="inlineStr">
        <is>
          <t>FALSE</t>
        </is>
      </c>
      <c r="AD437" s="57" t="n">
        <v>5144.6</v>
      </c>
      <c r="AE437" s="57" t="n">
        <v>0</v>
      </c>
      <c r="AF437" s="57" t="n">
        <v>0</v>
      </c>
      <c r="AG437" s="57" t="n">
        <v>0</v>
      </c>
      <c r="AH437" s="57" t="n">
        <v>0</v>
      </c>
    </row>
    <row r="438">
      <c r="A438" s="56" t="inlineStr">
        <is>
          <t>2026-06-17</t>
        </is>
      </c>
      <c r="B438" s="56" t="inlineStr">
        <is>
          <t>2426990</t>
        </is>
      </c>
      <c r="C438" s="56" t="inlineStr">
        <is>
          <t>DS.2025.2264 Maratt Remodel</t>
        </is>
      </c>
      <c r="D438" s="56" t="inlineStr">
        <is>
          <t>DW</t>
        </is>
      </c>
      <c r="E438" s="56" t="inlineStr">
        <is>
          <t>(Unassigned)</t>
        </is>
      </c>
      <c r="F438" s="56" t="inlineStr">
        <is>
          <t>Flores Drywall and Remodeling LLC</t>
        </is>
      </c>
      <c r="G438" s="56" t="inlineStr">
        <is>
          <t>ACTIVE</t>
        </is>
      </c>
      <c r="H438" s="57" t="n">
        <v>5434.22</v>
      </c>
      <c r="I438" s="57" t="n">
        <v>0</v>
      </c>
      <c r="J438" s="57" t="n">
        <v>5434.22</v>
      </c>
      <c r="K438" s="57" t="n">
        <v>5814.62</v>
      </c>
      <c r="L438" s="57" t="n">
        <v>0</v>
      </c>
      <c r="M438" s="57" t="n">
        <v>3595.46</v>
      </c>
      <c r="N438" s="58" t="n">
        <v>0</v>
      </c>
      <c r="O438" s="57" t="n">
        <v>0</v>
      </c>
      <c r="P438" s="57" t="n">
        <v>-5434.22</v>
      </c>
      <c r="Q438" s="57" t="n">
        <v>0</v>
      </c>
      <c r="R438" s="57" t="n">
        <v>5434.22</v>
      </c>
      <c r="S438" s="57" t="n">
        <v>0</v>
      </c>
      <c r="T438" s="57" t="n">
        <v>1838.76</v>
      </c>
      <c r="U438" s="58" t="n">
        <v>0.3384</v>
      </c>
      <c r="V438" s="57" t="n">
        <v>5434.22</v>
      </c>
      <c r="W438" s="58" t="n">
        <v>1</v>
      </c>
      <c r="X438" s="58" t="n">
        <v>0</v>
      </c>
      <c r="Y438" s="58" t="n">
        <v>0</v>
      </c>
      <c r="Z438" s="57" t="n">
        <v>0</v>
      </c>
      <c r="AA438" s="57" t="n">
        <v>-380.4</v>
      </c>
      <c r="AB438" s="56" t="inlineStr">
        <is>
          <t>FALSE</t>
        </is>
      </c>
      <c r="AC438" s="56" t="inlineStr">
        <is>
          <t>FALSE</t>
        </is>
      </c>
      <c r="AD438" s="57" t="n">
        <v>3595.46</v>
      </c>
      <c r="AE438" s="57" t="n">
        <v>0</v>
      </c>
      <c r="AF438" s="57" t="n">
        <v>0</v>
      </c>
      <c r="AG438" s="57" t="n">
        <v>0</v>
      </c>
      <c r="AH438" s="57" t="n">
        <v>0</v>
      </c>
    </row>
    <row r="439">
      <c r="A439" s="56" t="inlineStr">
        <is>
          <t>2026-06-17</t>
        </is>
      </c>
      <c r="B439" s="56" t="inlineStr">
        <is>
          <t>2426804</t>
        </is>
      </c>
      <c r="C439" s="56" t="inlineStr">
        <is>
          <t>DS.2025.2262 Rushville 2 house pre rock</t>
        </is>
      </c>
      <c r="D439" s="56" t="inlineStr">
        <is>
          <t>DW</t>
        </is>
      </c>
      <c r="E439" s="56" t="inlineStr">
        <is>
          <t>(Unassigned)</t>
        </is>
      </c>
      <c r="F439" s="56" t="inlineStr">
        <is>
          <t>GSI - Gregory Scott Inabnit LLC</t>
        </is>
      </c>
      <c r="G439" s="56" t="inlineStr">
        <is>
          <t>ACTIVE</t>
        </is>
      </c>
      <c r="H439" s="57" t="n">
        <v>786.08</v>
      </c>
      <c r="I439" s="57" t="n">
        <v>0</v>
      </c>
      <c r="J439" s="57" t="n">
        <v>786.08</v>
      </c>
      <c r="K439" s="57" t="n">
        <v>841.11</v>
      </c>
      <c r="L439" s="57" t="n">
        <v>0</v>
      </c>
      <c r="M439" s="57" t="n">
        <v>477</v>
      </c>
      <c r="N439" s="58" t="n">
        <v>0</v>
      </c>
      <c r="O439" s="57" t="n">
        <v>0</v>
      </c>
      <c r="P439" s="57" t="n">
        <v>-786.08</v>
      </c>
      <c r="Q439" s="57" t="n">
        <v>0</v>
      </c>
      <c r="R439" s="57" t="n">
        <v>786.08</v>
      </c>
      <c r="S439" s="57" t="n">
        <v>0</v>
      </c>
      <c r="T439" s="57" t="n">
        <v>309.08</v>
      </c>
      <c r="U439" s="58" t="n">
        <v>0.3932</v>
      </c>
      <c r="V439" s="57" t="n">
        <v>786.08</v>
      </c>
      <c r="W439" s="58" t="n">
        <v>1</v>
      </c>
      <c r="X439" s="58" t="n">
        <v>0</v>
      </c>
      <c r="Y439" s="58" t="n">
        <v>0</v>
      </c>
      <c r="Z439" s="57" t="n">
        <v>0</v>
      </c>
      <c r="AA439" s="57" t="n">
        <v>-55.03</v>
      </c>
      <c r="AB439" s="56" t="inlineStr">
        <is>
          <t>FALSE</t>
        </is>
      </c>
      <c r="AC439" s="56" t="inlineStr">
        <is>
          <t>FALSE</t>
        </is>
      </c>
      <c r="AD439" s="57" t="n">
        <v>477</v>
      </c>
      <c r="AE439" s="57" t="n">
        <v>0</v>
      </c>
      <c r="AF439" s="57" t="n">
        <v>0</v>
      </c>
      <c r="AG439" s="57" t="n">
        <v>0</v>
      </c>
      <c r="AH439" s="57" t="n">
        <v>0</v>
      </c>
    </row>
    <row r="440">
      <c r="A440" s="56" t="inlineStr">
        <is>
          <t>2026-06-17</t>
        </is>
      </c>
      <c r="B440" s="56" t="inlineStr">
        <is>
          <t>2426715</t>
        </is>
      </c>
      <c r="C440" s="56" t="inlineStr">
        <is>
          <t>DS.2025.2258 Cavalier Res</t>
        </is>
      </c>
      <c r="D440" s="56" t="inlineStr">
        <is>
          <t>DW</t>
        </is>
      </c>
      <c r="E440" s="56" t="inlineStr">
        <is>
          <t>(Unassigned)</t>
        </is>
      </c>
      <c r="F440" s="56" t="inlineStr">
        <is>
          <t>Flores Drywall and Remodeling LLC</t>
        </is>
      </c>
      <c r="G440" s="56" t="inlineStr">
        <is>
          <t>ACTIVE</t>
        </is>
      </c>
      <c r="H440" s="57" t="n">
        <v>11550.86</v>
      </c>
      <c r="I440" s="57" t="n">
        <v>0</v>
      </c>
      <c r="J440" s="57" t="n">
        <v>11550.86</v>
      </c>
      <c r="K440" s="57" t="n">
        <v>12359.42</v>
      </c>
      <c r="L440" s="57" t="n">
        <v>0</v>
      </c>
      <c r="M440" s="57" t="n">
        <v>8584.559999999999</v>
      </c>
      <c r="N440" s="58" t="n">
        <v>0</v>
      </c>
      <c r="O440" s="57" t="n">
        <v>0</v>
      </c>
      <c r="P440" s="57" t="n">
        <v>-11550.86</v>
      </c>
      <c r="Q440" s="57" t="n">
        <v>0</v>
      </c>
      <c r="R440" s="57" t="n">
        <v>11550.86</v>
      </c>
      <c r="S440" s="57" t="n">
        <v>0</v>
      </c>
      <c r="T440" s="57" t="n">
        <v>2966.3</v>
      </c>
      <c r="U440" s="58" t="n">
        <v>0.2568</v>
      </c>
      <c r="V440" s="57" t="n">
        <v>11550.86</v>
      </c>
      <c r="W440" s="58" t="n">
        <v>1</v>
      </c>
      <c r="X440" s="58" t="n">
        <v>0</v>
      </c>
      <c r="Y440" s="58" t="n">
        <v>0</v>
      </c>
      <c r="Z440" s="57" t="n">
        <v>0</v>
      </c>
      <c r="AA440" s="57" t="n">
        <v>-808.5599999999999</v>
      </c>
      <c r="AB440" s="56" t="inlineStr">
        <is>
          <t>FALSE</t>
        </is>
      </c>
      <c r="AC440" s="56" t="inlineStr">
        <is>
          <t>FALSE</t>
        </is>
      </c>
      <c r="AD440" s="57" t="n">
        <v>8584.559999999999</v>
      </c>
      <c r="AE440" s="57" t="n">
        <v>0</v>
      </c>
      <c r="AF440" s="57" t="n">
        <v>0</v>
      </c>
      <c r="AG440" s="57" t="n">
        <v>0</v>
      </c>
      <c r="AH440" s="57" t="n">
        <v>0</v>
      </c>
    </row>
    <row r="441">
      <c r="A441" s="56" t="inlineStr">
        <is>
          <t>2026-06-17</t>
        </is>
      </c>
      <c r="B441" s="56" t="inlineStr">
        <is>
          <t>2426691</t>
        </is>
      </c>
      <c r="C441" s="56" t="inlineStr">
        <is>
          <t>DS.2025.2257 Courtyards of Russell Oaks 116</t>
        </is>
      </c>
      <c r="D441" s="56" t="inlineStr">
        <is>
          <t>DW</t>
        </is>
      </c>
      <c r="E441" s="56" t="inlineStr">
        <is>
          <t>(Unassigned)</t>
        </is>
      </c>
      <c r="F441" s="56" t="inlineStr">
        <is>
          <t>Big Dawg Drywall</t>
        </is>
      </c>
      <c r="G441" s="56" t="inlineStr">
        <is>
          <t>ACTIVE</t>
        </is>
      </c>
      <c r="H441" s="57" t="n">
        <v>6943.39</v>
      </c>
      <c r="I441" s="57" t="n">
        <v>0</v>
      </c>
      <c r="J441" s="57" t="n">
        <v>6943.39</v>
      </c>
      <c r="K441" s="57" t="n">
        <v>7429.43</v>
      </c>
      <c r="L441" s="57" t="n">
        <v>0</v>
      </c>
      <c r="M441" s="57" t="n">
        <v>5186.83</v>
      </c>
      <c r="N441" s="58" t="n">
        <v>0</v>
      </c>
      <c r="O441" s="57" t="n">
        <v>0</v>
      </c>
      <c r="P441" s="57" t="n">
        <v>-6943.39</v>
      </c>
      <c r="Q441" s="57" t="n">
        <v>0</v>
      </c>
      <c r="R441" s="57" t="n">
        <v>6943.39</v>
      </c>
      <c r="S441" s="57" t="n">
        <v>0</v>
      </c>
      <c r="T441" s="57" t="n">
        <v>1756.56</v>
      </c>
      <c r="U441" s="58" t="n">
        <v>0.253</v>
      </c>
      <c r="V441" s="57" t="n">
        <v>6943.39</v>
      </c>
      <c r="W441" s="58" t="n">
        <v>1</v>
      </c>
      <c r="X441" s="58" t="n">
        <v>0</v>
      </c>
      <c r="Y441" s="58" t="n">
        <v>0</v>
      </c>
      <c r="Z441" s="57" t="n">
        <v>0</v>
      </c>
      <c r="AA441" s="57" t="n">
        <v>-486.04</v>
      </c>
      <c r="AB441" s="56" t="inlineStr">
        <is>
          <t>FALSE</t>
        </is>
      </c>
      <c r="AC441" s="56" t="inlineStr">
        <is>
          <t>FALSE</t>
        </is>
      </c>
      <c r="AD441" s="57" t="n">
        <v>5186.83</v>
      </c>
      <c r="AE441" s="57" t="n">
        <v>0</v>
      </c>
      <c r="AF441" s="57" t="n">
        <v>0</v>
      </c>
      <c r="AG441" s="57" t="n">
        <v>0</v>
      </c>
      <c r="AH441" s="57" t="n">
        <v>0</v>
      </c>
    </row>
    <row r="442">
      <c r="A442" s="56" t="inlineStr">
        <is>
          <t>2026-06-17</t>
        </is>
      </c>
      <c r="B442" s="56" t="inlineStr">
        <is>
          <t>2422257</t>
        </is>
      </c>
      <c r="C442" s="56" t="inlineStr">
        <is>
          <t>2025.1016 WBP Lot C</t>
        </is>
      </c>
      <c r="D442" s="56" t="inlineStr">
        <is>
          <t>TI</t>
        </is>
      </c>
      <c r="E442" s="56" t="inlineStr">
        <is>
          <t>Tommy Cohoat</t>
        </is>
      </c>
      <c r="F442" s="56" t="inlineStr">
        <is>
          <t>Patch Development</t>
        </is>
      </c>
      <c r="G442" s="56" t="inlineStr">
        <is>
          <t>ACTIVE</t>
        </is>
      </c>
      <c r="H442" s="57" t="n">
        <v>125700</v>
      </c>
      <c r="I442" s="57" t="n">
        <v>-30000</v>
      </c>
      <c r="J442" s="57" t="n">
        <v>125700</v>
      </c>
      <c r="K442" s="57" t="n">
        <v>112618.13</v>
      </c>
      <c r="L442" s="57" t="n">
        <v>53430</v>
      </c>
      <c r="M442" s="57" t="n">
        <v>109812.99</v>
      </c>
      <c r="N442" s="58" t="n">
        <v>2.0553</v>
      </c>
      <c r="O442" s="57" t="n">
        <v>258351.21</v>
      </c>
      <c r="P442" s="57" t="n">
        <v>132651.21</v>
      </c>
      <c r="Q442" s="57" t="n">
        <v>0</v>
      </c>
      <c r="R442" s="57" t="n">
        <v>0</v>
      </c>
      <c r="S442" s="57" t="n">
        <v>132651.21</v>
      </c>
      <c r="T442" s="57" t="n">
        <v>15887.01</v>
      </c>
      <c r="U442" s="58" t="n">
        <v>0.1264</v>
      </c>
      <c r="V442" s="57" t="n">
        <v>72270</v>
      </c>
      <c r="W442" s="58" t="n">
        <v>0.5749</v>
      </c>
      <c r="X442" s="58" t="n">
        <v>0.5749</v>
      </c>
      <c r="Y442" s="58" t="n">
        <v>0.4486</v>
      </c>
      <c r="Z442" s="57" t="n">
        <v>0</v>
      </c>
      <c r="AA442" s="57" t="n">
        <v>13081.87</v>
      </c>
      <c r="AB442" s="56" t="inlineStr">
        <is>
          <t>TRUE</t>
        </is>
      </c>
      <c r="AC442" s="56" t="inlineStr">
        <is>
          <t>TRUE</t>
        </is>
      </c>
      <c r="AD442" s="57" t="n">
        <v>88499.47</v>
      </c>
      <c r="AE442" s="57" t="n">
        <v>19971.26</v>
      </c>
      <c r="AF442" s="57" t="n">
        <v>1342.26</v>
      </c>
      <c r="AG442" s="57" t="n">
        <v>0</v>
      </c>
      <c r="AH442" s="57" t="n">
        <v>0</v>
      </c>
    </row>
    <row r="443">
      <c r="A443" s="56" t="inlineStr">
        <is>
          <t>2026-06-17</t>
        </is>
      </c>
      <c r="B443" s="56" t="inlineStr">
        <is>
          <t>2414762</t>
        </is>
      </c>
      <c r="C443" s="56" t="inlineStr">
        <is>
          <t>2025.1013 Lucas Oil Corydon</t>
        </is>
      </c>
      <c r="D443" s="56" t="inlineStr">
        <is>
          <t>TI</t>
        </is>
      </c>
      <c r="E443" s="56" t="inlineStr">
        <is>
          <t>Shawn Welcher</t>
        </is>
      </c>
      <c r="F443" s="56" t="inlineStr">
        <is>
          <t>Meyer Najem</t>
        </is>
      </c>
      <c r="G443" s="56" t="inlineStr">
        <is>
          <t>ACTIVE</t>
        </is>
      </c>
      <c r="H443" s="57" t="n">
        <v>103243.16</v>
      </c>
      <c r="I443" s="57" t="n">
        <v>3243.16</v>
      </c>
      <c r="J443" s="57" t="n">
        <v>100000</v>
      </c>
      <c r="K443" s="57" t="n">
        <v>0</v>
      </c>
      <c r="L443" s="57" t="n">
        <v>59346.55</v>
      </c>
      <c r="M443" s="57" t="n">
        <v>59346.55</v>
      </c>
      <c r="N443" s="58" t="n">
        <v>1</v>
      </c>
      <c r="O443" s="57" t="n">
        <v>103243.16</v>
      </c>
      <c r="P443" s="57" t="n">
        <v>3243.16</v>
      </c>
      <c r="Q443" s="57" t="n">
        <v>3243.16</v>
      </c>
      <c r="R443" s="57" t="n">
        <v>0</v>
      </c>
      <c r="S443" s="57" t="n">
        <v>3243.16</v>
      </c>
      <c r="T443" s="57" t="n">
        <v>40653.45</v>
      </c>
      <c r="U443" s="58" t="n">
        <v>0.4065</v>
      </c>
      <c r="V443" s="57" t="n">
        <v>43896.61</v>
      </c>
      <c r="W443" s="58" t="n">
        <v>0.4252</v>
      </c>
      <c r="X443" s="58" t="n">
        <v>0.4252</v>
      </c>
      <c r="Y443" s="58" t="n">
        <v>0.0186</v>
      </c>
      <c r="Z443" s="57" t="n">
        <v>0</v>
      </c>
      <c r="AA443" s="57" t="n">
        <v>100000</v>
      </c>
      <c r="AB443" s="56" t="inlineStr">
        <is>
          <t>TRUE</t>
        </is>
      </c>
      <c r="AC443" s="56" t="inlineStr">
        <is>
          <t>TRUE</t>
        </is>
      </c>
      <c r="AD443" s="57" t="n">
        <v>26494.61</v>
      </c>
      <c r="AE443" s="57" t="n">
        <v>32851.94</v>
      </c>
      <c r="AF443" s="57" t="n">
        <v>0</v>
      </c>
      <c r="AG443" s="57" t="n">
        <v>0</v>
      </c>
      <c r="AH443" s="57" t="n">
        <v>0</v>
      </c>
    </row>
    <row r="444">
      <c r="A444" s="56" t="inlineStr">
        <is>
          <t>2026-06-17</t>
        </is>
      </c>
      <c r="B444" s="56" t="inlineStr">
        <is>
          <t>2412851</t>
        </is>
      </c>
      <c r="C444" s="56" t="inlineStr">
        <is>
          <t>2025.1012 Airport South Logistics Bldg. B</t>
        </is>
      </c>
      <c r="D444" s="56" t="inlineStr">
        <is>
          <t>TI</t>
        </is>
      </c>
      <c r="E444" s="56" t="inlineStr">
        <is>
          <t>Spencer Anderson</t>
        </is>
      </c>
      <c r="F444" s="56" t="inlineStr">
        <is>
          <t>ARCO Design/Build</t>
        </is>
      </c>
      <c r="G444" s="56" t="inlineStr">
        <is>
          <t>ACTIVE</t>
        </is>
      </c>
      <c r="H444" s="57" t="n">
        <v>128180</v>
      </c>
      <c r="I444" s="57" t="n">
        <v>115280</v>
      </c>
      <c r="J444" s="57" t="n">
        <v>103245.3</v>
      </c>
      <c r="K444" s="57" t="n">
        <v>9868.5</v>
      </c>
      <c r="L444" s="57" t="n">
        <v>97377</v>
      </c>
      <c r="M444" s="57" t="n">
        <v>97782.06</v>
      </c>
      <c r="N444" s="58" t="n">
        <v>1.0042</v>
      </c>
      <c r="O444" s="57" t="n">
        <v>128718.36</v>
      </c>
      <c r="P444" s="57" t="n">
        <v>25473.06</v>
      </c>
      <c r="Q444" s="57" t="n">
        <v>13463</v>
      </c>
      <c r="R444" s="57" t="n">
        <v>0</v>
      </c>
      <c r="S444" s="57" t="n">
        <v>25473.06</v>
      </c>
      <c r="T444" s="57" t="n">
        <v>16934.94</v>
      </c>
      <c r="U444" s="58" t="n">
        <v>0.1476</v>
      </c>
      <c r="V444" s="57" t="n">
        <v>30803</v>
      </c>
      <c r="W444" s="58" t="n">
        <v>0.2403</v>
      </c>
      <c r="X444" s="58" t="n">
        <v>0.2403</v>
      </c>
      <c r="Y444" s="58" t="n">
        <v>0.0927</v>
      </c>
      <c r="Z444" s="57" t="n">
        <v>11471.7</v>
      </c>
      <c r="AA444" s="57" t="n">
        <v>93376.8</v>
      </c>
      <c r="AB444" s="56" t="inlineStr">
        <is>
          <t>TRUE</t>
        </is>
      </c>
      <c r="AC444" s="56" t="inlineStr">
        <is>
          <t>TRUE</t>
        </is>
      </c>
      <c r="AD444" s="57" t="n">
        <v>56411.43</v>
      </c>
      <c r="AE444" s="57" t="n">
        <v>34813.72</v>
      </c>
      <c r="AF444" s="57" t="n">
        <v>6274.91</v>
      </c>
      <c r="AG444" s="57" t="n">
        <v>282</v>
      </c>
      <c r="AH444" s="57" t="n">
        <v>0</v>
      </c>
    </row>
    <row r="445">
      <c r="A445" s="56" t="inlineStr">
        <is>
          <t>2026-06-17</t>
        </is>
      </c>
      <c r="B445" s="56" t="inlineStr">
        <is>
          <t>2412835</t>
        </is>
      </c>
      <c r="C445" s="56" t="inlineStr">
        <is>
          <t>2025.1011 Airport South Logistics Bldg. A</t>
        </is>
      </c>
      <c r="D445" s="56" t="inlineStr">
        <is>
          <t>TI</t>
        </is>
      </c>
      <c r="E445" s="56" t="inlineStr">
        <is>
          <t>Spencer Anderson</t>
        </is>
      </c>
      <c r="F445" s="56" t="inlineStr">
        <is>
          <t>ARCO Design/Build</t>
        </is>
      </c>
      <c r="G445" s="56" t="inlineStr">
        <is>
          <t>ACTIVE</t>
        </is>
      </c>
      <c r="H445" s="57" t="n">
        <v>134480</v>
      </c>
      <c r="I445" s="57" t="n">
        <v>115280</v>
      </c>
      <c r="J445" s="57" t="n">
        <v>0</v>
      </c>
      <c r="K445" s="57" t="n">
        <v>0</v>
      </c>
      <c r="L445" s="57" t="n">
        <v>82800</v>
      </c>
      <c r="M445" s="57" t="n">
        <v>42.24</v>
      </c>
      <c r="N445" s="58" t="n">
        <v>0.0005</v>
      </c>
      <c r="O445" s="57" t="n">
        <v>67.23999999999999</v>
      </c>
      <c r="P445" s="57" t="n">
        <v>67.23999999999999</v>
      </c>
      <c r="Q445" s="57" t="n">
        <v>68.59999999999999</v>
      </c>
      <c r="R445" s="57" t="n">
        <v>0</v>
      </c>
      <c r="S445" s="57" t="n">
        <v>67.23999999999999</v>
      </c>
      <c r="T445" s="57" t="n">
        <v>-42.24</v>
      </c>
      <c r="U445" s="58" t="n">
        <v>0</v>
      </c>
      <c r="V445" s="57" t="n">
        <v>51680</v>
      </c>
      <c r="W445" s="58" t="n">
        <v>0.3843</v>
      </c>
      <c r="X445" s="58" t="n">
        <v>0.3843</v>
      </c>
      <c r="Y445" s="58" t="n">
        <v>0.3843</v>
      </c>
      <c r="Z445" s="57" t="n">
        <v>0</v>
      </c>
      <c r="AA445" s="57" t="n">
        <v>0</v>
      </c>
      <c r="AB445" s="56" t="inlineStr">
        <is>
          <t>TRUE</t>
        </is>
      </c>
      <c r="AC445" s="56" t="inlineStr">
        <is>
          <t>TRUE</t>
        </is>
      </c>
      <c r="AD445" s="57" t="n">
        <v>0</v>
      </c>
      <c r="AE445" s="57" t="n">
        <v>0</v>
      </c>
      <c r="AF445" s="57" t="n">
        <v>0</v>
      </c>
      <c r="AG445" s="57" t="n">
        <v>42.24</v>
      </c>
      <c r="AH445" s="57" t="n">
        <v>0</v>
      </c>
    </row>
    <row r="446">
      <c r="A446" s="56" t="inlineStr">
        <is>
          <t>2026-06-17</t>
        </is>
      </c>
      <c r="B446" s="56" t="inlineStr">
        <is>
          <t>2400949</t>
        </is>
      </c>
      <c r="C446" s="56" t="inlineStr">
        <is>
          <t>DS.2025.2243 5689 N Ohio Ridge Rd</t>
        </is>
      </c>
      <c r="D446" s="56" t="inlineStr">
        <is>
          <t>DW</t>
        </is>
      </c>
      <c r="E446" s="56" t="inlineStr">
        <is>
          <t>(Unassigned)</t>
        </is>
      </c>
      <c r="F446" s="56" t="inlineStr">
        <is>
          <t>GSI - Gregory Scott Inabnit LLC</t>
        </is>
      </c>
      <c r="G446" s="56" t="inlineStr">
        <is>
          <t>ACTIVE</t>
        </is>
      </c>
      <c r="H446" s="57" t="n">
        <v>7069.21</v>
      </c>
      <c r="I446" s="57" t="n">
        <v>0</v>
      </c>
      <c r="J446" s="57" t="n">
        <v>7069.21</v>
      </c>
      <c r="K446" s="57" t="n">
        <v>7564.05</v>
      </c>
      <c r="L446" s="57" t="n">
        <v>0</v>
      </c>
      <c r="M446" s="57" t="n">
        <v>4853.4</v>
      </c>
      <c r="N446" s="58" t="n">
        <v>0</v>
      </c>
      <c r="O446" s="57" t="n">
        <v>0</v>
      </c>
      <c r="P446" s="57" t="n">
        <v>-7069.21</v>
      </c>
      <c r="Q446" s="57" t="n">
        <v>0</v>
      </c>
      <c r="R446" s="57" t="n">
        <v>7069.21</v>
      </c>
      <c r="S446" s="57" t="n">
        <v>0</v>
      </c>
      <c r="T446" s="57" t="n">
        <v>2215.81</v>
      </c>
      <c r="U446" s="58" t="n">
        <v>0.3134</v>
      </c>
      <c r="V446" s="57" t="n">
        <v>7069.21</v>
      </c>
      <c r="W446" s="58" t="n">
        <v>1</v>
      </c>
      <c r="X446" s="58" t="n">
        <v>0</v>
      </c>
      <c r="Y446" s="58" t="n">
        <v>0</v>
      </c>
      <c r="Z446" s="57" t="n">
        <v>0</v>
      </c>
      <c r="AA446" s="57" t="n">
        <v>-494.84</v>
      </c>
      <c r="AB446" s="56" t="inlineStr">
        <is>
          <t>FALSE</t>
        </is>
      </c>
      <c r="AC446" s="56" t="inlineStr">
        <is>
          <t>FALSE</t>
        </is>
      </c>
      <c r="AD446" s="57" t="n">
        <v>4853.4</v>
      </c>
      <c r="AE446" s="57" t="n">
        <v>0</v>
      </c>
      <c r="AF446" s="57" t="n">
        <v>0</v>
      </c>
      <c r="AG446" s="57" t="n">
        <v>0</v>
      </c>
      <c r="AH446" s="57" t="n">
        <v>0</v>
      </c>
    </row>
    <row r="447">
      <c r="A447" s="56" t="inlineStr">
        <is>
          <t>2026-06-17</t>
        </is>
      </c>
      <c r="B447" s="56" t="inlineStr">
        <is>
          <t>2400575</t>
        </is>
      </c>
      <c r="C447" s="56" t="inlineStr">
        <is>
          <t>DS.2025.2241 6915 SR 550</t>
        </is>
      </c>
      <c r="D447" s="56" t="inlineStr">
        <is>
          <t>DW</t>
        </is>
      </c>
      <c r="E447" s="56" t="inlineStr">
        <is>
          <t>(Unassigned)</t>
        </is>
      </c>
      <c r="F447" s="56" t="inlineStr">
        <is>
          <t>Total Drywall Solutions Inc</t>
        </is>
      </c>
      <c r="G447" s="56" t="inlineStr">
        <is>
          <t>ACTIVE</t>
        </is>
      </c>
      <c r="H447" s="57" t="n">
        <v>3247.36</v>
      </c>
      <c r="I447" s="57" t="n">
        <v>0</v>
      </c>
      <c r="J447" s="57" t="n">
        <v>3247.36</v>
      </c>
      <c r="K447" s="57" t="n">
        <v>0</v>
      </c>
      <c r="L447" s="57" t="n">
        <v>0</v>
      </c>
      <c r="M447" s="57" t="n">
        <v>2345.39</v>
      </c>
      <c r="N447" s="58" t="n">
        <v>0</v>
      </c>
      <c r="O447" s="57" t="n">
        <v>0</v>
      </c>
      <c r="P447" s="57" t="n">
        <v>-3247.36</v>
      </c>
      <c r="Q447" s="57" t="n">
        <v>0</v>
      </c>
      <c r="R447" s="57" t="n">
        <v>3247.36</v>
      </c>
      <c r="S447" s="57" t="n">
        <v>0</v>
      </c>
      <c r="T447" s="57" t="n">
        <v>901.97</v>
      </c>
      <c r="U447" s="58" t="n">
        <v>0.2778</v>
      </c>
      <c r="V447" s="57" t="n">
        <v>3247.36</v>
      </c>
      <c r="W447" s="58" t="n">
        <v>1</v>
      </c>
      <c r="X447" s="58" t="n">
        <v>0</v>
      </c>
      <c r="Y447" s="58" t="n">
        <v>0</v>
      </c>
      <c r="Z447" s="57" t="n">
        <v>0</v>
      </c>
      <c r="AA447" s="57" t="n">
        <v>3247.36</v>
      </c>
      <c r="AB447" s="56" t="inlineStr">
        <is>
          <t>FALSE</t>
        </is>
      </c>
      <c r="AC447" s="56" t="inlineStr">
        <is>
          <t>FALSE</t>
        </is>
      </c>
      <c r="AD447" s="57" t="n">
        <v>2345.39</v>
      </c>
      <c r="AE447" s="57" t="n">
        <v>0</v>
      </c>
      <c r="AF447" s="57" t="n">
        <v>0</v>
      </c>
      <c r="AG447" s="57" t="n">
        <v>0</v>
      </c>
      <c r="AH447" s="57" t="n">
        <v>0</v>
      </c>
    </row>
    <row r="448">
      <c r="A448" s="56" t="inlineStr">
        <is>
          <t>2026-06-17</t>
        </is>
      </c>
      <c r="B448" s="56" t="inlineStr">
        <is>
          <t>2394684</t>
        </is>
      </c>
      <c r="C448" s="56" t="inlineStr">
        <is>
          <t>2025.1027 Indy Boat Co</t>
        </is>
      </c>
      <c r="D448" s="56" t="inlineStr">
        <is>
          <t>TI</t>
        </is>
      </c>
      <c r="E448" s="56" t="inlineStr">
        <is>
          <t>Trevor Anderson</t>
        </is>
      </c>
      <c r="F448" s="56" t="inlineStr">
        <is>
          <t>Raley Wake, LLC</t>
        </is>
      </c>
      <c r="G448" s="56" t="inlineStr">
        <is>
          <t>ACTIVE</t>
        </is>
      </c>
      <c r="H448" s="57" t="n">
        <v>242452.3</v>
      </c>
      <c r="I448" s="57" t="n">
        <v>24952.3</v>
      </c>
      <c r="J448" s="57" t="n">
        <v>136345.9</v>
      </c>
      <c r="K448" s="57" t="n">
        <v>136345.9</v>
      </c>
      <c r="L448" s="57" t="n">
        <v>128453.53</v>
      </c>
      <c r="M448" s="57" t="n">
        <v>124548.27</v>
      </c>
      <c r="N448" s="58" t="n">
        <v>0.9696</v>
      </c>
      <c r="O448" s="57" t="n">
        <v>235081.75</v>
      </c>
      <c r="P448" s="57" t="n">
        <v>98735.85000000001</v>
      </c>
      <c r="Q448" s="57" t="n">
        <v>86019.78999999999</v>
      </c>
      <c r="R448" s="57" t="n">
        <v>0</v>
      </c>
      <c r="S448" s="57" t="n">
        <v>98735.85000000001</v>
      </c>
      <c r="T448" s="57" t="n">
        <v>24513.18</v>
      </c>
      <c r="U448" s="58" t="n">
        <v>0.1645</v>
      </c>
      <c r="V448" s="57" t="n">
        <v>113998.77</v>
      </c>
      <c r="W448" s="58" t="n">
        <v>0.4702</v>
      </c>
      <c r="X448" s="58" t="n">
        <v>0.4702</v>
      </c>
      <c r="Y448" s="58" t="n">
        <v>0.3057</v>
      </c>
      <c r="Z448" s="57" t="n">
        <v>12715.55</v>
      </c>
      <c r="AA448" s="57" t="n">
        <v>0</v>
      </c>
      <c r="AB448" s="56" t="inlineStr">
        <is>
          <t>TRUE</t>
        </is>
      </c>
      <c r="AC448" s="56" t="inlineStr">
        <is>
          <t>TRUE</t>
        </is>
      </c>
      <c r="AD448" s="57" t="n">
        <v>58783.29</v>
      </c>
      <c r="AE448" s="57" t="n">
        <v>58603.21</v>
      </c>
      <c r="AF448" s="57" t="n">
        <v>7063.32</v>
      </c>
      <c r="AG448" s="57" t="n">
        <v>98.45</v>
      </c>
      <c r="AH448" s="57" t="n">
        <v>0</v>
      </c>
    </row>
    <row r="449">
      <c r="A449" s="56" t="inlineStr">
        <is>
          <t>2026-06-17</t>
        </is>
      </c>
      <c r="B449" s="56" t="inlineStr">
        <is>
          <t>2394677</t>
        </is>
      </c>
      <c r="C449" s="56" t="inlineStr">
        <is>
          <t>MF.2025.1019 Town &amp; Country Apartments (NY MF Project - 22 bldgs)</t>
        </is>
      </c>
      <c r="D449" s="56" t="inlineStr">
        <is>
          <t>MF</t>
        </is>
      </c>
      <c r="E449" s="56" t="inlineStr">
        <is>
          <t>Kelden Tyson</t>
        </is>
      </c>
      <c r="F449" s="56" t="inlineStr">
        <is>
          <t>Marous Brothers Construction</t>
        </is>
      </c>
      <c r="G449" s="56" t="inlineStr">
        <is>
          <t>ACTIVE</t>
        </is>
      </c>
      <c r="H449" s="57" t="n">
        <v>8064307.39</v>
      </c>
      <c r="I449" s="57" t="n">
        <v>327165.39</v>
      </c>
      <c r="J449" s="57" t="n">
        <v>2583844.73</v>
      </c>
      <c r="K449" s="57" t="n">
        <v>2028381.32</v>
      </c>
      <c r="L449" s="57" t="n">
        <v>4716881.88</v>
      </c>
      <c r="M449" s="57" t="n">
        <v>1661749.53</v>
      </c>
      <c r="N449" s="58" t="n">
        <v>0.3523</v>
      </c>
      <c r="O449" s="57" t="n">
        <v>2841055.49</v>
      </c>
      <c r="P449" s="57" t="n">
        <v>257210.76</v>
      </c>
      <c r="Q449" s="57" t="n">
        <v>121205.35</v>
      </c>
      <c r="R449" s="57" t="n">
        <v>0</v>
      </c>
      <c r="S449" s="57" t="n">
        <v>257210.76</v>
      </c>
      <c r="T449" s="57" t="n">
        <v>1058087.01</v>
      </c>
      <c r="U449" s="58" t="n">
        <v>0.389</v>
      </c>
      <c r="V449" s="57" t="n">
        <v>3347425.51</v>
      </c>
      <c r="W449" s="58" t="n">
        <v>0.4151</v>
      </c>
      <c r="X449" s="58" t="n">
        <v>0.4151</v>
      </c>
      <c r="Y449" s="58" t="n">
        <v>0.0261</v>
      </c>
      <c r="Z449" s="57" t="n">
        <v>135991.81</v>
      </c>
      <c r="AA449" s="57" t="n">
        <v>555463.41</v>
      </c>
      <c r="AB449" s="56" t="inlineStr">
        <is>
          <t>TRUE</t>
        </is>
      </c>
      <c r="AC449" s="56" t="inlineStr">
        <is>
          <t>TRUE</t>
        </is>
      </c>
      <c r="AD449" s="57" t="n">
        <v>515763.97</v>
      </c>
      <c r="AE449" s="57" t="n">
        <v>934962.2</v>
      </c>
      <c r="AF449" s="57" t="n">
        <v>158443.62</v>
      </c>
      <c r="AG449" s="57" t="n">
        <v>52579.74</v>
      </c>
      <c r="AH449" s="57" t="n">
        <v>0</v>
      </c>
    </row>
    <row r="450">
      <c r="A450" s="56" t="inlineStr">
        <is>
          <t>2026-06-17</t>
        </is>
      </c>
      <c r="B450" s="56" t="inlineStr">
        <is>
          <t>2389374</t>
        </is>
      </c>
      <c r="C450" s="56" t="inlineStr">
        <is>
          <t>DS.2025.2236 Courtyards of Russell Oaks 149,146</t>
        </is>
      </c>
      <c r="D450" s="56" t="inlineStr">
        <is>
          <t>DW</t>
        </is>
      </c>
      <c r="E450" s="56" t="inlineStr">
        <is>
          <t>(Unassigned)</t>
        </is>
      </c>
      <c r="F450" s="56" t="inlineStr">
        <is>
          <t>Big Dawg Drywall</t>
        </is>
      </c>
      <c r="G450" s="56" t="inlineStr">
        <is>
          <t>ACTIVE</t>
        </is>
      </c>
      <c r="H450" s="57" t="n">
        <v>650.16</v>
      </c>
      <c r="I450" s="57" t="n">
        <v>0</v>
      </c>
      <c r="J450" s="57" t="n">
        <v>650.16</v>
      </c>
      <c r="K450" s="57" t="n">
        <v>695.67</v>
      </c>
      <c r="L450" s="57" t="n">
        <v>0</v>
      </c>
      <c r="M450" s="57" t="n">
        <v>468.72</v>
      </c>
      <c r="N450" s="58" t="n">
        <v>0</v>
      </c>
      <c r="O450" s="57" t="n">
        <v>0</v>
      </c>
      <c r="P450" s="57" t="n">
        <v>-650.16</v>
      </c>
      <c r="Q450" s="57" t="n">
        <v>0</v>
      </c>
      <c r="R450" s="57" t="n">
        <v>650.16</v>
      </c>
      <c r="S450" s="57" t="n">
        <v>0</v>
      </c>
      <c r="T450" s="57" t="n">
        <v>181.44</v>
      </c>
      <c r="U450" s="58" t="n">
        <v>0.2791</v>
      </c>
      <c r="V450" s="57" t="n">
        <v>650.16</v>
      </c>
      <c r="W450" s="58" t="n">
        <v>1</v>
      </c>
      <c r="X450" s="58" t="n">
        <v>0</v>
      </c>
      <c r="Y450" s="58" t="n">
        <v>0</v>
      </c>
      <c r="Z450" s="57" t="n">
        <v>0</v>
      </c>
      <c r="AA450" s="57" t="n">
        <v>-45.51</v>
      </c>
      <c r="AB450" s="56" t="inlineStr">
        <is>
          <t>FALSE</t>
        </is>
      </c>
      <c r="AC450" s="56" t="inlineStr">
        <is>
          <t>FALSE</t>
        </is>
      </c>
      <c r="AD450" s="57" t="n">
        <v>468.72</v>
      </c>
      <c r="AE450" s="57" t="n">
        <v>0</v>
      </c>
      <c r="AF450" s="57" t="n">
        <v>0</v>
      </c>
      <c r="AG450" s="57" t="n">
        <v>0</v>
      </c>
      <c r="AH450" s="57" t="n">
        <v>0</v>
      </c>
    </row>
    <row r="451">
      <c r="A451" s="56" t="inlineStr">
        <is>
          <t>2026-06-17</t>
        </is>
      </c>
      <c r="B451" s="56" t="inlineStr">
        <is>
          <t>2389077</t>
        </is>
      </c>
      <c r="C451" s="56" t="inlineStr">
        <is>
          <t>DS.2025.2235 18 Store Estates</t>
        </is>
      </c>
      <c r="D451" s="56" t="inlineStr">
        <is>
          <t>DW</t>
        </is>
      </c>
      <c r="E451" s="56" t="inlineStr">
        <is>
          <t>(Unassigned)</t>
        </is>
      </c>
      <c r="F451" s="56" t="inlineStr">
        <is>
          <t>Community Drywall</t>
        </is>
      </c>
      <c r="G451" s="56" t="inlineStr">
        <is>
          <t>ACTIVE</t>
        </is>
      </c>
      <c r="H451" s="57" t="n">
        <v>5273.96</v>
      </c>
      <c r="I451" s="57" t="n">
        <v>0</v>
      </c>
      <c r="J451" s="57" t="n">
        <v>5273.96</v>
      </c>
      <c r="K451" s="57" t="n">
        <v>0</v>
      </c>
      <c r="L451" s="57" t="n">
        <v>0</v>
      </c>
      <c r="M451" s="57" t="n">
        <v>3825.13</v>
      </c>
      <c r="N451" s="58" t="n">
        <v>0</v>
      </c>
      <c r="O451" s="57" t="n">
        <v>0</v>
      </c>
      <c r="P451" s="57" t="n">
        <v>-5273.96</v>
      </c>
      <c r="Q451" s="57" t="n">
        <v>0</v>
      </c>
      <c r="R451" s="57" t="n">
        <v>5273.96</v>
      </c>
      <c r="S451" s="57" t="n">
        <v>0</v>
      </c>
      <c r="T451" s="57" t="n">
        <v>1448.83</v>
      </c>
      <c r="U451" s="58" t="n">
        <v>0.2747</v>
      </c>
      <c r="V451" s="57" t="n">
        <v>5273.96</v>
      </c>
      <c r="W451" s="58" t="n">
        <v>1</v>
      </c>
      <c r="X451" s="58" t="n">
        <v>0</v>
      </c>
      <c r="Y451" s="58" t="n">
        <v>0</v>
      </c>
      <c r="Z451" s="57" t="n">
        <v>0</v>
      </c>
      <c r="AA451" s="57" t="n">
        <v>5273.96</v>
      </c>
      <c r="AB451" s="56" t="inlineStr">
        <is>
          <t>FALSE</t>
        </is>
      </c>
      <c r="AC451" s="56" t="inlineStr">
        <is>
          <t>FALSE</t>
        </is>
      </c>
      <c r="AD451" s="57" t="n">
        <v>3825.13</v>
      </c>
      <c r="AE451" s="57" t="n">
        <v>0</v>
      </c>
      <c r="AF451" s="57" t="n">
        <v>0</v>
      </c>
      <c r="AG451" s="57" t="n">
        <v>0</v>
      </c>
      <c r="AH451" s="57" t="n">
        <v>0</v>
      </c>
    </row>
    <row r="452">
      <c r="A452" s="56" t="inlineStr">
        <is>
          <t>2026-06-17</t>
        </is>
      </c>
      <c r="B452" s="56" t="inlineStr">
        <is>
          <t>2388892</t>
        </is>
      </c>
      <c r="C452" s="56" t="inlineStr">
        <is>
          <t>DS.2025.2234 Lot 4 Store Estates</t>
        </is>
      </c>
      <c r="D452" s="56" t="inlineStr">
        <is>
          <t>DW</t>
        </is>
      </c>
      <c r="E452" s="56" t="inlineStr">
        <is>
          <t>(Unassigned)</t>
        </is>
      </c>
      <c r="F452" s="56" t="inlineStr">
        <is>
          <t>Community Drywall</t>
        </is>
      </c>
      <c r="G452" s="56" t="inlineStr">
        <is>
          <t>ACTIVE</t>
        </is>
      </c>
      <c r="H452" s="57" t="n">
        <v>5095.88</v>
      </c>
      <c r="I452" s="57" t="n">
        <v>0</v>
      </c>
      <c r="J452" s="57" t="n">
        <v>5095.88</v>
      </c>
      <c r="K452" s="57" t="n">
        <v>0</v>
      </c>
      <c r="L452" s="57" t="n">
        <v>0</v>
      </c>
      <c r="M452" s="57" t="n">
        <v>3662.33</v>
      </c>
      <c r="N452" s="58" t="n">
        <v>0</v>
      </c>
      <c r="O452" s="57" t="n">
        <v>0</v>
      </c>
      <c r="P452" s="57" t="n">
        <v>-5095.88</v>
      </c>
      <c r="Q452" s="57" t="n">
        <v>0</v>
      </c>
      <c r="R452" s="57" t="n">
        <v>5095.88</v>
      </c>
      <c r="S452" s="57" t="n">
        <v>0</v>
      </c>
      <c r="T452" s="57" t="n">
        <v>1433.55</v>
      </c>
      <c r="U452" s="58" t="n">
        <v>0.2813</v>
      </c>
      <c r="V452" s="57" t="n">
        <v>5095.88</v>
      </c>
      <c r="W452" s="58" t="n">
        <v>1</v>
      </c>
      <c r="X452" s="58" t="n">
        <v>0</v>
      </c>
      <c r="Y452" s="58" t="n">
        <v>0</v>
      </c>
      <c r="Z452" s="57" t="n">
        <v>0</v>
      </c>
      <c r="AA452" s="57" t="n">
        <v>5095.88</v>
      </c>
      <c r="AB452" s="56" t="inlineStr">
        <is>
          <t>FALSE</t>
        </is>
      </c>
      <c r="AC452" s="56" t="inlineStr">
        <is>
          <t>FALSE</t>
        </is>
      </c>
      <c r="AD452" s="57" t="n">
        <v>3662.33</v>
      </c>
      <c r="AE452" s="57" t="n">
        <v>0</v>
      </c>
      <c r="AF452" s="57" t="n">
        <v>0</v>
      </c>
      <c r="AG452" s="57" t="n">
        <v>0</v>
      </c>
      <c r="AH452" s="57" t="n">
        <v>0</v>
      </c>
    </row>
    <row r="453">
      <c r="A453" s="56" t="inlineStr">
        <is>
          <t>2026-06-17</t>
        </is>
      </c>
      <c r="B453" s="56" t="inlineStr">
        <is>
          <t>2388766</t>
        </is>
      </c>
      <c r="C453" s="56" t="inlineStr">
        <is>
          <t>DS.2025.2233 49 Bills Blvd</t>
        </is>
      </c>
      <c r="D453" s="56" t="inlineStr">
        <is>
          <t>DW</t>
        </is>
      </c>
      <c r="E453" s="56" t="inlineStr">
        <is>
          <t>(Unassigned)</t>
        </is>
      </c>
      <c r="F453" s="56" t="inlineStr">
        <is>
          <t>Kjt General Construction</t>
        </is>
      </c>
      <c r="G453" s="56" t="inlineStr">
        <is>
          <t>ACTIVE</t>
        </is>
      </c>
      <c r="H453" s="57" t="n">
        <v>2379.05</v>
      </c>
      <c r="I453" s="57" t="n">
        <v>0</v>
      </c>
      <c r="J453" s="57" t="n">
        <v>2379.05</v>
      </c>
      <c r="K453" s="57" t="n">
        <v>0</v>
      </c>
      <c r="L453" s="57" t="n">
        <v>0</v>
      </c>
      <c r="M453" s="57" t="n">
        <v>1672.2</v>
      </c>
      <c r="N453" s="58" t="n">
        <v>0</v>
      </c>
      <c r="O453" s="57" t="n">
        <v>0</v>
      </c>
      <c r="P453" s="57" t="n">
        <v>-2379.05</v>
      </c>
      <c r="Q453" s="57" t="n">
        <v>0</v>
      </c>
      <c r="R453" s="57" t="n">
        <v>2379.05</v>
      </c>
      <c r="S453" s="57" t="n">
        <v>0</v>
      </c>
      <c r="T453" s="57" t="n">
        <v>706.85</v>
      </c>
      <c r="U453" s="58" t="n">
        <v>0.2971</v>
      </c>
      <c r="V453" s="57" t="n">
        <v>2379.05</v>
      </c>
      <c r="W453" s="58" t="n">
        <v>1</v>
      </c>
      <c r="X453" s="58" t="n">
        <v>0</v>
      </c>
      <c r="Y453" s="58" t="n">
        <v>0</v>
      </c>
      <c r="Z453" s="57" t="n">
        <v>0</v>
      </c>
      <c r="AA453" s="57" t="n">
        <v>2379.05</v>
      </c>
      <c r="AB453" s="56" t="inlineStr">
        <is>
          <t>FALSE</t>
        </is>
      </c>
      <c r="AC453" s="56" t="inlineStr">
        <is>
          <t>FALSE</t>
        </is>
      </c>
      <c r="AD453" s="57" t="n">
        <v>1672.2</v>
      </c>
      <c r="AE453" s="57" t="n">
        <v>0</v>
      </c>
      <c r="AF453" s="57" t="n">
        <v>0</v>
      </c>
      <c r="AG453" s="57" t="n">
        <v>0</v>
      </c>
      <c r="AH453" s="57" t="n">
        <v>0</v>
      </c>
    </row>
    <row r="454">
      <c r="A454" s="56" t="inlineStr">
        <is>
          <t>2026-06-17</t>
        </is>
      </c>
      <c r="B454" s="56" t="inlineStr">
        <is>
          <t>2383587</t>
        </is>
      </c>
      <c r="C454" s="56" t="inlineStr">
        <is>
          <t>2025.1006 Keller Office</t>
        </is>
      </c>
      <c r="D454" s="56" t="inlineStr">
        <is>
          <t>TI</t>
        </is>
      </c>
      <c r="E454" s="56" t="inlineStr">
        <is>
          <t>Ben Garza</t>
        </is>
      </c>
      <c r="F454" s="56" t="inlineStr">
        <is>
          <t>ARCO Design/Build</t>
        </is>
      </c>
      <c r="G454" s="56" t="inlineStr">
        <is>
          <t>ACTIVE</t>
        </is>
      </c>
      <c r="H454" s="57" t="n">
        <v>276600</v>
      </c>
      <c r="I454" s="57" t="n">
        <v>242700</v>
      </c>
      <c r="J454" s="57" t="n">
        <v>191272.5</v>
      </c>
      <c r="K454" s="57" t="n">
        <v>0</v>
      </c>
      <c r="L454" s="57" t="n">
        <v>151740.65</v>
      </c>
      <c r="M454" s="57" t="n">
        <v>155439.2</v>
      </c>
      <c r="N454" s="58" t="n">
        <v>1.0244</v>
      </c>
      <c r="O454" s="57" t="n">
        <v>283349.04</v>
      </c>
      <c r="P454" s="57" t="n">
        <v>92076.53999999999</v>
      </c>
      <c r="Q454" s="57" t="n">
        <v>64075</v>
      </c>
      <c r="R454" s="57" t="n">
        <v>0</v>
      </c>
      <c r="S454" s="57" t="n">
        <v>92076.53999999999</v>
      </c>
      <c r="T454" s="57" t="n">
        <v>57085.8</v>
      </c>
      <c r="U454" s="58" t="n">
        <v>0.2686</v>
      </c>
      <c r="V454" s="57" t="n">
        <v>124859.35</v>
      </c>
      <c r="W454" s="58" t="n">
        <v>0.4514</v>
      </c>
      <c r="X454" s="58" t="n">
        <v>0.4514</v>
      </c>
      <c r="Y454" s="58" t="n">
        <v>0.1828</v>
      </c>
      <c r="Z454" s="57" t="n">
        <v>21252.5</v>
      </c>
      <c r="AA454" s="57" t="n">
        <v>191272.5</v>
      </c>
      <c r="AB454" s="56" t="inlineStr">
        <is>
          <t>TRUE</t>
        </is>
      </c>
      <c r="AC454" s="56" t="inlineStr">
        <is>
          <t>TRUE</t>
        </is>
      </c>
      <c r="AD454" s="57" t="n">
        <v>105332.37</v>
      </c>
      <c r="AE454" s="57" t="n">
        <v>42120.77</v>
      </c>
      <c r="AF454" s="57" t="n">
        <v>7257.54</v>
      </c>
      <c r="AG454" s="57" t="n">
        <v>728.52</v>
      </c>
      <c r="AH454" s="57" t="n">
        <v>0</v>
      </c>
    </row>
    <row r="455">
      <c r="A455" s="56" t="inlineStr">
        <is>
          <t>2026-06-17</t>
        </is>
      </c>
      <c r="B455" s="56" t="inlineStr">
        <is>
          <t>2381339</t>
        </is>
      </c>
      <c r="C455" s="56" t="inlineStr">
        <is>
          <t>DS.2025.2228 Edgebrook Lot 72</t>
        </is>
      </c>
      <c r="D455" s="56" t="inlineStr">
        <is>
          <t>DW</t>
        </is>
      </c>
      <c r="E455" s="56" t="inlineStr">
        <is>
          <t>(Unassigned)</t>
        </is>
      </c>
      <c r="F455" s="56" t="inlineStr">
        <is>
          <t>Pro Fix Drywaller, LLC</t>
        </is>
      </c>
      <c r="G455" s="56" t="inlineStr">
        <is>
          <t>ACTIVE</t>
        </is>
      </c>
      <c r="H455" s="57" t="n">
        <v>6184.17</v>
      </c>
      <c r="I455" s="57" t="n">
        <v>0</v>
      </c>
      <c r="J455" s="57" t="n">
        <v>6184.17</v>
      </c>
      <c r="K455" s="57" t="n">
        <v>6617.06</v>
      </c>
      <c r="L455" s="57" t="n">
        <v>0</v>
      </c>
      <c r="M455" s="57" t="n">
        <v>4654.79</v>
      </c>
      <c r="N455" s="58" t="n">
        <v>0</v>
      </c>
      <c r="O455" s="57" t="n">
        <v>0</v>
      </c>
      <c r="P455" s="57" t="n">
        <v>-6184.17</v>
      </c>
      <c r="Q455" s="57" t="n">
        <v>0</v>
      </c>
      <c r="R455" s="57" t="n">
        <v>6184.17</v>
      </c>
      <c r="S455" s="57" t="n">
        <v>0</v>
      </c>
      <c r="T455" s="57" t="n">
        <v>1529.38</v>
      </c>
      <c r="U455" s="58" t="n">
        <v>0.2473</v>
      </c>
      <c r="V455" s="57" t="n">
        <v>6184.17</v>
      </c>
      <c r="W455" s="58" t="n">
        <v>1</v>
      </c>
      <c r="X455" s="58" t="n">
        <v>0</v>
      </c>
      <c r="Y455" s="58" t="n">
        <v>0</v>
      </c>
      <c r="Z455" s="57" t="n">
        <v>0</v>
      </c>
      <c r="AA455" s="57" t="n">
        <v>-432.89</v>
      </c>
      <c r="AB455" s="56" t="inlineStr">
        <is>
          <t>FALSE</t>
        </is>
      </c>
      <c r="AC455" s="56" t="inlineStr">
        <is>
          <t>FALSE</t>
        </is>
      </c>
      <c r="AD455" s="57" t="n">
        <v>4654.79</v>
      </c>
      <c r="AE455" s="57" t="n">
        <v>0</v>
      </c>
      <c r="AF455" s="57" t="n">
        <v>0</v>
      </c>
      <c r="AG455" s="57" t="n">
        <v>0</v>
      </c>
      <c r="AH455" s="57" t="n">
        <v>0</v>
      </c>
    </row>
    <row r="456">
      <c r="A456" s="56" t="inlineStr">
        <is>
          <t>2026-06-17</t>
        </is>
      </c>
      <c r="B456" s="56" t="inlineStr">
        <is>
          <t>2368894</t>
        </is>
      </c>
      <c r="C456" s="56" t="inlineStr">
        <is>
          <t>DS.2025.2222 Courtyards of Russell Oaks 55</t>
        </is>
      </c>
      <c r="D456" s="56" t="inlineStr">
        <is>
          <t>DW</t>
        </is>
      </c>
      <c r="E456" s="56" t="inlineStr">
        <is>
          <t>(Unassigned)</t>
        </is>
      </c>
      <c r="F456" s="56" t="inlineStr">
        <is>
          <t>Big Dawg Drywall</t>
        </is>
      </c>
      <c r="G456" s="56" t="inlineStr">
        <is>
          <t>ACTIVE</t>
        </is>
      </c>
      <c r="H456" s="57" t="n">
        <v>6474.74</v>
      </c>
      <c r="I456" s="57" t="n">
        <v>0</v>
      </c>
      <c r="J456" s="57" t="n">
        <v>6474.74</v>
      </c>
      <c r="K456" s="57" t="n">
        <v>6927.97</v>
      </c>
      <c r="L456" s="57" t="n">
        <v>0</v>
      </c>
      <c r="M456" s="57" t="n">
        <v>4767.3</v>
      </c>
      <c r="N456" s="58" t="n">
        <v>0</v>
      </c>
      <c r="O456" s="57" t="n">
        <v>0</v>
      </c>
      <c r="P456" s="57" t="n">
        <v>-6474.74</v>
      </c>
      <c r="Q456" s="57" t="n">
        <v>0</v>
      </c>
      <c r="R456" s="57" t="n">
        <v>6474.74</v>
      </c>
      <c r="S456" s="57" t="n">
        <v>0</v>
      </c>
      <c r="T456" s="57" t="n">
        <v>1707.44</v>
      </c>
      <c r="U456" s="58" t="n">
        <v>0.2637</v>
      </c>
      <c r="V456" s="57" t="n">
        <v>6474.74</v>
      </c>
      <c r="W456" s="58" t="n">
        <v>1</v>
      </c>
      <c r="X456" s="58" t="n">
        <v>0</v>
      </c>
      <c r="Y456" s="58" t="n">
        <v>0</v>
      </c>
      <c r="Z456" s="57" t="n">
        <v>0</v>
      </c>
      <c r="AA456" s="57" t="n">
        <v>-453.23</v>
      </c>
      <c r="AB456" s="56" t="inlineStr">
        <is>
          <t>FALSE</t>
        </is>
      </c>
      <c r="AC456" s="56" t="inlineStr">
        <is>
          <t>FALSE</t>
        </is>
      </c>
      <c r="AD456" s="57" t="n">
        <v>4767.3</v>
      </c>
      <c r="AE456" s="57" t="n">
        <v>0</v>
      </c>
      <c r="AF456" s="57" t="n">
        <v>0</v>
      </c>
      <c r="AG456" s="57" t="n">
        <v>0</v>
      </c>
      <c r="AH456" s="57" t="n">
        <v>0</v>
      </c>
    </row>
    <row r="457">
      <c r="A457" s="56" t="inlineStr">
        <is>
          <t>2026-06-17</t>
        </is>
      </c>
      <c r="B457" s="56" t="inlineStr">
        <is>
          <t>2367104</t>
        </is>
      </c>
      <c r="C457" s="56" t="inlineStr">
        <is>
          <t>DS.2025.2220 17 Store Estates</t>
        </is>
      </c>
      <c r="D457" s="56" t="inlineStr">
        <is>
          <t>DW</t>
        </is>
      </c>
      <c r="E457" s="56" t="inlineStr">
        <is>
          <t>(Unassigned)</t>
        </is>
      </c>
      <c r="F457" s="56" t="inlineStr">
        <is>
          <t>Community Drywall</t>
        </is>
      </c>
      <c r="G457" s="56" t="inlineStr">
        <is>
          <t>ACTIVE</t>
        </is>
      </c>
      <c r="H457" s="57" t="n">
        <v>4926.56</v>
      </c>
      <c r="I457" s="57" t="n">
        <v>0</v>
      </c>
      <c r="J457" s="57" t="n">
        <v>4926.56</v>
      </c>
      <c r="K457" s="57" t="n">
        <v>2522.74</v>
      </c>
      <c r="L457" s="57" t="n">
        <v>0</v>
      </c>
      <c r="M457" s="57" t="n">
        <v>3565.7</v>
      </c>
      <c r="N457" s="58" t="n">
        <v>0</v>
      </c>
      <c r="O457" s="57" t="n">
        <v>0</v>
      </c>
      <c r="P457" s="57" t="n">
        <v>-4926.56</v>
      </c>
      <c r="Q457" s="57" t="n">
        <v>0</v>
      </c>
      <c r="R457" s="57" t="n">
        <v>4926.56</v>
      </c>
      <c r="S457" s="57" t="n">
        <v>0</v>
      </c>
      <c r="T457" s="57" t="n">
        <v>1360.86</v>
      </c>
      <c r="U457" s="58" t="n">
        <v>0.2762</v>
      </c>
      <c r="V457" s="57" t="n">
        <v>4926.56</v>
      </c>
      <c r="W457" s="58" t="n">
        <v>1</v>
      </c>
      <c r="X457" s="58" t="n">
        <v>0</v>
      </c>
      <c r="Y457" s="58" t="n">
        <v>0</v>
      </c>
      <c r="Z457" s="57" t="n">
        <v>0</v>
      </c>
      <c r="AA457" s="57" t="n">
        <v>2403.82</v>
      </c>
      <c r="AB457" s="56" t="inlineStr">
        <is>
          <t>FALSE</t>
        </is>
      </c>
      <c r="AC457" s="56" t="inlineStr">
        <is>
          <t>FALSE</t>
        </is>
      </c>
      <c r="AD457" s="57" t="n">
        <v>3565.7</v>
      </c>
      <c r="AE457" s="57" t="n">
        <v>0</v>
      </c>
      <c r="AF457" s="57" t="n">
        <v>0</v>
      </c>
      <c r="AG457" s="57" t="n">
        <v>0</v>
      </c>
      <c r="AH457" s="57" t="n">
        <v>0</v>
      </c>
    </row>
    <row r="458">
      <c r="A458" s="56" t="inlineStr">
        <is>
          <t>2026-06-17</t>
        </is>
      </c>
      <c r="B458" s="56" t="inlineStr">
        <is>
          <t>2366840</t>
        </is>
      </c>
      <c r="C458" s="56" t="inlineStr">
        <is>
          <t>DS.2025.2217 Davidson Residence</t>
        </is>
      </c>
      <c r="D458" s="56" t="inlineStr">
        <is>
          <t>DW</t>
        </is>
      </c>
      <c r="E458" s="56" t="inlineStr">
        <is>
          <t>(Unassigned)</t>
        </is>
      </c>
      <c r="F458" s="56" t="inlineStr">
        <is>
          <t>Flores Drywall and Remodeling LLC</t>
        </is>
      </c>
      <c r="G458" s="56" t="inlineStr">
        <is>
          <t>ACTIVE</t>
        </is>
      </c>
      <c r="H458" s="57" t="n">
        <v>18188.37</v>
      </c>
      <c r="I458" s="57" t="n">
        <v>0</v>
      </c>
      <c r="J458" s="57" t="n">
        <v>18188.37</v>
      </c>
      <c r="K458" s="57" t="n">
        <v>19461.56</v>
      </c>
      <c r="L458" s="57" t="n">
        <v>0</v>
      </c>
      <c r="M458" s="57" t="n">
        <v>13255.73</v>
      </c>
      <c r="N458" s="58" t="n">
        <v>0</v>
      </c>
      <c r="O458" s="57" t="n">
        <v>0</v>
      </c>
      <c r="P458" s="57" t="n">
        <v>-18188.37</v>
      </c>
      <c r="Q458" s="57" t="n">
        <v>0</v>
      </c>
      <c r="R458" s="57" t="n">
        <v>18188.37</v>
      </c>
      <c r="S458" s="57" t="n">
        <v>0</v>
      </c>
      <c r="T458" s="57" t="n">
        <v>4932.64</v>
      </c>
      <c r="U458" s="58" t="n">
        <v>0.2712</v>
      </c>
      <c r="V458" s="57" t="n">
        <v>18188.37</v>
      </c>
      <c r="W458" s="58" t="n">
        <v>1</v>
      </c>
      <c r="X458" s="58" t="n">
        <v>0</v>
      </c>
      <c r="Y458" s="58" t="n">
        <v>0</v>
      </c>
      <c r="Z458" s="57" t="n">
        <v>0</v>
      </c>
      <c r="AA458" s="57" t="n">
        <v>-1273.19</v>
      </c>
      <c r="AB458" s="56" t="inlineStr">
        <is>
          <t>FALSE</t>
        </is>
      </c>
      <c r="AC458" s="56" t="inlineStr">
        <is>
          <t>FALSE</t>
        </is>
      </c>
      <c r="AD458" s="57" t="n">
        <v>13255.73</v>
      </c>
      <c r="AE458" s="57" t="n">
        <v>0</v>
      </c>
      <c r="AF458" s="57" t="n">
        <v>0</v>
      </c>
      <c r="AG458" s="57" t="n">
        <v>0</v>
      </c>
      <c r="AH458" s="57" t="n">
        <v>0</v>
      </c>
    </row>
    <row r="459">
      <c r="A459" s="56" t="inlineStr">
        <is>
          <t>2026-06-17</t>
        </is>
      </c>
      <c r="B459" s="56" t="inlineStr">
        <is>
          <t>2366626</t>
        </is>
      </c>
      <c r="C459" s="56" t="inlineStr">
        <is>
          <t>DS.2025.2215 44 Willow Springs</t>
        </is>
      </c>
      <c r="D459" s="56" t="inlineStr">
        <is>
          <t>DW</t>
        </is>
      </c>
      <c r="E459" s="56" t="inlineStr">
        <is>
          <t>(Unassigned)</t>
        </is>
      </c>
      <c r="F459" s="56" t="inlineStr">
        <is>
          <t>Flores Drywall and Remodeling LLC</t>
        </is>
      </c>
      <c r="G459" s="56" t="inlineStr">
        <is>
          <t>ACTIVE</t>
        </is>
      </c>
      <c r="H459" s="57" t="n">
        <v>25349.24</v>
      </c>
      <c r="I459" s="57" t="n">
        <v>0</v>
      </c>
      <c r="J459" s="57" t="n">
        <v>25349.24</v>
      </c>
      <c r="K459" s="57" t="n">
        <v>27123.69</v>
      </c>
      <c r="L459" s="57" t="n">
        <v>0</v>
      </c>
      <c r="M459" s="57" t="n">
        <v>18542.92</v>
      </c>
      <c r="N459" s="58" t="n">
        <v>0</v>
      </c>
      <c r="O459" s="57" t="n">
        <v>0</v>
      </c>
      <c r="P459" s="57" t="n">
        <v>-25349.24</v>
      </c>
      <c r="Q459" s="57" t="n">
        <v>0</v>
      </c>
      <c r="R459" s="57" t="n">
        <v>25349.24</v>
      </c>
      <c r="S459" s="57" t="n">
        <v>0</v>
      </c>
      <c r="T459" s="57" t="n">
        <v>6806.32</v>
      </c>
      <c r="U459" s="58" t="n">
        <v>0.2685</v>
      </c>
      <c r="V459" s="57" t="n">
        <v>25349.24</v>
      </c>
      <c r="W459" s="58" t="n">
        <v>1</v>
      </c>
      <c r="X459" s="58" t="n">
        <v>0</v>
      </c>
      <c r="Y459" s="58" t="n">
        <v>0</v>
      </c>
      <c r="Z459" s="57" t="n">
        <v>0</v>
      </c>
      <c r="AA459" s="57" t="n">
        <v>-1774.45</v>
      </c>
      <c r="AB459" s="56" t="inlineStr">
        <is>
          <t>FALSE</t>
        </is>
      </c>
      <c r="AC459" s="56" t="inlineStr">
        <is>
          <t>FALSE</t>
        </is>
      </c>
      <c r="AD459" s="57" t="n">
        <v>18542.92</v>
      </c>
      <c r="AE459" s="57" t="n">
        <v>0</v>
      </c>
      <c r="AF459" s="57" t="n">
        <v>0</v>
      </c>
      <c r="AG459" s="57" t="n">
        <v>0</v>
      </c>
      <c r="AH459" s="57" t="n">
        <v>0</v>
      </c>
    </row>
    <row r="460">
      <c r="A460" s="56" t="inlineStr">
        <is>
          <t>2026-06-17</t>
        </is>
      </c>
      <c r="B460" s="56" t="inlineStr">
        <is>
          <t>2363817</t>
        </is>
      </c>
      <c r="C460" s="56" t="inlineStr">
        <is>
          <t>DS.2025.2212 Scottsdale Lot 70</t>
        </is>
      </c>
      <c r="D460" s="56" t="inlineStr">
        <is>
          <t>DW</t>
        </is>
      </c>
      <c r="E460" s="56" t="inlineStr">
        <is>
          <t>(Unassigned)</t>
        </is>
      </c>
      <c r="F460" s="56" t="inlineStr">
        <is>
          <t>Pro Fix Drywaller, LLC</t>
        </is>
      </c>
      <c r="G460" s="56" t="inlineStr">
        <is>
          <t>ACTIVE</t>
        </is>
      </c>
      <c r="H460" s="57" t="n">
        <v>6551.92</v>
      </c>
      <c r="I460" s="57" t="n">
        <v>0</v>
      </c>
      <c r="J460" s="57" t="n">
        <v>6551.92</v>
      </c>
      <c r="K460" s="57" t="n">
        <v>7010.55</v>
      </c>
      <c r="L460" s="57" t="n">
        <v>0</v>
      </c>
      <c r="M460" s="57" t="n">
        <v>5066.83</v>
      </c>
      <c r="N460" s="58" t="n">
        <v>0</v>
      </c>
      <c r="O460" s="57" t="n">
        <v>0</v>
      </c>
      <c r="P460" s="57" t="n">
        <v>-6551.92</v>
      </c>
      <c r="Q460" s="57" t="n">
        <v>0</v>
      </c>
      <c r="R460" s="57" t="n">
        <v>6551.92</v>
      </c>
      <c r="S460" s="57" t="n">
        <v>0</v>
      </c>
      <c r="T460" s="57" t="n">
        <v>1485.09</v>
      </c>
      <c r="U460" s="58" t="n">
        <v>0.2267</v>
      </c>
      <c r="V460" s="57" t="n">
        <v>6551.92</v>
      </c>
      <c r="W460" s="58" t="n">
        <v>1</v>
      </c>
      <c r="X460" s="58" t="n">
        <v>0</v>
      </c>
      <c r="Y460" s="58" t="n">
        <v>0</v>
      </c>
      <c r="Z460" s="57" t="n">
        <v>0</v>
      </c>
      <c r="AA460" s="57" t="n">
        <v>-458.63</v>
      </c>
      <c r="AB460" s="56" t="inlineStr">
        <is>
          <t>FALSE</t>
        </is>
      </c>
      <c r="AC460" s="56" t="inlineStr">
        <is>
          <t>FALSE</t>
        </is>
      </c>
      <c r="AD460" s="57" t="n">
        <v>5066.83</v>
      </c>
      <c r="AE460" s="57" t="n">
        <v>0</v>
      </c>
      <c r="AF460" s="57" t="n">
        <v>0</v>
      </c>
      <c r="AG460" s="57" t="n">
        <v>0</v>
      </c>
      <c r="AH460" s="57" t="n">
        <v>0</v>
      </c>
    </row>
    <row r="461">
      <c r="A461" s="56" t="inlineStr">
        <is>
          <t>2026-06-17</t>
        </is>
      </c>
      <c r="B461" s="56" t="inlineStr">
        <is>
          <t>2363162</t>
        </is>
      </c>
      <c r="C461" s="56" t="inlineStr">
        <is>
          <t>DS.2025.2208 12921 Merlot Ln</t>
        </is>
      </c>
      <c r="D461" s="56" t="inlineStr">
        <is>
          <t>DW</t>
        </is>
      </c>
      <c r="E461" s="56" t="inlineStr">
        <is>
          <t>(Unassigned)</t>
        </is>
      </c>
      <c r="F461" s="56" t="inlineStr">
        <is>
          <t>M&amp;M Drywall</t>
        </is>
      </c>
      <c r="G461" s="56" t="inlineStr">
        <is>
          <t>ACTIVE</t>
        </is>
      </c>
      <c r="H461" s="57" t="n">
        <v>3783.98</v>
      </c>
      <c r="I461" s="57" t="n">
        <v>0</v>
      </c>
      <c r="J461" s="57" t="n">
        <v>3783.98</v>
      </c>
      <c r="K461" s="57" t="n">
        <v>4048.86</v>
      </c>
      <c r="L461" s="57" t="n">
        <v>0</v>
      </c>
      <c r="M461" s="57" t="n">
        <v>2627.37</v>
      </c>
      <c r="N461" s="58" t="n">
        <v>0</v>
      </c>
      <c r="O461" s="57" t="n">
        <v>0</v>
      </c>
      <c r="P461" s="57" t="n">
        <v>-3783.98</v>
      </c>
      <c r="Q461" s="57" t="n">
        <v>0</v>
      </c>
      <c r="R461" s="57" t="n">
        <v>3783.98</v>
      </c>
      <c r="S461" s="57" t="n">
        <v>0</v>
      </c>
      <c r="T461" s="57" t="n">
        <v>1156.61</v>
      </c>
      <c r="U461" s="58" t="n">
        <v>0.3057</v>
      </c>
      <c r="V461" s="57" t="n">
        <v>3783.98</v>
      </c>
      <c r="W461" s="58" t="n">
        <v>1</v>
      </c>
      <c r="X461" s="58" t="n">
        <v>0</v>
      </c>
      <c r="Y461" s="58" t="n">
        <v>0</v>
      </c>
      <c r="Z461" s="57" t="n">
        <v>0</v>
      </c>
      <c r="AA461" s="57" t="n">
        <v>-264.88</v>
      </c>
      <c r="AB461" s="56" t="inlineStr">
        <is>
          <t>FALSE</t>
        </is>
      </c>
      <c r="AC461" s="56" t="inlineStr">
        <is>
          <t>FALSE</t>
        </is>
      </c>
      <c r="AD461" s="57" t="n">
        <v>2627.37</v>
      </c>
      <c r="AE461" s="57" t="n">
        <v>0</v>
      </c>
      <c r="AF461" s="57" t="n">
        <v>0</v>
      </c>
      <c r="AG461" s="57" t="n">
        <v>0</v>
      </c>
      <c r="AH461" s="57" t="n">
        <v>0</v>
      </c>
    </row>
    <row r="462">
      <c r="A462" s="56" t="inlineStr">
        <is>
          <t>2026-06-17</t>
        </is>
      </c>
      <c r="B462" s="56" t="inlineStr">
        <is>
          <t>2359929</t>
        </is>
      </c>
      <c r="C462" s="56" t="inlineStr">
        <is>
          <t>DS.2025.2207 Edgebrook Lot 219</t>
        </is>
      </c>
      <c r="D462" s="56" t="inlineStr">
        <is>
          <t>DW</t>
        </is>
      </c>
      <c r="E462" s="56" t="inlineStr">
        <is>
          <t>(Unassigned)</t>
        </is>
      </c>
      <c r="F462" s="56" t="inlineStr">
        <is>
          <t>Pro Fix Drywaller, LLC</t>
        </is>
      </c>
      <c r="G462" s="56" t="inlineStr">
        <is>
          <t>ACTIVE</t>
        </is>
      </c>
      <c r="H462" s="57" t="n">
        <v>7143.52</v>
      </c>
      <c r="I462" s="57" t="n">
        <v>0</v>
      </c>
      <c r="J462" s="57" t="n">
        <v>7143.52</v>
      </c>
      <c r="K462" s="57" t="n">
        <v>7643.57</v>
      </c>
      <c r="L462" s="57" t="n">
        <v>0</v>
      </c>
      <c r="M462" s="57" t="n">
        <v>5405.03</v>
      </c>
      <c r="N462" s="58" t="n">
        <v>0</v>
      </c>
      <c r="O462" s="57" t="n">
        <v>0</v>
      </c>
      <c r="P462" s="57" t="n">
        <v>-7143.52</v>
      </c>
      <c r="Q462" s="57" t="n">
        <v>0</v>
      </c>
      <c r="R462" s="57" t="n">
        <v>7143.52</v>
      </c>
      <c r="S462" s="57" t="n">
        <v>0</v>
      </c>
      <c r="T462" s="57" t="n">
        <v>1738.49</v>
      </c>
      <c r="U462" s="58" t="n">
        <v>0.2434</v>
      </c>
      <c r="V462" s="57" t="n">
        <v>7143.52</v>
      </c>
      <c r="W462" s="58" t="n">
        <v>1</v>
      </c>
      <c r="X462" s="58" t="n">
        <v>0</v>
      </c>
      <c r="Y462" s="58" t="n">
        <v>0</v>
      </c>
      <c r="Z462" s="57" t="n">
        <v>0</v>
      </c>
      <c r="AA462" s="57" t="n">
        <v>-500.05</v>
      </c>
      <c r="AB462" s="56" t="inlineStr">
        <is>
          <t>FALSE</t>
        </is>
      </c>
      <c r="AC462" s="56" t="inlineStr">
        <is>
          <t>FALSE</t>
        </is>
      </c>
      <c r="AD462" s="57" t="n">
        <v>5405.03</v>
      </c>
      <c r="AE462" s="57" t="n">
        <v>0</v>
      </c>
      <c r="AF462" s="57" t="n">
        <v>0</v>
      </c>
      <c r="AG462" s="57" t="n">
        <v>0</v>
      </c>
      <c r="AH462" s="57" t="n">
        <v>0</v>
      </c>
    </row>
    <row r="463">
      <c r="A463" s="56" t="inlineStr">
        <is>
          <t>2026-06-17</t>
        </is>
      </c>
      <c r="B463" s="56" t="inlineStr">
        <is>
          <t>2354747</t>
        </is>
      </c>
      <c r="C463" s="56" t="inlineStr">
        <is>
          <t>DS.2025.2202 M&amp;M Drywall Pickup 7-29</t>
        </is>
      </c>
      <c r="D463" s="56" t="inlineStr">
        <is>
          <t>DW</t>
        </is>
      </c>
      <c r="E463" s="56" t="inlineStr">
        <is>
          <t>(Unassigned)</t>
        </is>
      </c>
      <c r="F463" s="56" t="inlineStr">
        <is>
          <t>M&amp;M Drywall</t>
        </is>
      </c>
      <c r="G463" s="56" t="inlineStr">
        <is>
          <t>ACTIVE</t>
        </is>
      </c>
      <c r="H463" s="57" t="n">
        <v>70.5</v>
      </c>
      <c r="I463" s="57" t="n">
        <v>0</v>
      </c>
      <c r="J463" s="57" t="n">
        <v>70.5</v>
      </c>
      <c r="K463" s="57" t="n">
        <v>75.44</v>
      </c>
      <c r="L463" s="57" t="n">
        <v>0</v>
      </c>
      <c r="M463" s="57" t="n">
        <v>63.75</v>
      </c>
      <c r="N463" s="58" t="n">
        <v>0</v>
      </c>
      <c r="O463" s="57" t="n">
        <v>0</v>
      </c>
      <c r="P463" s="57" t="n">
        <v>-70.5</v>
      </c>
      <c r="Q463" s="57" t="n">
        <v>0</v>
      </c>
      <c r="R463" s="57" t="n">
        <v>70.5</v>
      </c>
      <c r="S463" s="57" t="n">
        <v>0</v>
      </c>
      <c r="T463" s="57" t="n">
        <v>6.75</v>
      </c>
      <c r="U463" s="58" t="n">
        <v>0.09569999999999999</v>
      </c>
      <c r="V463" s="57" t="n">
        <v>70.5</v>
      </c>
      <c r="W463" s="58" t="n">
        <v>1</v>
      </c>
      <c r="X463" s="58" t="n">
        <v>0</v>
      </c>
      <c r="Y463" s="58" t="n">
        <v>0</v>
      </c>
      <c r="Z463" s="57" t="n">
        <v>0</v>
      </c>
      <c r="AA463" s="57" t="n">
        <v>-4.94</v>
      </c>
      <c r="AB463" s="56" t="inlineStr">
        <is>
          <t>FALSE</t>
        </is>
      </c>
      <c r="AC463" s="56" t="inlineStr">
        <is>
          <t>FALSE</t>
        </is>
      </c>
      <c r="AD463" s="57" t="n">
        <v>63.75</v>
      </c>
      <c r="AE463" s="57" t="n">
        <v>0</v>
      </c>
      <c r="AF463" s="57" t="n">
        <v>0</v>
      </c>
      <c r="AG463" s="57" t="n">
        <v>0</v>
      </c>
      <c r="AH463" s="57" t="n">
        <v>0</v>
      </c>
    </row>
    <row r="464">
      <c r="A464" s="56" t="inlineStr">
        <is>
          <t>2026-06-17</t>
        </is>
      </c>
      <c r="B464" s="56" t="inlineStr">
        <is>
          <t>2350460</t>
        </is>
      </c>
      <c r="C464" s="56" t="inlineStr">
        <is>
          <t>DS.2025.2197 Edgebrook Lot 199</t>
        </is>
      </c>
      <c r="D464" s="56" t="inlineStr">
        <is>
          <t>DW</t>
        </is>
      </c>
      <c r="E464" s="56" t="inlineStr">
        <is>
          <t>(Unassigned)</t>
        </is>
      </c>
      <c r="F464" s="56" t="inlineStr">
        <is>
          <t>Pro Fix Drywaller, LLC</t>
        </is>
      </c>
      <c r="G464" s="56" t="inlineStr">
        <is>
          <t>ACTIVE</t>
        </is>
      </c>
      <c r="H464" s="57" t="n">
        <v>6807.24</v>
      </c>
      <c r="I464" s="57" t="n">
        <v>0</v>
      </c>
      <c r="J464" s="57" t="n">
        <v>6807.24</v>
      </c>
      <c r="K464" s="57" t="n">
        <v>7283.75</v>
      </c>
      <c r="L464" s="57" t="n">
        <v>0</v>
      </c>
      <c r="M464" s="57" t="n">
        <v>5249.46</v>
      </c>
      <c r="N464" s="58" t="n">
        <v>0</v>
      </c>
      <c r="O464" s="57" t="n">
        <v>0</v>
      </c>
      <c r="P464" s="57" t="n">
        <v>-6807.24</v>
      </c>
      <c r="Q464" s="57" t="n">
        <v>0</v>
      </c>
      <c r="R464" s="57" t="n">
        <v>6807.24</v>
      </c>
      <c r="S464" s="57" t="n">
        <v>0</v>
      </c>
      <c r="T464" s="57" t="n">
        <v>1557.78</v>
      </c>
      <c r="U464" s="58" t="n">
        <v>0.2288</v>
      </c>
      <c r="V464" s="57" t="n">
        <v>6807.24</v>
      </c>
      <c r="W464" s="58" t="n">
        <v>1</v>
      </c>
      <c r="X464" s="58" t="n">
        <v>0</v>
      </c>
      <c r="Y464" s="58" t="n">
        <v>0</v>
      </c>
      <c r="Z464" s="57" t="n">
        <v>0</v>
      </c>
      <c r="AA464" s="57" t="n">
        <v>-476.51</v>
      </c>
      <c r="AB464" s="56" t="inlineStr">
        <is>
          <t>FALSE</t>
        </is>
      </c>
      <c r="AC464" s="56" t="inlineStr">
        <is>
          <t>FALSE</t>
        </is>
      </c>
      <c r="AD464" s="57" t="n">
        <v>5249.46</v>
      </c>
      <c r="AE464" s="57" t="n">
        <v>0</v>
      </c>
      <c r="AF464" s="57" t="n">
        <v>0</v>
      </c>
      <c r="AG464" s="57" t="n">
        <v>0</v>
      </c>
      <c r="AH464" s="57" t="n">
        <v>0</v>
      </c>
    </row>
    <row r="465">
      <c r="A465" s="56" t="inlineStr">
        <is>
          <t>2026-06-17</t>
        </is>
      </c>
      <c r="B465" s="56" t="inlineStr">
        <is>
          <t>2350360</t>
        </is>
      </c>
      <c r="C465" s="56" t="inlineStr">
        <is>
          <t>DS.2025.2196 1718 Bellefontaine St</t>
        </is>
      </c>
      <c r="D465" s="56" t="inlineStr">
        <is>
          <t>DW</t>
        </is>
      </c>
      <c r="E465" s="56" t="inlineStr">
        <is>
          <t>(Unassigned)</t>
        </is>
      </c>
      <c r="F465" s="56" t="inlineStr">
        <is>
          <t>Pro Fix Drywaller, LLC</t>
        </is>
      </c>
      <c r="G465" s="56" t="inlineStr">
        <is>
          <t>ACTIVE</t>
        </is>
      </c>
      <c r="H465" s="57" t="n">
        <v>5731.96</v>
      </c>
      <c r="I465" s="57" t="n">
        <v>0</v>
      </c>
      <c r="J465" s="57" t="n">
        <v>5731.96</v>
      </c>
      <c r="K465" s="57" t="n">
        <v>6133.2</v>
      </c>
      <c r="L465" s="57" t="n">
        <v>0</v>
      </c>
      <c r="M465" s="57" t="n">
        <v>4347.15</v>
      </c>
      <c r="N465" s="58" t="n">
        <v>0</v>
      </c>
      <c r="O465" s="57" t="n">
        <v>0</v>
      </c>
      <c r="P465" s="57" t="n">
        <v>-5731.96</v>
      </c>
      <c r="Q465" s="57" t="n">
        <v>0</v>
      </c>
      <c r="R465" s="57" t="n">
        <v>5731.96</v>
      </c>
      <c r="S465" s="57" t="n">
        <v>0</v>
      </c>
      <c r="T465" s="57" t="n">
        <v>1384.81</v>
      </c>
      <c r="U465" s="58" t="n">
        <v>0.2416</v>
      </c>
      <c r="V465" s="57" t="n">
        <v>5731.96</v>
      </c>
      <c r="W465" s="58" t="n">
        <v>1</v>
      </c>
      <c r="X465" s="58" t="n">
        <v>0</v>
      </c>
      <c r="Y465" s="58" t="n">
        <v>0</v>
      </c>
      <c r="Z465" s="57" t="n">
        <v>0</v>
      </c>
      <c r="AA465" s="57" t="n">
        <v>-401.24</v>
      </c>
      <c r="AB465" s="56" t="inlineStr">
        <is>
          <t>FALSE</t>
        </is>
      </c>
      <c r="AC465" s="56" t="inlineStr">
        <is>
          <t>FALSE</t>
        </is>
      </c>
      <c r="AD465" s="57" t="n">
        <v>4347.15</v>
      </c>
      <c r="AE465" s="57" t="n">
        <v>0</v>
      </c>
      <c r="AF465" s="57" t="n">
        <v>0</v>
      </c>
      <c r="AG465" s="57" t="n">
        <v>0</v>
      </c>
      <c r="AH465" s="57" t="n">
        <v>0</v>
      </c>
    </row>
    <row r="466">
      <c r="A466" s="56" t="inlineStr">
        <is>
          <t>2026-06-17</t>
        </is>
      </c>
      <c r="B466" s="56" t="inlineStr">
        <is>
          <t>2349208</t>
        </is>
      </c>
      <c r="C466" s="56" t="inlineStr">
        <is>
          <t>DS.2025.2194 GSI House 10</t>
        </is>
      </c>
      <c r="D466" s="56" t="inlineStr">
        <is>
          <t>DW</t>
        </is>
      </c>
      <c r="E466" s="56" t="inlineStr">
        <is>
          <t>(Unassigned)</t>
        </is>
      </c>
      <c r="F466" s="56" t="inlineStr">
        <is>
          <t>GSI - Gregory Scott Inabnit LLC</t>
        </is>
      </c>
      <c r="G466" s="56" t="inlineStr">
        <is>
          <t>ACTIVE</t>
        </is>
      </c>
      <c r="H466" s="57" t="n">
        <v>4071.34</v>
      </c>
      <c r="I466" s="57" t="n">
        <v>0</v>
      </c>
      <c r="J466" s="57" t="n">
        <v>4071.34</v>
      </c>
      <c r="K466" s="57" t="n">
        <v>4356.33</v>
      </c>
      <c r="L466" s="57" t="n">
        <v>0</v>
      </c>
      <c r="M466" s="57" t="n">
        <v>2729</v>
      </c>
      <c r="N466" s="58" t="n">
        <v>0</v>
      </c>
      <c r="O466" s="57" t="n">
        <v>0</v>
      </c>
      <c r="P466" s="57" t="n">
        <v>-4071.34</v>
      </c>
      <c r="Q466" s="57" t="n">
        <v>0</v>
      </c>
      <c r="R466" s="57" t="n">
        <v>4071.34</v>
      </c>
      <c r="S466" s="57" t="n">
        <v>0</v>
      </c>
      <c r="T466" s="57" t="n">
        <v>1342.34</v>
      </c>
      <c r="U466" s="58" t="n">
        <v>0.3297</v>
      </c>
      <c r="V466" s="57" t="n">
        <v>4071.34</v>
      </c>
      <c r="W466" s="58" t="n">
        <v>1</v>
      </c>
      <c r="X466" s="58" t="n">
        <v>0</v>
      </c>
      <c r="Y466" s="58" t="n">
        <v>0</v>
      </c>
      <c r="Z466" s="57" t="n">
        <v>0</v>
      </c>
      <c r="AA466" s="57" t="n">
        <v>-284.99</v>
      </c>
      <c r="AB466" s="56" t="inlineStr">
        <is>
          <t>FALSE</t>
        </is>
      </c>
      <c r="AC466" s="56" t="inlineStr">
        <is>
          <t>FALSE</t>
        </is>
      </c>
      <c r="AD466" s="57" t="n">
        <v>2729</v>
      </c>
      <c r="AE466" s="57" t="n">
        <v>0</v>
      </c>
      <c r="AF466" s="57" t="n">
        <v>0</v>
      </c>
      <c r="AG466" s="57" t="n">
        <v>0</v>
      </c>
      <c r="AH466" s="57" t="n">
        <v>0</v>
      </c>
    </row>
    <row r="467">
      <c r="A467" s="56" t="inlineStr">
        <is>
          <t>2026-06-17</t>
        </is>
      </c>
      <c r="B467" s="56" t="inlineStr">
        <is>
          <t>2346918</t>
        </is>
      </c>
      <c r="C467" s="56" t="inlineStr">
        <is>
          <t>DS.2025.2191 Edgebrook Lot 192</t>
        </is>
      </c>
      <c r="D467" s="56" t="inlineStr">
        <is>
          <t>DW</t>
        </is>
      </c>
      <c r="E467" s="56" t="inlineStr">
        <is>
          <t>(Unassigned)</t>
        </is>
      </c>
      <c r="F467" s="56" t="inlineStr">
        <is>
          <t>Pro Fix Drywaller, LLC</t>
        </is>
      </c>
      <c r="G467" s="56" t="inlineStr">
        <is>
          <t>ACTIVE</t>
        </is>
      </c>
      <c r="H467" s="57" t="n">
        <v>7167.06</v>
      </c>
      <c r="I467" s="57" t="n">
        <v>0</v>
      </c>
      <c r="J467" s="57" t="n">
        <v>7167.06</v>
      </c>
      <c r="K467" s="57" t="n">
        <v>7668.75</v>
      </c>
      <c r="L467" s="57" t="n">
        <v>0</v>
      </c>
      <c r="M467" s="57" t="n">
        <v>5419.06</v>
      </c>
      <c r="N467" s="58" t="n">
        <v>0</v>
      </c>
      <c r="O467" s="57" t="n">
        <v>0</v>
      </c>
      <c r="P467" s="57" t="n">
        <v>-7167.06</v>
      </c>
      <c r="Q467" s="57" t="n">
        <v>0</v>
      </c>
      <c r="R467" s="57" t="n">
        <v>7167.06</v>
      </c>
      <c r="S467" s="57" t="n">
        <v>0</v>
      </c>
      <c r="T467" s="57" t="n">
        <v>1748</v>
      </c>
      <c r="U467" s="58" t="n">
        <v>0.2439</v>
      </c>
      <c r="V467" s="57" t="n">
        <v>7167.06</v>
      </c>
      <c r="W467" s="58" t="n">
        <v>1</v>
      </c>
      <c r="X467" s="58" t="n">
        <v>0</v>
      </c>
      <c r="Y467" s="58" t="n">
        <v>0</v>
      </c>
      <c r="Z467" s="57" t="n">
        <v>0</v>
      </c>
      <c r="AA467" s="57" t="n">
        <v>-501.69</v>
      </c>
      <c r="AB467" s="56" t="inlineStr">
        <is>
          <t>FALSE</t>
        </is>
      </c>
      <c r="AC467" s="56" t="inlineStr">
        <is>
          <t>FALSE</t>
        </is>
      </c>
      <c r="AD467" s="57" t="n">
        <v>5419.06</v>
      </c>
      <c r="AE467" s="57" t="n">
        <v>0</v>
      </c>
      <c r="AF467" s="57" t="n">
        <v>0</v>
      </c>
      <c r="AG467" s="57" t="n">
        <v>0</v>
      </c>
      <c r="AH467" s="57" t="n">
        <v>0</v>
      </c>
    </row>
    <row r="468">
      <c r="A468" s="56" t="inlineStr">
        <is>
          <t>2026-06-17</t>
        </is>
      </c>
      <c r="B468" s="56" t="inlineStr">
        <is>
          <t>2343287</t>
        </is>
      </c>
      <c r="C468" s="56" t="inlineStr">
        <is>
          <t>DS.2025.2189 1022 E 3rd Bloomington</t>
        </is>
      </c>
      <c r="D468" s="56" t="inlineStr">
        <is>
          <t>DW</t>
        </is>
      </c>
      <c r="E468" s="56" t="inlineStr">
        <is>
          <t>(Unassigned)</t>
        </is>
      </c>
      <c r="F468" s="56" t="inlineStr">
        <is>
          <t>Kjt General Construction</t>
        </is>
      </c>
      <c r="G468" s="56" t="inlineStr">
        <is>
          <t>ACTIVE</t>
        </is>
      </c>
      <c r="H468" s="57" t="n">
        <v>3332.7</v>
      </c>
      <c r="I468" s="57" t="n">
        <v>0</v>
      </c>
      <c r="J468" s="57" t="n">
        <v>3332.7</v>
      </c>
      <c r="K468" s="57" t="n">
        <v>0</v>
      </c>
      <c r="L468" s="57" t="n">
        <v>0</v>
      </c>
      <c r="M468" s="57" t="n">
        <v>2406.3</v>
      </c>
      <c r="N468" s="58" t="n">
        <v>0</v>
      </c>
      <c r="O468" s="57" t="n">
        <v>0</v>
      </c>
      <c r="P468" s="57" t="n">
        <v>-3332.7</v>
      </c>
      <c r="Q468" s="57" t="n">
        <v>0</v>
      </c>
      <c r="R468" s="57" t="n">
        <v>3332.7</v>
      </c>
      <c r="S468" s="57" t="n">
        <v>0</v>
      </c>
      <c r="T468" s="57" t="n">
        <v>926.4</v>
      </c>
      <c r="U468" s="58" t="n">
        <v>0.278</v>
      </c>
      <c r="V468" s="57" t="n">
        <v>3332.7</v>
      </c>
      <c r="W468" s="58" t="n">
        <v>1</v>
      </c>
      <c r="X468" s="58" t="n">
        <v>0</v>
      </c>
      <c r="Y468" s="58" t="n">
        <v>0</v>
      </c>
      <c r="Z468" s="57" t="n">
        <v>0</v>
      </c>
      <c r="AA468" s="57" t="n">
        <v>3332.7</v>
      </c>
      <c r="AB468" s="56" t="inlineStr">
        <is>
          <t>FALSE</t>
        </is>
      </c>
      <c r="AC468" s="56" t="inlineStr">
        <is>
          <t>FALSE</t>
        </is>
      </c>
      <c r="AD468" s="57" t="n">
        <v>2406.3</v>
      </c>
      <c r="AE468" s="57" t="n">
        <v>0</v>
      </c>
      <c r="AF468" s="57" t="n">
        <v>0</v>
      </c>
      <c r="AG468" s="57" t="n">
        <v>0</v>
      </c>
      <c r="AH468" s="57" t="n">
        <v>0</v>
      </c>
    </row>
    <row r="469">
      <c r="A469" s="56" t="inlineStr">
        <is>
          <t>2026-06-17</t>
        </is>
      </c>
      <c r="B469" s="56" t="inlineStr">
        <is>
          <t>2340132</t>
        </is>
      </c>
      <c r="C469" s="56" t="inlineStr">
        <is>
          <t>DS.2025.2187 Crawford Res, 880 Baywood Court</t>
        </is>
      </c>
      <c r="D469" s="56" t="inlineStr">
        <is>
          <t>DW</t>
        </is>
      </c>
      <c r="E469" s="56" t="inlineStr">
        <is>
          <t>(Unassigned)</t>
        </is>
      </c>
      <c r="F469" s="56" t="inlineStr">
        <is>
          <t>Flores Drywall and Remodeling LLC</t>
        </is>
      </c>
      <c r="G469" s="56" t="inlineStr">
        <is>
          <t>ACTIVE</t>
        </is>
      </c>
      <c r="H469" s="57" t="n">
        <v>7213</v>
      </c>
      <c r="I469" s="57" t="n">
        <v>0</v>
      </c>
      <c r="J469" s="57" t="n">
        <v>7213</v>
      </c>
      <c r="K469" s="57" t="n">
        <v>7717.91</v>
      </c>
      <c r="L469" s="57" t="n">
        <v>0</v>
      </c>
      <c r="M469" s="57" t="n">
        <v>4224.42</v>
      </c>
      <c r="N469" s="58" t="n">
        <v>0</v>
      </c>
      <c r="O469" s="57" t="n">
        <v>0</v>
      </c>
      <c r="P469" s="57" t="n">
        <v>-7213</v>
      </c>
      <c r="Q469" s="57" t="n">
        <v>0</v>
      </c>
      <c r="R469" s="57" t="n">
        <v>7213</v>
      </c>
      <c r="S469" s="57" t="n">
        <v>0</v>
      </c>
      <c r="T469" s="57" t="n">
        <v>2988.58</v>
      </c>
      <c r="U469" s="58" t="n">
        <v>0.4143</v>
      </c>
      <c r="V469" s="57" t="n">
        <v>7213</v>
      </c>
      <c r="W469" s="58" t="n">
        <v>1</v>
      </c>
      <c r="X469" s="58" t="n">
        <v>0</v>
      </c>
      <c r="Y469" s="58" t="n">
        <v>0</v>
      </c>
      <c r="Z469" s="57" t="n">
        <v>0</v>
      </c>
      <c r="AA469" s="57" t="n">
        <v>-504.91</v>
      </c>
      <c r="AB469" s="56" t="inlineStr">
        <is>
          <t>FALSE</t>
        </is>
      </c>
      <c r="AC469" s="56" t="inlineStr">
        <is>
          <t>FALSE</t>
        </is>
      </c>
      <c r="AD469" s="57" t="n">
        <v>4224.42</v>
      </c>
      <c r="AE469" s="57" t="n">
        <v>0</v>
      </c>
      <c r="AF469" s="57" t="n">
        <v>0</v>
      </c>
      <c r="AG469" s="57" t="n">
        <v>0</v>
      </c>
      <c r="AH469" s="57" t="n">
        <v>0</v>
      </c>
    </row>
    <row r="470">
      <c r="A470" s="56" t="inlineStr">
        <is>
          <t>2026-06-17</t>
        </is>
      </c>
      <c r="B470" s="56" t="inlineStr">
        <is>
          <t>2340035</t>
        </is>
      </c>
      <c r="C470" s="56" t="inlineStr">
        <is>
          <t>DS.2025.2186 Bloomington Triplex Unit 3</t>
        </is>
      </c>
      <c r="D470" s="56" t="inlineStr">
        <is>
          <t>DW</t>
        </is>
      </c>
      <c r="E470" s="56" t="inlineStr">
        <is>
          <t>(Unassigned)</t>
        </is>
      </c>
      <c r="F470" s="56" t="inlineStr">
        <is>
          <t>GSI - Gregory Scott Inabnit LLC</t>
        </is>
      </c>
      <c r="G470" s="56" t="inlineStr">
        <is>
          <t>ACTIVE</t>
        </is>
      </c>
      <c r="H470" s="57" t="n">
        <v>6148.53</v>
      </c>
      <c r="I470" s="57" t="n">
        <v>0</v>
      </c>
      <c r="J470" s="57" t="n">
        <v>6148.53</v>
      </c>
      <c r="K470" s="57" t="n">
        <v>6578.93</v>
      </c>
      <c r="L470" s="57" t="n">
        <v>0</v>
      </c>
      <c r="M470" s="57" t="n">
        <v>4331.05</v>
      </c>
      <c r="N470" s="58" t="n">
        <v>0</v>
      </c>
      <c r="O470" s="57" t="n">
        <v>0</v>
      </c>
      <c r="P470" s="57" t="n">
        <v>-6148.53</v>
      </c>
      <c r="Q470" s="57" t="n">
        <v>0</v>
      </c>
      <c r="R470" s="57" t="n">
        <v>6148.53</v>
      </c>
      <c r="S470" s="57" t="n">
        <v>0</v>
      </c>
      <c r="T470" s="57" t="n">
        <v>1817.48</v>
      </c>
      <c r="U470" s="58" t="n">
        <v>0.2956</v>
      </c>
      <c r="V470" s="57" t="n">
        <v>6148.53</v>
      </c>
      <c r="W470" s="58" t="n">
        <v>1</v>
      </c>
      <c r="X470" s="58" t="n">
        <v>0</v>
      </c>
      <c r="Y470" s="58" t="n">
        <v>0</v>
      </c>
      <c r="Z470" s="57" t="n">
        <v>0</v>
      </c>
      <c r="AA470" s="57" t="n">
        <v>-430.4</v>
      </c>
      <c r="AB470" s="56" t="inlineStr">
        <is>
          <t>FALSE</t>
        </is>
      </c>
      <c r="AC470" s="56" t="inlineStr">
        <is>
          <t>FALSE</t>
        </is>
      </c>
      <c r="AD470" s="57" t="n">
        <v>4331.05</v>
      </c>
      <c r="AE470" s="57" t="n">
        <v>0</v>
      </c>
      <c r="AF470" s="57" t="n">
        <v>0</v>
      </c>
      <c r="AG470" s="57" t="n">
        <v>0</v>
      </c>
      <c r="AH470" s="57" t="n">
        <v>0</v>
      </c>
    </row>
    <row r="471">
      <c r="A471" s="56" t="inlineStr">
        <is>
          <t>2026-06-17</t>
        </is>
      </c>
      <c r="B471" s="56" t="inlineStr">
        <is>
          <t>2340013</t>
        </is>
      </c>
      <c r="C471" s="56" t="inlineStr">
        <is>
          <t>DS.2025.2185 Bloomington Triplex Middle Unit</t>
        </is>
      </c>
      <c r="D471" s="56" t="inlineStr">
        <is>
          <t>DW</t>
        </is>
      </c>
      <c r="E471" s="56" t="inlineStr">
        <is>
          <t>(Unassigned)</t>
        </is>
      </c>
      <c r="F471" s="56" t="inlineStr">
        <is>
          <t>GSI - Gregory Scott Inabnit LLC</t>
        </is>
      </c>
      <c r="G471" s="56" t="inlineStr">
        <is>
          <t>ACTIVE</t>
        </is>
      </c>
      <c r="H471" s="57" t="n">
        <v>3935.7</v>
      </c>
      <c r="I471" s="57" t="n">
        <v>0</v>
      </c>
      <c r="J471" s="57" t="n">
        <v>3935.7</v>
      </c>
      <c r="K471" s="57" t="n">
        <v>4211.2</v>
      </c>
      <c r="L471" s="57" t="n">
        <v>0</v>
      </c>
      <c r="M471" s="57" t="n">
        <v>2826.14</v>
      </c>
      <c r="N471" s="58" t="n">
        <v>0</v>
      </c>
      <c r="O471" s="57" t="n">
        <v>0</v>
      </c>
      <c r="P471" s="57" t="n">
        <v>-3935.7</v>
      </c>
      <c r="Q471" s="57" t="n">
        <v>0</v>
      </c>
      <c r="R471" s="57" t="n">
        <v>3935.7</v>
      </c>
      <c r="S471" s="57" t="n">
        <v>0</v>
      </c>
      <c r="T471" s="57" t="n">
        <v>1109.56</v>
      </c>
      <c r="U471" s="58" t="n">
        <v>0.2819</v>
      </c>
      <c r="V471" s="57" t="n">
        <v>3935.7</v>
      </c>
      <c r="W471" s="58" t="n">
        <v>1</v>
      </c>
      <c r="X471" s="58" t="n">
        <v>0</v>
      </c>
      <c r="Y471" s="58" t="n">
        <v>0</v>
      </c>
      <c r="Z471" s="57" t="n">
        <v>0</v>
      </c>
      <c r="AA471" s="57" t="n">
        <v>-275.5</v>
      </c>
      <c r="AB471" s="56" t="inlineStr">
        <is>
          <t>FALSE</t>
        </is>
      </c>
      <c r="AC471" s="56" t="inlineStr">
        <is>
          <t>FALSE</t>
        </is>
      </c>
      <c r="AD471" s="57" t="n">
        <v>2826.14</v>
      </c>
      <c r="AE471" s="57" t="n">
        <v>0</v>
      </c>
      <c r="AF471" s="57" t="n">
        <v>0</v>
      </c>
      <c r="AG471" s="57" t="n">
        <v>0</v>
      </c>
      <c r="AH471" s="57" t="n">
        <v>0</v>
      </c>
    </row>
    <row r="472">
      <c r="A472" s="56" t="inlineStr">
        <is>
          <t>2026-06-17</t>
        </is>
      </c>
      <c r="B472" s="56" t="inlineStr">
        <is>
          <t>2339995</t>
        </is>
      </c>
      <c r="C472" s="56" t="inlineStr">
        <is>
          <t>DS.2025.2184 Bloomington Triplex Unit 1</t>
        </is>
      </c>
      <c r="D472" s="56" t="inlineStr">
        <is>
          <t>DW</t>
        </is>
      </c>
      <c r="E472" s="56" t="inlineStr">
        <is>
          <t>(Unassigned)</t>
        </is>
      </c>
      <c r="F472" s="56" t="inlineStr">
        <is>
          <t>GSI - Gregory Scott Inabnit LLC</t>
        </is>
      </c>
      <c r="G472" s="56" t="inlineStr">
        <is>
          <t>ACTIVE</t>
        </is>
      </c>
      <c r="H472" s="57" t="n">
        <v>5737.8</v>
      </c>
      <c r="I472" s="57" t="n">
        <v>0</v>
      </c>
      <c r="J472" s="57" t="n">
        <v>5737.8</v>
      </c>
      <c r="K472" s="57" t="n">
        <v>6139.45</v>
      </c>
      <c r="L472" s="57" t="n">
        <v>0</v>
      </c>
      <c r="M472" s="57" t="n">
        <v>4054.36</v>
      </c>
      <c r="N472" s="58" t="n">
        <v>0</v>
      </c>
      <c r="O472" s="57" t="n">
        <v>0</v>
      </c>
      <c r="P472" s="57" t="n">
        <v>-5737.8</v>
      </c>
      <c r="Q472" s="57" t="n">
        <v>0</v>
      </c>
      <c r="R472" s="57" t="n">
        <v>5737.8</v>
      </c>
      <c r="S472" s="57" t="n">
        <v>0</v>
      </c>
      <c r="T472" s="57" t="n">
        <v>1683.44</v>
      </c>
      <c r="U472" s="58" t="n">
        <v>0.2934</v>
      </c>
      <c r="V472" s="57" t="n">
        <v>5737.8</v>
      </c>
      <c r="W472" s="58" t="n">
        <v>1</v>
      </c>
      <c r="X472" s="58" t="n">
        <v>0</v>
      </c>
      <c r="Y472" s="58" t="n">
        <v>0</v>
      </c>
      <c r="Z472" s="57" t="n">
        <v>0</v>
      </c>
      <c r="AA472" s="57" t="n">
        <v>-401.65</v>
      </c>
      <c r="AB472" s="56" t="inlineStr">
        <is>
          <t>FALSE</t>
        </is>
      </c>
      <c r="AC472" s="56" t="inlineStr">
        <is>
          <t>FALSE</t>
        </is>
      </c>
      <c r="AD472" s="57" t="n">
        <v>4054.36</v>
      </c>
      <c r="AE472" s="57" t="n">
        <v>0</v>
      </c>
      <c r="AF472" s="57" t="n">
        <v>0</v>
      </c>
      <c r="AG472" s="57" t="n">
        <v>0</v>
      </c>
      <c r="AH472" s="57" t="n">
        <v>0</v>
      </c>
    </row>
    <row r="473">
      <c r="A473" s="56" t="inlineStr">
        <is>
          <t>2026-06-17</t>
        </is>
      </c>
      <c r="B473" s="56" t="inlineStr">
        <is>
          <t>2339243</t>
        </is>
      </c>
      <c r="C473" s="56" t="inlineStr">
        <is>
          <t>DS.2025.2182 9220 Tower Rd</t>
        </is>
      </c>
      <c r="D473" s="56" t="inlineStr">
        <is>
          <t>DW</t>
        </is>
      </c>
      <c r="E473" s="56" t="inlineStr">
        <is>
          <t>(Unassigned)</t>
        </is>
      </c>
      <c r="F473" s="56" t="inlineStr">
        <is>
          <t>Solano Masonry, Inc.</t>
        </is>
      </c>
      <c r="G473" s="56" t="inlineStr">
        <is>
          <t>ACTIVE</t>
        </is>
      </c>
      <c r="H473" s="57" t="n">
        <v>2697.75</v>
      </c>
      <c r="I473" s="57" t="n">
        <v>0</v>
      </c>
      <c r="J473" s="57" t="n">
        <v>2697.75</v>
      </c>
      <c r="K473" s="57" t="n">
        <v>2886.59</v>
      </c>
      <c r="L473" s="57" t="n">
        <v>0</v>
      </c>
      <c r="M473" s="57" t="n">
        <v>1993.95</v>
      </c>
      <c r="N473" s="58" t="n">
        <v>0</v>
      </c>
      <c r="O473" s="57" t="n">
        <v>0</v>
      </c>
      <c r="P473" s="57" t="n">
        <v>-2697.75</v>
      </c>
      <c r="Q473" s="57" t="n">
        <v>0</v>
      </c>
      <c r="R473" s="57" t="n">
        <v>2697.75</v>
      </c>
      <c r="S473" s="57" t="n">
        <v>0</v>
      </c>
      <c r="T473" s="57" t="n">
        <v>703.8</v>
      </c>
      <c r="U473" s="58" t="n">
        <v>0.2609</v>
      </c>
      <c r="V473" s="57" t="n">
        <v>2697.75</v>
      </c>
      <c r="W473" s="58" t="n">
        <v>1</v>
      </c>
      <c r="X473" s="58" t="n">
        <v>0</v>
      </c>
      <c r="Y473" s="58" t="n">
        <v>0</v>
      </c>
      <c r="Z473" s="57" t="n">
        <v>0</v>
      </c>
      <c r="AA473" s="57" t="n">
        <v>-188.84</v>
      </c>
      <c r="AB473" s="56" t="inlineStr">
        <is>
          <t>FALSE</t>
        </is>
      </c>
      <c r="AC473" s="56" t="inlineStr">
        <is>
          <t>FALSE</t>
        </is>
      </c>
      <c r="AD473" s="57" t="n">
        <v>1993.95</v>
      </c>
      <c r="AE473" s="57" t="n">
        <v>0</v>
      </c>
      <c r="AF473" s="57" t="n">
        <v>0</v>
      </c>
      <c r="AG473" s="57" t="n">
        <v>0</v>
      </c>
      <c r="AH473" s="57" t="n">
        <v>0</v>
      </c>
    </row>
    <row r="474">
      <c r="A474" s="56" t="inlineStr">
        <is>
          <t>2026-06-17</t>
        </is>
      </c>
      <c r="B474" s="56" t="inlineStr">
        <is>
          <t>2337339</t>
        </is>
      </c>
      <c r="C474" s="56" t="inlineStr">
        <is>
          <t>DS.2025.2175 6891 State Road 257</t>
        </is>
      </c>
      <c r="D474" s="56" t="inlineStr">
        <is>
          <t>DW</t>
        </is>
      </c>
      <c r="E474" s="56" t="inlineStr">
        <is>
          <t>(Unassigned)</t>
        </is>
      </c>
      <c r="F474" s="56" t="inlineStr">
        <is>
          <t>Total Drywall Solutions Inc</t>
        </is>
      </c>
      <c r="G474" s="56" t="inlineStr">
        <is>
          <t>ACTIVE</t>
        </is>
      </c>
      <c r="H474" s="57" t="n">
        <v>316</v>
      </c>
      <c r="I474" s="57" t="n">
        <v>0</v>
      </c>
      <c r="J474" s="57" t="n">
        <v>316</v>
      </c>
      <c r="K474" s="57" t="n">
        <v>0</v>
      </c>
      <c r="L474" s="57" t="n">
        <v>0</v>
      </c>
      <c r="M474" s="57" t="n">
        <v>145.8</v>
      </c>
      <c r="N474" s="58" t="n">
        <v>0</v>
      </c>
      <c r="O474" s="57" t="n">
        <v>0</v>
      </c>
      <c r="P474" s="57" t="n">
        <v>-316</v>
      </c>
      <c r="Q474" s="57" t="n">
        <v>0</v>
      </c>
      <c r="R474" s="57" t="n">
        <v>316</v>
      </c>
      <c r="S474" s="57" t="n">
        <v>0</v>
      </c>
      <c r="T474" s="57" t="n">
        <v>170.2</v>
      </c>
      <c r="U474" s="58" t="n">
        <v>0.5386</v>
      </c>
      <c r="V474" s="57" t="n">
        <v>316</v>
      </c>
      <c r="W474" s="58" t="n">
        <v>1</v>
      </c>
      <c r="X474" s="58" t="n">
        <v>0</v>
      </c>
      <c r="Y474" s="58" t="n">
        <v>0</v>
      </c>
      <c r="Z474" s="57" t="n">
        <v>0</v>
      </c>
      <c r="AA474" s="57" t="n">
        <v>316</v>
      </c>
      <c r="AB474" s="56" t="inlineStr">
        <is>
          <t>FALSE</t>
        </is>
      </c>
      <c r="AC474" s="56" t="inlineStr">
        <is>
          <t>FALSE</t>
        </is>
      </c>
      <c r="AD474" s="57" t="n">
        <v>145.8</v>
      </c>
      <c r="AE474" s="57" t="n">
        <v>0</v>
      </c>
      <c r="AF474" s="57" t="n">
        <v>0</v>
      </c>
      <c r="AG474" s="57" t="n">
        <v>0</v>
      </c>
      <c r="AH474" s="57" t="n">
        <v>0</v>
      </c>
    </row>
    <row r="475">
      <c r="A475" s="56" t="inlineStr">
        <is>
          <t>2026-06-17</t>
        </is>
      </c>
      <c r="B475" s="56" t="inlineStr">
        <is>
          <t>2327047</t>
        </is>
      </c>
      <c r="C475" s="56" t="inlineStr">
        <is>
          <t>DS.2025.2169 Abbey Place 311</t>
        </is>
      </c>
      <c r="D475" s="56" t="inlineStr">
        <is>
          <t>DW</t>
        </is>
      </c>
      <c r="E475" s="56" t="inlineStr">
        <is>
          <t>(Unassigned)</t>
        </is>
      </c>
      <c r="F475" s="56" t="inlineStr">
        <is>
          <t>Flores Drywall and Remodeling LLC</t>
        </is>
      </c>
      <c r="G475" s="56" t="inlineStr">
        <is>
          <t>ACTIVE</t>
        </is>
      </c>
      <c r="H475" s="57" t="n">
        <v>5048.01</v>
      </c>
      <c r="I475" s="57" t="n">
        <v>0</v>
      </c>
      <c r="J475" s="57" t="n">
        <v>5048.01</v>
      </c>
      <c r="K475" s="57" t="n">
        <v>5401.37</v>
      </c>
      <c r="L475" s="57" t="n">
        <v>0</v>
      </c>
      <c r="M475" s="57" t="n">
        <v>3652.08</v>
      </c>
      <c r="N475" s="58" t="n">
        <v>0</v>
      </c>
      <c r="O475" s="57" t="n">
        <v>0</v>
      </c>
      <c r="P475" s="57" t="n">
        <v>-5048.01</v>
      </c>
      <c r="Q475" s="57" t="n">
        <v>0</v>
      </c>
      <c r="R475" s="57" t="n">
        <v>5048.01</v>
      </c>
      <c r="S475" s="57" t="n">
        <v>0</v>
      </c>
      <c r="T475" s="57" t="n">
        <v>1395.93</v>
      </c>
      <c r="U475" s="58" t="n">
        <v>0.2765</v>
      </c>
      <c r="V475" s="57" t="n">
        <v>5048.01</v>
      </c>
      <c r="W475" s="58" t="n">
        <v>1</v>
      </c>
      <c r="X475" s="58" t="n">
        <v>0</v>
      </c>
      <c r="Y475" s="58" t="n">
        <v>0</v>
      </c>
      <c r="Z475" s="57" t="n">
        <v>0</v>
      </c>
      <c r="AA475" s="57" t="n">
        <v>-353.36</v>
      </c>
      <c r="AB475" s="56" t="inlineStr">
        <is>
          <t>FALSE</t>
        </is>
      </c>
      <c r="AC475" s="56" t="inlineStr">
        <is>
          <t>FALSE</t>
        </is>
      </c>
      <c r="AD475" s="57" t="n">
        <v>3652.08</v>
      </c>
      <c r="AE475" s="57" t="n">
        <v>0</v>
      </c>
      <c r="AF475" s="57" t="n">
        <v>0</v>
      </c>
      <c r="AG475" s="57" t="n">
        <v>0</v>
      </c>
      <c r="AH475" s="57" t="n">
        <v>0</v>
      </c>
    </row>
    <row r="476">
      <c r="A476" s="56" t="inlineStr">
        <is>
          <t>2026-06-17</t>
        </is>
      </c>
      <c r="B476" s="56" t="inlineStr">
        <is>
          <t>2304400</t>
        </is>
      </c>
      <c r="C476" s="56" t="inlineStr">
        <is>
          <t>DS.2025.2150 V3 Holiday Farms</t>
        </is>
      </c>
      <c r="D476" s="56" t="inlineStr">
        <is>
          <t>DW</t>
        </is>
      </c>
      <c r="E476" s="56" t="inlineStr">
        <is>
          <t>(Unassigned)</t>
        </is>
      </c>
      <c r="F476" s="56" t="inlineStr">
        <is>
          <t>Flores Drywall and Remodeling LLC</t>
        </is>
      </c>
      <c r="G476" s="56" t="inlineStr">
        <is>
          <t>ACTIVE</t>
        </is>
      </c>
      <c r="H476" s="57" t="n">
        <v>11827.1</v>
      </c>
      <c r="I476" s="57" t="n">
        <v>0</v>
      </c>
      <c r="J476" s="57" t="n">
        <v>0</v>
      </c>
      <c r="K476" s="57" t="n">
        <v>0</v>
      </c>
      <c r="L476" s="57" t="n">
        <v>0</v>
      </c>
      <c r="M476" s="57" t="n">
        <v>15224.85</v>
      </c>
      <c r="N476" s="58" t="n">
        <v>0</v>
      </c>
      <c r="O476" s="57" t="n">
        <v>0</v>
      </c>
      <c r="P476" s="57" t="n">
        <v>0</v>
      </c>
      <c r="Q476" s="57" t="n">
        <v>0</v>
      </c>
      <c r="R476" s="57" t="n">
        <v>0</v>
      </c>
      <c r="S476" s="57" t="n">
        <v>0</v>
      </c>
      <c r="T476" s="57" t="n">
        <v>-15224.85</v>
      </c>
      <c r="U476" s="58" t="n">
        <v>0</v>
      </c>
      <c r="V476" s="57" t="n">
        <v>11827.1</v>
      </c>
      <c r="W476" s="58" t="n">
        <v>1</v>
      </c>
      <c r="X476" s="58" t="n">
        <v>0</v>
      </c>
      <c r="Y476" s="58" t="n">
        <v>0</v>
      </c>
      <c r="Z476" s="57" t="n">
        <v>0</v>
      </c>
      <c r="AA476" s="57" t="n">
        <v>0</v>
      </c>
      <c r="AB476" s="56" t="inlineStr">
        <is>
          <t>FALSE</t>
        </is>
      </c>
      <c r="AC476" s="56" t="inlineStr">
        <is>
          <t>FALSE</t>
        </is>
      </c>
      <c r="AD476" s="57" t="n">
        <v>8776.049999999999</v>
      </c>
      <c r="AE476" s="57" t="n">
        <v>6448.8</v>
      </c>
      <c r="AF476" s="57" t="n">
        <v>0</v>
      </c>
      <c r="AG476" s="57" t="n">
        <v>0</v>
      </c>
      <c r="AH476" s="57" t="n">
        <v>0</v>
      </c>
    </row>
    <row r="477">
      <c r="A477" s="56" t="inlineStr">
        <is>
          <t>2026-06-17</t>
        </is>
      </c>
      <c r="B477" s="56" t="inlineStr">
        <is>
          <t>2303764</t>
        </is>
      </c>
      <c r="C477" s="56" t="inlineStr">
        <is>
          <t>2025.1021 Convivio</t>
        </is>
      </c>
      <c r="D477" s="56" t="inlineStr">
        <is>
          <t>TI</t>
        </is>
      </c>
      <c r="E477" s="56" t="inlineStr">
        <is>
          <t>Shawn Welcher</t>
        </is>
      </c>
      <c r="F477" s="56" t="inlineStr">
        <is>
          <t>The Peterson Company, LLC</t>
        </is>
      </c>
      <c r="G477" s="56" t="inlineStr">
        <is>
          <t>ACTIVE</t>
        </is>
      </c>
      <c r="H477" s="57" t="n">
        <v>87788.25999999999</v>
      </c>
      <c r="I477" s="57" t="n">
        <v>15788.26</v>
      </c>
      <c r="J477" s="57" t="n">
        <v>87788.25999999999</v>
      </c>
      <c r="K477" s="57" t="n">
        <v>87788.25999999999</v>
      </c>
      <c r="L477" s="57" t="n">
        <v>63124.37</v>
      </c>
      <c r="M477" s="57" t="n">
        <v>63124.37</v>
      </c>
      <c r="N477" s="58" t="n">
        <v>1</v>
      </c>
      <c r="O477" s="57" t="n">
        <v>87788.25999999999</v>
      </c>
      <c r="P477" s="57" t="n">
        <v>0</v>
      </c>
      <c r="Q477" s="57" t="n">
        <v>-0</v>
      </c>
      <c r="R477" s="57" t="n">
        <v>0</v>
      </c>
      <c r="S477" s="57" t="n">
        <v>0</v>
      </c>
      <c r="T477" s="57" t="n">
        <v>24663.89</v>
      </c>
      <c r="U477" s="58" t="n">
        <v>0.2809</v>
      </c>
      <c r="V477" s="57" t="n">
        <v>24663.89</v>
      </c>
      <c r="W477" s="58" t="n">
        <v>0.2809</v>
      </c>
      <c r="X477" s="58" t="n">
        <v>0.2809</v>
      </c>
      <c r="Y477" s="58" t="n">
        <v>-0</v>
      </c>
      <c r="Z477" s="57" t="n">
        <v>0</v>
      </c>
      <c r="AA477" s="57" t="n">
        <v>0</v>
      </c>
      <c r="AB477" s="56" t="inlineStr">
        <is>
          <t>TRUE</t>
        </is>
      </c>
      <c r="AC477" s="56" t="inlineStr">
        <is>
          <t>TRUE</t>
        </is>
      </c>
      <c r="AD477" s="57" t="n">
        <v>36413.86</v>
      </c>
      <c r="AE477" s="57" t="n">
        <v>26518.34</v>
      </c>
      <c r="AF477" s="57" t="n">
        <v>0</v>
      </c>
      <c r="AG477" s="57" t="n">
        <v>192.17</v>
      </c>
      <c r="AH477" s="57" t="n">
        <v>0</v>
      </c>
    </row>
    <row r="478">
      <c r="A478" s="56" t="inlineStr">
        <is>
          <t>2026-06-17</t>
        </is>
      </c>
      <c r="B478" s="56" t="inlineStr">
        <is>
          <t>2303466</t>
        </is>
      </c>
      <c r="C478" s="56" t="inlineStr">
        <is>
          <t>2025.999 Romet PWSI</t>
        </is>
      </c>
      <c r="D478" s="56" t="inlineStr">
        <is>
          <t>TI</t>
        </is>
      </c>
      <c r="E478" s="56" t="inlineStr">
        <is>
          <t>Tommy Cohoat</t>
        </is>
      </c>
      <c r="F478" s="56" t="inlineStr">
        <is>
          <t>The Peterson Company, LLC</t>
        </is>
      </c>
      <c r="G478" s="56" t="inlineStr">
        <is>
          <t>ACTIVE</t>
        </is>
      </c>
      <c r="H478" s="57" t="n">
        <v>372490</v>
      </c>
      <c r="I478" s="57" t="n">
        <v>14740</v>
      </c>
      <c r="J478" s="57" t="n">
        <v>372490</v>
      </c>
      <c r="K478" s="57" t="n">
        <v>372490</v>
      </c>
      <c r="L478" s="57" t="n">
        <v>189800</v>
      </c>
      <c r="M478" s="57" t="n">
        <v>190491.63</v>
      </c>
      <c r="N478" s="58" t="n">
        <v>1.0036</v>
      </c>
      <c r="O478" s="57" t="n">
        <v>373830.96</v>
      </c>
      <c r="P478" s="57" t="n">
        <v>1340.96</v>
      </c>
      <c r="Q478" s="57" t="n">
        <v>0</v>
      </c>
      <c r="R478" s="57" t="n">
        <v>0</v>
      </c>
      <c r="S478" s="57" t="n">
        <v>1340.96</v>
      </c>
      <c r="T478" s="57" t="n">
        <v>181998.37</v>
      </c>
      <c r="U478" s="58" t="n">
        <v>0.4886</v>
      </c>
      <c r="V478" s="57" t="n">
        <v>182690</v>
      </c>
      <c r="W478" s="58" t="n">
        <v>0.4905</v>
      </c>
      <c r="X478" s="58" t="n">
        <v>0.4905</v>
      </c>
      <c r="Y478" s="58" t="n">
        <v>0.0019</v>
      </c>
      <c r="Z478" s="57" t="n">
        <v>0</v>
      </c>
      <c r="AA478" s="57" t="n">
        <v>0</v>
      </c>
      <c r="AB478" s="56" t="inlineStr">
        <is>
          <t>TRUE</t>
        </is>
      </c>
      <c r="AC478" s="56" t="inlineStr">
        <is>
          <t>TRUE</t>
        </is>
      </c>
      <c r="AD478" s="57" t="n">
        <v>80353.22</v>
      </c>
      <c r="AE478" s="57" t="n">
        <v>102093.03</v>
      </c>
      <c r="AF478" s="57" t="n">
        <v>8045.38</v>
      </c>
      <c r="AG478" s="57" t="n">
        <v>0</v>
      </c>
      <c r="AH478" s="57" t="n">
        <v>0</v>
      </c>
    </row>
    <row r="479">
      <c r="A479" s="56" t="inlineStr">
        <is>
          <t>2026-06-17</t>
        </is>
      </c>
      <c r="B479" s="56" t="inlineStr">
        <is>
          <t>2302121</t>
        </is>
      </c>
      <c r="C479" s="56" t="inlineStr">
        <is>
          <t>DS.2025.2143 GSI Ranch</t>
        </is>
      </c>
      <c r="D479" s="56" t="inlineStr">
        <is>
          <t>DW</t>
        </is>
      </c>
      <c r="E479" s="56" t="inlineStr">
        <is>
          <t>(Unassigned)</t>
        </is>
      </c>
      <c r="F479" s="56" t="inlineStr">
        <is>
          <t>GSI - Gregory Scott Inabnit LLC</t>
        </is>
      </c>
      <c r="G479" s="56" t="inlineStr">
        <is>
          <t>ACTIVE</t>
        </is>
      </c>
      <c r="H479" s="57" t="n">
        <v>5864.13</v>
      </c>
      <c r="I479" s="57" t="n">
        <v>0</v>
      </c>
      <c r="J479" s="57" t="n">
        <v>5864.13</v>
      </c>
      <c r="K479" s="57" t="n">
        <v>6274.62</v>
      </c>
      <c r="L479" s="57" t="n">
        <v>0</v>
      </c>
      <c r="M479" s="57" t="n">
        <v>4106.76</v>
      </c>
      <c r="N479" s="58" t="n">
        <v>0</v>
      </c>
      <c r="O479" s="57" t="n">
        <v>0</v>
      </c>
      <c r="P479" s="57" t="n">
        <v>-5864.13</v>
      </c>
      <c r="Q479" s="57" t="n">
        <v>0</v>
      </c>
      <c r="R479" s="57" t="n">
        <v>5864.13</v>
      </c>
      <c r="S479" s="57" t="n">
        <v>0</v>
      </c>
      <c r="T479" s="57" t="n">
        <v>1757.37</v>
      </c>
      <c r="U479" s="58" t="n">
        <v>0.2997</v>
      </c>
      <c r="V479" s="57" t="n">
        <v>5864.13</v>
      </c>
      <c r="W479" s="58" t="n">
        <v>1</v>
      </c>
      <c r="X479" s="58" t="n">
        <v>0</v>
      </c>
      <c r="Y479" s="58" t="n">
        <v>0</v>
      </c>
      <c r="Z479" s="57" t="n">
        <v>0</v>
      </c>
      <c r="AA479" s="57" t="n">
        <v>-410.49</v>
      </c>
      <c r="AB479" s="56" t="inlineStr">
        <is>
          <t>FALSE</t>
        </is>
      </c>
      <c r="AC479" s="56" t="inlineStr">
        <is>
          <t>FALSE</t>
        </is>
      </c>
      <c r="AD479" s="57" t="n">
        <v>4106.76</v>
      </c>
      <c r="AE479" s="57" t="n">
        <v>0</v>
      </c>
      <c r="AF479" s="57" t="n">
        <v>0</v>
      </c>
      <c r="AG479" s="57" t="n">
        <v>0</v>
      </c>
      <c r="AH479" s="57" t="n">
        <v>0</v>
      </c>
    </row>
    <row r="480">
      <c r="A480" s="56" t="inlineStr">
        <is>
          <t>2026-06-17</t>
        </is>
      </c>
      <c r="B480" s="56" t="inlineStr">
        <is>
          <t>2301410</t>
        </is>
      </c>
      <c r="C480" s="56" t="inlineStr">
        <is>
          <t>DS.2025.2138 51 Preserve</t>
        </is>
      </c>
      <c r="D480" s="56" t="inlineStr">
        <is>
          <t>DW</t>
        </is>
      </c>
      <c r="E480" s="56" t="inlineStr">
        <is>
          <t>(Unassigned)</t>
        </is>
      </c>
      <c r="F480" s="56" t="inlineStr">
        <is>
          <t>Flores Drywall and Remodeling LLC</t>
        </is>
      </c>
      <c r="G480" s="56" t="inlineStr">
        <is>
          <t>ACTIVE</t>
        </is>
      </c>
      <c r="H480" s="57" t="n">
        <v>5783.87</v>
      </c>
      <c r="I480" s="57" t="n">
        <v>0</v>
      </c>
      <c r="J480" s="57" t="n">
        <v>5783.87</v>
      </c>
      <c r="K480" s="57" t="n">
        <v>6188.74</v>
      </c>
      <c r="L480" s="57" t="n">
        <v>0</v>
      </c>
      <c r="M480" s="57" t="n">
        <v>4328.55</v>
      </c>
      <c r="N480" s="58" t="n">
        <v>0</v>
      </c>
      <c r="O480" s="57" t="n">
        <v>0</v>
      </c>
      <c r="P480" s="57" t="n">
        <v>-5783.87</v>
      </c>
      <c r="Q480" s="57" t="n">
        <v>0</v>
      </c>
      <c r="R480" s="57" t="n">
        <v>5783.87</v>
      </c>
      <c r="S480" s="57" t="n">
        <v>0</v>
      </c>
      <c r="T480" s="57" t="n">
        <v>1455.32</v>
      </c>
      <c r="U480" s="58" t="n">
        <v>0.2516</v>
      </c>
      <c r="V480" s="57" t="n">
        <v>5783.87</v>
      </c>
      <c r="W480" s="58" t="n">
        <v>1</v>
      </c>
      <c r="X480" s="58" t="n">
        <v>0</v>
      </c>
      <c r="Y480" s="58" t="n">
        <v>0</v>
      </c>
      <c r="Z480" s="57" t="n">
        <v>0</v>
      </c>
      <c r="AA480" s="57" t="n">
        <v>-404.87</v>
      </c>
      <c r="AB480" s="56" t="inlineStr">
        <is>
          <t>FALSE</t>
        </is>
      </c>
      <c r="AC480" s="56" t="inlineStr">
        <is>
          <t>FALSE</t>
        </is>
      </c>
      <c r="AD480" s="57" t="n">
        <v>4328.55</v>
      </c>
      <c r="AE480" s="57" t="n">
        <v>0</v>
      </c>
      <c r="AF480" s="57" t="n">
        <v>0</v>
      </c>
      <c r="AG480" s="57" t="n">
        <v>0</v>
      </c>
      <c r="AH480" s="57" t="n">
        <v>0</v>
      </c>
    </row>
    <row r="481">
      <c r="A481" s="56" t="inlineStr">
        <is>
          <t>2026-06-17</t>
        </is>
      </c>
      <c r="B481" s="56" t="inlineStr">
        <is>
          <t>2296704</t>
        </is>
      </c>
      <c r="C481" s="56" t="inlineStr">
        <is>
          <t>DS.2025.2118 House 6</t>
        </is>
      </c>
      <c r="D481" s="56" t="inlineStr">
        <is>
          <t>DW</t>
        </is>
      </c>
      <c r="E481" s="56" t="inlineStr">
        <is>
          <t>(Unassigned)</t>
        </is>
      </c>
      <c r="F481" s="56" t="inlineStr">
        <is>
          <t>GSI - Gregory Scott Inabnit LLC</t>
        </is>
      </c>
      <c r="G481" s="56" t="inlineStr">
        <is>
          <t>ACTIVE</t>
        </is>
      </c>
      <c r="H481" s="57" t="n">
        <v>3565.84</v>
      </c>
      <c r="I481" s="57" t="n">
        <v>0</v>
      </c>
      <c r="J481" s="57" t="n">
        <v>3565.84</v>
      </c>
      <c r="K481" s="57" t="n">
        <v>3815.45</v>
      </c>
      <c r="L481" s="57" t="n">
        <v>0</v>
      </c>
      <c r="M481" s="57" t="n">
        <v>2398.54</v>
      </c>
      <c r="N481" s="58" t="n">
        <v>0</v>
      </c>
      <c r="O481" s="57" t="n">
        <v>0</v>
      </c>
      <c r="P481" s="57" t="n">
        <v>-3565.84</v>
      </c>
      <c r="Q481" s="57" t="n">
        <v>0</v>
      </c>
      <c r="R481" s="57" t="n">
        <v>3565.84</v>
      </c>
      <c r="S481" s="57" t="n">
        <v>0</v>
      </c>
      <c r="T481" s="57" t="n">
        <v>1167.3</v>
      </c>
      <c r="U481" s="58" t="n">
        <v>0.3274</v>
      </c>
      <c r="V481" s="57" t="n">
        <v>3565.84</v>
      </c>
      <c r="W481" s="58" t="n">
        <v>1</v>
      </c>
      <c r="X481" s="58" t="n">
        <v>0</v>
      </c>
      <c r="Y481" s="58" t="n">
        <v>0</v>
      </c>
      <c r="Z481" s="57" t="n">
        <v>0</v>
      </c>
      <c r="AA481" s="57" t="n">
        <v>-249.61</v>
      </c>
      <c r="AB481" s="56" t="inlineStr">
        <is>
          <t>FALSE</t>
        </is>
      </c>
      <c r="AC481" s="56" t="inlineStr">
        <is>
          <t>FALSE</t>
        </is>
      </c>
      <c r="AD481" s="57" t="n">
        <v>2398.54</v>
      </c>
      <c r="AE481" s="57" t="n">
        <v>0</v>
      </c>
      <c r="AF481" s="57" t="n">
        <v>0</v>
      </c>
      <c r="AG481" s="57" t="n">
        <v>0</v>
      </c>
      <c r="AH481" s="57" t="n">
        <v>0</v>
      </c>
    </row>
    <row r="482">
      <c r="A482" s="56" t="inlineStr">
        <is>
          <t>2026-06-17</t>
        </is>
      </c>
      <c r="B482" s="56" t="inlineStr">
        <is>
          <t>2282848</t>
        </is>
      </c>
      <c r="C482" s="56" t="inlineStr">
        <is>
          <t>2025.997 Belmont St Warehouse Clear Out 250-408</t>
        </is>
      </c>
      <c r="D482" s="56" t="inlineStr">
        <is>
          <t>TI</t>
        </is>
      </c>
      <c r="E482" s="56" t="inlineStr">
        <is>
          <t>Spencer Anderson</t>
        </is>
      </c>
      <c r="F482" s="56" t="inlineStr">
        <is>
          <t>DEEM, LLC</t>
        </is>
      </c>
      <c r="G482" s="56" t="inlineStr">
        <is>
          <t>ACTIVE</t>
        </is>
      </c>
      <c r="H482" s="57" t="n">
        <v>54090</v>
      </c>
      <c r="I482" s="57" t="n">
        <v>38090</v>
      </c>
      <c r="J482" s="57" t="n">
        <v>54090</v>
      </c>
      <c r="K482" s="57" t="n">
        <v>54090</v>
      </c>
      <c r="L482" s="57" t="n">
        <v>10911.31</v>
      </c>
      <c r="M482" s="57" t="n">
        <v>23635.43</v>
      </c>
      <c r="N482" s="58" t="n">
        <v>2.1661</v>
      </c>
      <c r="O482" s="57" t="n">
        <v>117164.35</v>
      </c>
      <c r="P482" s="57" t="n">
        <v>63074.35</v>
      </c>
      <c r="Q482" s="57" t="n">
        <v>0</v>
      </c>
      <c r="R482" s="57" t="n">
        <v>0</v>
      </c>
      <c r="S482" s="57" t="n">
        <v>63074.35</v>
      </c>
      <c r="T482" s="57" t="n">
        <v>30454.57</v>
      </c>
      <c r="U482" s="58" t="n">
        <v>0.5629999999999999</v>
      </c>
      <c r="V482" s="57" t="n">
        <v>43178.69</v>
      </c>
      <c r="W482" s="58" t="n">
        <v>0.7983</v>
      </c>
      <c r="X482" s="58" t="n">
        <v>0.7983</v>
      </c>
      <c r="Y482" s="58" t="n">
        <v>0.2352</v>
      </c>
      <c r="Z482" s="57" t="n">
        <v>0</v>
      </c>
      <c r="AA482" s="57" t="n">
        <v>0</v>
      </c>
      <c r="AB482" s="56" t="inlineStr">
        <is>
          <t>TRUE</t>
        </is>
      </c>
      <c r="AC482" s="56" t="inlineStr">
        <is>
          <t>TRUE</t>
        </is>
      </c>
      <c r="AD482" s="57" t="n">
        <v>6396.31</v>
      </c>
      <c r="AE482" s="57" t="n">
        <v>17239.12</v>
      </c>
      <c r="AF482" s="57" t="n">
        <v>0</v>
      </c>
      <c r="AG482" s="57" t="n">
        <v>0</v>
      </c>
      <c r="AH482" s="57" t="n">
        <v>0</v>
      </c>
    </row>
    <row r="483">
      <c r="A483" s="56" t="inlineStr">
        <is>
          <t>2026-06-17</t>
        </is>
      </c>
      <c r="B483" s="56" t="inlineStr">
        <is>
          <t>2261041</t>
        </is>
      </c>
      <c r="C483" s="56" t="inlineStr">
        <is>
          <t>DS.2025.2072 Tom Carter Prince's Lake</t>
        </is>
      </c>
      <c r="D483" s="56" t="inlineStr">
        <is>
          <t>DW</t>
        </is>
      </c>
      <c r="E483" s="56" t="inlineStr">
        <is>
          <t>(Unassigned)</t>
        </is>
      </c>
      <c r="F483" s="56" t="inlineStr">
        <is>
          <t>TC Indy</t>
        </is>
      </c>
      <c r="G483" s="56" t="inlineStr">
        <is>
          <t>ACTIVE</t>
        </is>
      </c>
      <c r="H483" s="57" t="n">
        <v>10104.28</v>
      </c>
      <c r="I483" s="57" t="n">
        <v>1410.4</v>
      </c>
      <c r="J483" s="57" t="n">
        <v>10104.28</v>
      </c>
      <c r="K483" s="57" t="n">
        <v>10811.58</v>
      </c>
      <c r="L483" s="57" t="n">
        <v>0</v>
      </c>
      <c r="M483" s="57" t="n">
        <v>5309.73</v>
      </c>
      <c r="N483" s="58" t="n">
        <v>0</v>
      </c>
      <c r="O483" s="57" t="n">
        <v>0</v>
      </c>
      <c r="P483" s="57" t="n">
        <v>-10104.28</v>
      </c>
      <c r="Q483" s="57" t="n">
        <v>0</v>
      </c>
      <c r="R483" s="57" t="n">
        <v>10104.28</v>
      </c>
      <c r="S483" s="57" t="n">
        <v>0</v>
      </c>
      <c r="T483" s="57" t="n">
        <v>4794.55</v>
      </c>
      <c r="U483" s="58" t="n">
        <v>0.4745</v>
      </c>
      <c r="V483" s="57" t="n">
        <v>10104.28</v>
      </c>
      <c r="W483" s="58" t="n">
        <v>1</v>
      </c>
      <c r="X483" s="58" t="n">
        <v>0</v>
      </c>
      <c r="Y483" s="58" t="n">
        <v>0</v>
      </c>
      <c r="Z483" s="57" t="n">
        <v>0</v>
      </c>
      <c r="AA483" s="57" t="n">
        <v>-707.3</v>
      </c>
      <c r="AB483" s="56" t="inlineStr">
        <is>
          <t>FALSE</t>
        </is>
      </c>
      <c r="AC483" s="56" t="inlineStr">
        <is>
          <t>FALSE</t>
        </is>
      </c>
      <c r="AD483" s="57" t="n">
        <v>5309.73</v>
      </c>
      <c r="AE483" s="57" t="n">
        <v>0</v>
      </c>
      <c r="AF483" s="57" t="n">
        <v>0</v>
      </c>
      <c r="AG483" s="57" t="n">
        <v>0</v>
      </c>
      <c r="AH483" s="57" t="n">
        <v>0</v>
      </c>
    </row>
    <row r="484">
      <c r="A484" s="56" t="inlineStr">
        <is>
          <t>2026-06-17</t>
        </is>
      </c>
      <c r="B484" s="56" t="inlineStr">
        <is>
          <t>2250539</t>
        </is>
      </c>
      <c r="C484" s="56" t="inlineStr">
        <is>
          <t>2025.1032 65 Commerce Park Building 7</t>
        </is>
      </c>
      <c r="D484" s="56" t="inlineStr">
        <is>
          <t>TI</t>
        </is>
      </c>
      <c r="E484" s="56" t="inlineStr">
        <is>
          <t>Trevor Anderson</t>
        </is>
      </c>
      <c r="F484" s="56" t="inlineStr">
        <is>
          <t>Compass Commercial Construction Group</t>
        </is>
      </c>
      <c r="G484" s="56" t="inlineStr">
        <is>
          <t>ACTIVE</t>
        </is>
      </c>
      <c r="H484" s="57" t="n">
        <v>133900</v>
      </c>
      <c r="I484" s="57" t="n">
        <v>0</v>
      </c>
      <c r="J484" s="57" t="n">
        <v>71314.2</v>
      </c>
      <c r="K484" s="57" t="n">
        <v>0</v>
      </c>
      <c r="L484" s="57" t="n">
        <v>92029.78999999999</v>
      </c>
      <c r="M484" s="57" t="n">
        <v>81690.55</v>
      </c>
      <c r="N484" s="58" t="n">
        <v>0.8877</v>
      </c>
      <c r="O484" s="57" t="n">
        <v>118863.03</v>
      </c>
      <c r="P484" s="57" t="n">
        <v>47548.83</v>
      </c>
      <c r="Q484" s="57" t="n">
        <v>39618.78</v>
      </c>
      <c r="R484" s="57" t="n">
        <v>0</v>
      </c>
      <c r="S484" s="57" t="n">
        <v>47548.83</v>
      </c>
      <c r="T484" s="57" t="n">
        <v>-2452.55</v>
      </c>
      <c r="U484" s="58" t="n">
        <v>-0.031</v>
      </c>
      <c r="V484" s="57" t="n">
        <v>41870.21</v>
      </c>
      <c r="W484" s="58" t="n">
        <v>0.3127</v>
      </c>
      <c r="X484" s="58" t="n">
        <v>0.3127</v>
      </c>
      <c r="Y484" s="58" t="n">
        <v>0.3436</v>
      </c>
      <c r="Z484" s="57" t="n">
        <v>7923.8</v>
      </c>
      <c r="AA484" s="57" t="n">
        <v>71314.2</v>
      </c>
      <c r="AB484" s="56" t="inlineStr">
        <is>
          <t>TRUE</t>
        </is>
      </c>
      <c r="AC484" s="56" t="inlineStr">
        <is>
          <t>TRUE</t>
        </is>
      </c>
      <c r="AD484" s="57" t="n">
        <v>40471.61</v>
      </c>
      <c r="AE484" s="57" t="n">
        <v>29552.47</v>
      </c>
      <c r="AF484" s="57" t="n">
        <v>11666.47</v>
      </c>
      <c r="AG484" s="57" t="n">
        <v>0</v>
      </c>
      <c r="AH484" s="57" t="n">
        <v>0</v>
      </c>
    </row>
    <row r="485">
      <c r="A485" s="56" t="inlineStr">
        <is>
          <t>2026-06-17</t>
        </is>
      </c>
      <c r="B485" s="56" t="inlineStr">
        <is>
          <t>2248156</t>
        </is>
      </c>
      <c r="C485" s="56" t="inlineStr">
        <is>
          <t>2025.994 Stotan Port Laredo Spec Offices</t>
        </is>
      </c>
      <c r="D485" s="56" t="inlineStr">
        <is>
          <t>TI</t>
        </is>
      </c>
      <c r="E485" s="56" t="inlineStr">
        <is>
          <t>Ben Garza</t>
        </is>
      </c>
      <c r="F485" s="56" t="inlineStr">
        <is>
          <t>ARCO Design/Build</t>
        </is>
      </c>
      <c r="G485" s="56" t="inlineStr">
        <is>
          <t>ACTIVE</t>
        </is>
      </c>
      <c r="H485" s="57" t="n">
        <v>699328</v>
      </c>
      <c r="I485" s="57" t="n">
        <v>121328</v>
      </c>
      <c r="J485" s="57" t="n">
        <v>699328</v>
      </c>
      <c r="K485" s="57" t="n">
        <v>584395.2</v>
      </c>
      <c r="L485" s="57" t="n">
        <v>454026.48</v>
      </c>
      <c r="M485" s="57" t="n">
        <v>454026.48</v>
      </c>
      <c r="N485" s="58" t="n">
        <v>1</v>
      </c>
      <c r="O485" s="57" t="n">
        <v>699328</v>
      </c>
      <c r="P485" s="57" t="n">
        <v>0</v>
      </c>
      <c r="Q485" s="57" t="n">
        <v>0</v>
      </c>
      <c r="R485" s="57" t="n">
        <v>0</v>
      </c>
      <c r="S485" s="57" t="n">
        <v>0</v>
      </c>
      <c r="T485" s="57" t="n">
        <v>245301.52</v>
      </c>
      <c r="U485" s="58" t="n">
        <v>0.3508</v>
      </c>
      <c r="V485" s="57" t="n">
        <v>245301.52</v>
      </c>
      <c r="W485" s="58" t="n">
        <v>0.3508</v>
      </c>
      <c r="X485" s="58" t="n">
        <v>0.3508</v>
      </c>
      <c r="Y485" s="58" t="n">
        <v>0</v>
      </c>
      <c r="Z485" s="57" t="n">
        <v>0</v>
      </c>
      <c r="AA485" s="57" t="n">
        <v>114932.8</v>
      </c>
      <c r="AB485" s="56" t="inlineStr">
        <is>
          <t>TRUE</t>
        </is>
      </c>
      <c r="AC485" s="56" t="inlineStr">
        <is>
          <t>TRUE</t>
        </is>
      </c>
      <c r="AD485" s="57" t="n">
        <v>180414.71</v>
      </c>
      <c r="AE485" s="57" t="n">
        <v>249501.91</v>
      </c>
      <c r="AF485" s="57" t="n">
        <v>22488.33</v>
      </c>
      <c r="AG485" s="57" t="n">
        <v>1621.53</v>
      </c>
      <c r="AH485" s="57" t="n">
        <v>0</v>
      </c>
    </row>
    <row r="486">
      <c r="A486" s="56" t="inlineStr">
        <is>
          <t>2026-06-17</t>
        </is>
      </c>
      <c r="B486" s="56" t="inlineStr">
        <is>
          <t>2242353</t>
        </is>
      </c>
      <c r="C486" s="56" t="inlineStr">
        <is>
          <t>DS.2025.2045 Old Town Pickup</t>
        </is>
      </c>
      <c r="D486" s="56" t="inlineStr">
        <is>
          <t>DW</t>
        </is>
      </c>
      <c r="E486" s="56" t="inlineStr">
        <is>
          <t>(Unassigned)</t>
        </is>
      </c>
      <c r="F486" s="56" t="inlineStr">
        <is>
          <t>Old Town Design Group</t>
        </is>
      </c>
      <c r="G486" s="56" t="inlineStr">
        <is>
          <t>ACTIVE</t>
        </is>
      </c>
      <c r="H486" s="57" t="n">
        <v>121.08</v>
      </c>
      <c r="I486" s="57" t="n">
        <v>0</v>
      </c>
      <c r="J486" s="57" t="n">
        <v>121.08</v>
      </c>
      <c r="K486" s="57" t="n">
        <v>129.56</v>
      </c>
      <c r="L486" s="57" t="n">
        <v>0</v>
      </c>
      <c r="M486" s="57" t="n">
        <v>94.08</v>
      </c>
      <c r="N486" s="58" t="n">
        <v>0</v>
      </c>
      <c r="O486" s="57" t="n">
        <v>0</v>
      </c>
      <c r="P486" s="57" t="n">
        <v>-121.08</v>
      </c>
      <c r="Q486" s="57" t="n">
        <v>0</v>
      </c>
      <c r="R486" s="57" t="n">
        <v>121.08</v>
      </c>
      <c r="S486" s="57" t="n">
        <v>0</v>
      </c>
      <c r="T486" s="57" t="n">
        <v>27</v>
      </c>
      <c r="U486" s="58" t="n">
        <v>0.223</v>
      </c>
      <c r="V486" s="57" t="n">
        <v>121.08</v>
      </c>
      <c r="W486" s="58" t="n">
        <v>1</v>
      </c>
      <c r="X486" s="58" t="n">
        <v>0</v>
      </c>
      <c r="Y486" s="58" t="n">
        <v>0</v>
      </c>
      <c r="Z486" s="57" t="n">
        <v>0</v>
      </c>
      <c r="AA486" s="57" t="n">
        <v>-8.48</v>
      </c>
      <c r="AB486" s="56" t="inlineStr">
        <is>
          <t>FALSE</t>
        </is>
      </c>
      <c r="AC486" s="56" t="inlineStr">
        <is>
          <t>FALSE</t>
        </is>
      </c>
      <c r="AD486" s="57" t="n">
        <v>94.08</v>
      </c>
      <c r="AE486" s="57" t="n">
        <v>0</v>
      </c>
      <c r="AF486" s="57" t="n">
        <v>0</v>
      </c>
      <c r="AG486" s="57" t="n">
        <v>0</v>
      </c>
      <c r="AH486" s="57" t="n">
        <v>0</v>
      </c>
    </row>
    <row r="487">
      <c r="A487" s="56" t="inlineStr">
        <is>
          <t>2026-06-17</t>
        </is>
      </c>
      <c r="B487" s="56" t="inlineStr">
        <is>
          <t>2225641</t>
        </is>
      </c>
      <c r="C487" s="56" t="inlineStr">
        <is>
          <t>MF.2026.1050 AC Hotel</t>
        </is>
      </c>
      <c r="D487" s="56" t="inlineStr">
        <is>
          <t>MF</t>
        </is>
      </c>
      <c r="E487" s="56" t="inlineStr">
        <is>
          <t>Ben Garza</t>
        </is>
      </c>
      <c r="F487" s="56" t="inlineStr">
        <is>
          <t>Holladay Construction Group</t>
        </is>
      </c>
      <c r="G487" s="56" t="inlineStr">
        <is>
          <t>ACTIVE</t>
        </is>
      </c>
      <c r="H487" s="57" t="n">
        <v>1244040</v>
      </c>
      <c r="I487" s="57" t="n">
        <v>0</v>
      </c>
      <c r="J487" s="57" t="n">
        <v>202650.67</v>
      </c>
      <c r="K487" s="57" t="n">
        <v>0</v>
      </c>
      <c r="L487" s="57" t="n">
        <v>837300</v>
      </c>
      <c r="M487" s="57" t="n">
        <v>175699.76</v>
      </c>
      <c r="N487" s="58" t="n">
        <v>0.2098</v>
      </c>
      <c r="O487" s="57" t="n">
        <v>260999.59</v>
      </c>
      <c r="P487" s="57" t="n">
        <v>58348.92</v>
      </c>
      <c r="Q487" s="57" t="n">
        <v>35883.03</v>
      </c>
      <c r="R487" s="57" t="n">
        <v>0</v>
      </c>
      <c r="S487" s="57" t="n">
        <v>58348.92</v>
      </c>
      <c r="T487" s="57" t="n">
        <v>49467.65</v>
      </c>
      <c r="U487" s="58" t="n">
        <v>0.2197</v>
      </c>
      <c r="V487" s="57" t="n">
        <v>406740</v>
      </c>
      <c r="W487" s="58" t="n">
        <v>0.327</v>
      </c>
      <c r="X487" s="58" t="n">
        <v>0.327</v>
      </c>
      <c r="Y487" s="58" t="n">
        <v>0.1073</v>
      </c>
      <c r="Z487" s="57" t="n">
        <v>22516.74</v>
      </c>
      <c r="AA487" s="57" t="n">
        <v>202650.67</v>
      </c>
      <c r="AB487" s="56" t="inlineStr">
        <is>
          <t>TRUE</t>
        </is>
      </c>
      <c r="AC487" s="56" t="inlineStr">
        <is>
          <t>TRUE</t>
        </is>
      </c>
      <c r="AD487" s="57" t="n">
        <v>139539.77</v>
      </c>
      <c r="AE487" s="57" t="n">
        <v>27992</v>
      </c>
      <c r="AF487" s="57" t="n">
        <v>8167.99</v>
      </c>
      <c r="AG487" s="57" t="n">
        <v>0</v>
      </c>
      <c r="AH487" s="57" t="n">
        <v>0</v>
      </c>
    </row>
    <row r="488">
      <c r="A488" s="56" t="inlineStr">
        <is>
          <t>2026-06-17</t>
        </is>
      </c>
      <c r="B488" s="56" t="inlineStr">
        <is>
          <t>2223116</t>
        </is>
      </c>
      <c r="C488" s="56" t="inlineStr">
        <is>
          <t>2025.986 FedEx Hub</t>
        </is>
      </c>
      <c r="D488" s="56" t="inlineStr">
        <is>
          <t>TI</t>
        </is>
      </c>
      <c r="E488" s="56" t="inlineStr">
        <is>
          <t>Tommy Cohoat</t>
        </is>
      </c>
      <c r="F488" s="56" t="inlineStr">
        <is>
          <t>Dalmatian Fire</t>
        </is>
      </c>
      <c r="G488" s="56" t="inlineStr">
        <is>
          <t>ACTIVE</t>
        </is>
      </c>
      <c r="H488" s="57" t="n">
        <v>6000</v>
      </c>
      <c r="I488" s="57" t="n">
        <v>0</v>
      </c>
      <c r="J488" s="57" t="n">
        <v>6000</v>
      </c>
      <c r="K488" s="57" t="n">
        <v>6000</v>
      </c>
      <c r="L488" s="57" t="n">
        <v>700</v>
      </c>
      <c r="M488" s="57" t="n">
        <v>118.93</v>
      </c>
      <c r="N488" s="58" t="n">
        <v>0.1699</v>
      </c>
      <c r="O488" s="57" t="n">
        <v>1019.4</v>
      </c>
      <c r="P488" s="57" t="n">
        <v>-4980.6</v>
      </c>
      <c r="Q488" s="57" t="n">
        <v>-4980.6</v>
      </c>
      <c r="R488" s="57" t="n">
        <v>4980.6</v>
      </c>
      <c r="S488" s="57" t="n">
        <v>0</v>
      </c>
      <c r="T488" s="57" t="n">
        <v>5881.07</v>
      </c>
      <c r="U488" s="58" t="n">
        <v>0.9802</v>
      </c>
      <c r="V488" s="57" t="n">
        <v>5300</v>
      </c>
      <c r="W488" s="58" t="n">
        <v>0.8833</v>
      </c>
      <c r="X488" s="58" t="n">
        <v>0.8833</v>
      </c>
      <c r="Y488" s="58" t="n">
        <v>-0.0968</v>
      </c>
      <c r="Z488" s="57" t="n">
        <v>0</v>
      </c>
      <c r="AA488" s="57" t="n">
        <v>0</v>
      </c>
      <c r="AB488" s="56" t="inlineStr">
        <is>
          <t>TRUE</t>
        </is>
      </c>
      <c r="AC488" s="56" t="inlineStr">
        <is>
          <t>TRUE</t>
        </is>
      </c>
      <c r="AD488" s="57" t="n">
        <v>28.93</v>
      </c>
      <c r="AE488" s="57" t="n">
        <v>90</v>
      </c>
      <c r="AF488" s="57" t="n">
        <v>0</v>
      </c>
      <c r="AG488" s="57" t="n">
        <v>0</v>
      </c>
      <c r="AH488" s="57" t="n">
        <v>0</v>
      </c>
    </row>
    <row r="489">
      <c r="A489" s="56" t="inlineStr">
        <is>
          <t>2026-06-17</t>
        </is>
      </c>
      <c r="B489" s="56" t="inlineStr">
        <is>
          <t>2205083</t>
        </is>
      </c>
      <c r="C489" s="56" t="inlineStr">
        <is>
          <t>DS.2025.1967 MN - H2S</t>
        </is>
      </c>
      <c r="D489" s="56" t="inlineStr">
        <is>
          <t>DW</t>
        </is>
      </c>
      <c r="E489" s="56" t="inlineStr">
        <is>
          <t>(Unassigned)</t>
        </is>
      </c>
      <c r="F489" s="56" t="inlineStr">
        <is>
          <t>Meyer Najem</t>
        </is>
      </c>
      <c r="G489" s="56" t="inlineStr">
        <is>
          <t>ACTIVE</t>
        </is>
      </c>
      <c r="H489" s="57" t="n">
        <v>11836.8</v>
      </c>
      <c r="I489" s="57" t="n">
        <v>0</v>
      </c>
      <c r="J489" s="57" t="n">
        <v>11836.8</v>
      </c>
      <c r="K489" s="57" t="n">
        <v>0</v>
      </c>
      <c r="L489" s="57" t="n">
        <v>0</v>
      </c>
      <c r="M489" s="57" t="n">
        <v>8635.52</v>
      </c>
      <c r="N489" s="58" t="n">
        <v>0</v>
      </c>
      <c r="O489" s="57" t="n">
        <v>0</v>
      </c>
      <c r="P489" s="57" t="n">
        <v>-11836.8</v>
      </c>
      <c r="Q489" s="57" t="n">
        <v>0</v>
      </c>
      <c r="R489" s="57" t="n">
        <v>11836.8</v>
      </c>
      <c r="S489" s="57" t="n">
        <v>0</v>
      </c>
      <c r="T489" s="57" t="n">
        <v>3201.28</v>
      </c>
      <c r="U489" s="58" t="n">
        <v>0.2705</v>
      </c>
      <c r="V489" s="57" t="n">
        <v>11836.8</v>
      </c>
      <c r="W489" s="58" t="n">
        <v>1</v>
      </c>
      <c r="X489" s="58" t="n">
        <v>0</v>
      </c>
      <c r="Y489" s="58" t="n">
        <v>0</v>
      </c>
      <c r="Z489" s="57" t="n">
        <v>0</v>
      </c>
      <c r="AA489" s="57" t="n">
        <v>11836.8</v>
      </c>
      <c r="AB489" s="56" t="inlineStr">
        <is>
          <t>FALSE</t>
        </is>
      </c>
      <c r="AC489" s="56" t="inlineStr">
        <is>
          <t>FALSE</t>
        </is>
      </c>
      <c r="AD489" s="57" t="n">
        <v>8635.52</v>
      </c>
      <c r="AE489" s="57" t="n">
        <v>0</v>
      </c>
      <c r="AF489" s="57" t="n">
        <v>0</v>
      </c>
      <c r="AG489" s="57" t="n">
        <v>0</v>
      </c>
      <c r="AH489" s="57" t="n">
        <v>0</v>
      </c>
    </row>
    <row r="490">
      <c r="A490" s="56" t="inlineStr">
        <is>
          <t>2026-06-17</t>
        </is>
      </c>
      <c r="B490" s="56" t="inlineStr">
        <is>
          <t>2196541</t>
        </is>
      </c>
      <c r="C490" s="56" t="inlineStr">
        <is>
          <t>2025.1015 WBP Lot 4</t>
        </is>
      </c>
      <c r="D490" s="56" t="inlineStr">
        <is>
          <t>TI</t>
        </is>
      </c>
      <c r="E490" s="56" t="inlineStr">
        <is>
          <t>Tommy Cohoat</t>
        </is>
      </c>
      <c r="F490" s="56" t="inlineStr">
        <is>
          <t>Patch Development</t>
        </is>
      </c>
      <c r="G490" s="56" t="inlineStr">
        <is>
          <t>ACTIVE</t>
        </is>
      </c>
      <c r="H490" s="57" t="n">
        <v>175400</v>
      </c>
      <c r="I490" s="57" t="n">
        <v>19500</v>
      </c>
      <c r="J490" s="57" t="n">
        <v>175400</v>
      </c>
      <c r="K490" s="57" t="n">
        <v>175400</v>
      </c>
      <c r="L490" s="57" t="n">
        <v>73600</v>
      </c>
      <c r="M490" s="57" t="n">
        <v>72620.14999999999</v>
      </c>
      <c r="N490" s="58" t="n">
        <v>0.9867</v>
      </c>
      <c r="O490" s="57" t="n">
        <v>173067.18</v>
      </c>
      <c r="P490" s="57" t="n">
        <v>-2332.82</v>
      </c>
      <c r="Q490" s="57" t="n">
        <v>-2335.13</v>
      </c>
      <c r="R490" s="57" t="n">
        <v>2332.82</v>
      </c>
      <c r="S490" s="57" t="n">
        <v>0</v>
      </c>
      <c r="T490" s="57" t="n">
        <v>102779.85</v>
      </c>
      <c r="U490" s="58" t="n">
        <v>0.586</v>
      </c>
      <c r="V490" s="57" t="n">
        <v>101800</v>
      </c>
      <c r="W490" s="58" t="n">
        <v>0.5804</v>
      </c>
      <c r="X490" s="58" t="n">
        <v>0.5804</v>
      </c>
      <c r="Y490" s="58" t="n">
        <v>-0.0056</v>
      </c>
      <c r="Z490" s="57" t="n">
        <v>0</v>
      </c>
      <c r="AA490" s="57" t="n">
        <v>0</v>
      </c>
      <c r="AB490" s="56" t="inlineStr">
        <is>
          <t>TRUE</t>
        </is>
      </c>
      <c r="AC490" s="56" t="inlineStr">
        <is>
          <t>TRUE</t>
        </is>
      </c>
      <c r="AD490" s="57" t="n">
        <v>21337.06</v>
      </c>
      <c r="AE490" s="57" t="n">
        <v>41484.28</v>
      </c>
      <c r="AF490" s="57" t="n">
        <v>9798.809999999999</v>
      </c>
      <c r="AG490" s="57" t="n">
        <v>0</v>
      </c>
      <c r="AH490" s="57" t="n">
        <v>0</v>
      </c>
    </row>
    <row r="491">
      <c r="A491" s="56" t="inlineStr">
        <is>
          <t>2026-06-17</t>
        </is>
      </c>
      <c r="B491" s="56" t="inlineStr">
        <is>
          <t>2174851</t>
        </is>
      </c>
      <c r="C491" s="56" t="inlineStr">
        <is>
          <t>2025.1001 Evolve Transporters</t>
        </is>
      </c>
      <c r="D491" s="56" t="inlineStr">
        <is>
          <t>TI</t>
        </is>
      </c>
      <c r="E491" s="56" t="inlineStr">
        <is>
          <t>Cole Garriott</t>
        </is>
      </c>
      <c r="F491" s="56" t="inlineStr">
        <is>
          <t>Compass Commercial Construction Group</t>
        </is>
      </c>
      <c r="G491" s="56" t="inlineStr">
        <is>
          <t>ACTIVE</t>
        </is>
      </c>
      <c r="H491" s="57" t="n">
        <v>1317620</v>
      </c>
      <c r="I491" s="57" t="n">
        <v>277640</v>
      </c>
      <c r="J491" s="57" t="n">
        <v>1317620</v>
      </c>
      <c r="K491" s="57" t="n">
        <v>1184517</v>
      </c>
      <c r="L491" s="57" t="n">
        <v>787696.54</v>
      </c>
      <c r="M491" s="57" t="n">
        <v>795731.39</v>
      </c>
      <c r="N491" s="58" t="n">
        <v>1.0102</v>
      </c>
      <c r="O491" s="57" t="n">
        <v>1331059.72</v>
      </c>
      <c r="P491" s="57" t="n">
        <v>13439.72</v>
      </c>
      <c r="Q491" s="57" t="n">
        <v>0</v>
      </c>
      <c r="R491" s="57" t="n">
        <v>0</v>
      </c>
      <c r="S491" s="57" t="n">
        <v>13439.72</v>
      </c>
      <c r="T491" s="57" t="n">
        <v>521888.61</v>
      </c>
      <c r="U491" s="58" t="n">
        <v>0.3961</v>
      </c>
      <c r="V491" s="57" t="n">
        <v>529923.46</v>
      </c>
      <c r="W491" s="58" t="n">
        <v>0.4022</v>
      </c>
      <c r="X491" s="58" t="n">
        <v>0.4022</v>
      </c>
      <c r="Y491" s="58" t="n">
        <v>0.0061</v>
      </c>
      <c r="Z491" s="57" t="n">
        <v>0</v>
      </c>
      <c r="AA491" s="57" t="n">
        <v>133103</v>
      </c>
      <c r="AB491" s="56" t="inlineStr">
        <is>
          <t>TRUE</t>
        </is>
      </c>
      <c r="AC491" s="56" t="inlineStr">
        <is>
          <t>TRUE</t>
        </is>
      </c>
      <c r="AD491" s="57" t="n">
        <v>322035.62</v>
      </c>
      <c r="AE491" s="57" t="n">
        <v>417426.01</v>
      </c>
      <c r="AF491" s="57" t="n">
        <v>40431.82</v>
      </c>
      <c r="AG491" s="57" t="n">
        <v>15837.94</v>
      </c>
      <c r="AH491" s="57" t="n">
        <v>0</v>
      </c>
    </row>
    <row r="492">
      <c r="A492" s="56" t="inlineStr">
        <is>
          <t>2026-06-17</t>
        </is>
      </c>
      <c r="B492" s="56" t="inlineStr">
        <is>
          <t>2160928</t>
        </is>
      </c>
      <c r="C492" s="56" t="inlineStr">
        <is>
          <t>DS.2025.1895 IFD Pickup 3/25/25</t>
        </is>
      </c>
      <c r="D492" s="56" t="inlineStr">
        <is>
          <t>DW</t>
        </is>
      </c>
      <c r="E492" s="56" t="inlineStr">
        <is>
          <t>(Unassigned)</t>
        </is>
      </c>
      <c r="F492" s="56" t="inlineStr">
        <is>
          <t>Indianapolis Fire Department</t>
        </is>
      </c>
      <c r="G492" s="56" t="inlineStr">
        <is>
          <t>ACTIVE</t>
        </is>
      </c>
      <c r="H492" s="57" t="n">
        <v>718.08</v>
      </c>
      <c r="I492" s="57" t="n">
        <v>0</v>
      </c>
      <c r="J492" s="57" t="n">
        <v>718.08</v>
      </c>
      <c r="K492" s="57" t="n">
        <v>0</v>
      </c>
      <c r="L492" s="57" t="n">
        <v>0</v>
      </c>
      <c r="M492" s="57" t="n">
        <v>587.52</v>
      </c>
      <c r="N492" s="58" t="n">
        <v>0</v>
      </c>
      <c r="O492" s="57" t="n">
        <v>0</v>
      </c>
      <c r="P492" s="57" t="n">
        <v>-718.08</v>
      </c>
      <c r="Q492" s="57" t="n">
        <v>0</v>
      </c>
      <c r="R492" s="57" t="n">
        <v>718.08</v>
      </c>
      <c r="S492" s="57" t="n">
        <v>0</v>
      </c>
      <c r="T492" s="57" t="n">
        <v>130.56</v>
      </c>
      <c r="U492" s="58" t="n">
        <v>0.1818</v>
      </c>
      <c r="V492" s="57" t="n">
        <v>718.08</v>
      </c>
      <c r="W492" s="58" t="n">
        <v>1</v>
      </c>
      <c r="X492" s="58" t="n">
        <v>0</v>
      </c>
      <c r="Y492" s="58" t="n">
        <v>0</v>
      </c>
      <c r="Z492" s="57" t="n">
        <v>0</v>
      </c>
      <c r="AA492" s="57" t="n">
        <v>718.08</v>
      </c>
      <c r="AB492" s="56" t="inlineStr">
        <is>
          <t>FALSE</t>
        </is>
      </c>
      <c r="AC492" s="56" t="inlineStr">
        <is>
          <t>FALSE</t>
        </is>
      </c>
      <c r="AD492" s="57" t="n">
        <v>587.52</v>
      </c>
      <c r="AE492" s="57" t="n">
        <v>0</v>
      </c>
      <c r="AF492" s="57" t="n">
        <v>0</v>
      </c>
      <c r="AG492" s="57" t="n">
        <v>0</v>
      </c>
      <c r="AH492" s="57" t="n">
        <v>0</v>
      </c>
    </row>
    <row r="493">
      <c r="A493" s="56" t="inlineStr">
        <is>
          <t>2026-06-17</t>
        </is>
      </c>
      <c r="B493" s="56" t="inlineStr">
        <is>
          <t>2157624</t>
        </is>
      </c>
      <c r="C493" s="56" t="inlineStr">
        <is>
          <t>2025.980 Avon Bldg. 1 Canopies &amp; Pavilion</t>
        </is>
      </c>
      <c r="D493" s="56" t="inlineStr">
        <is>
          <t>TI</t>
        </is>
      </c>
      <c r="E493" s="56" t="inlineStr">
        <is>
          <t>Spencer Anderson</t>
        </is>
      </c>
      <c r="F493" s="56" t="inlineStr">
        <is>
          <t>The Peterson Company, LLC</t>
        </is>
      </c>
      <c r="G493" s="56" t="inlineStr">
        <is>
          <t>ACTIVE</t>
        </is>
      </c>
      <c r="H493" s="57" t="n">
        <v>116280</v>
      </c>
      <c r="I493" s="57" t="n">
        <v>0</v>
      </c>
      <c r="J493" s="57" t="n">
        <v>116280</v>
      </c>
      <c r="K493" s="57" t="n">
        <v>116280</v>
      </c>
      <c r="L493" s="57" t="n">
        <v>40262.24</v>
      </c>
      <c r="M493" s="57" t="n">
        <v>40530.89</v>
      </c>
      <c r="N493" s="58" t="n">
        <v>1.0067</v>
      </c>
      <c r="O493" s="57" t="n">
        <v>117059.08</v>
      </c>
      <c r="P493" s="57" t="n">
        <v>779.08</v>
      </c>
      <c r="Q493" s="57" t="n">
        <v>0</v>
      </c>
      <c r="R493" s="57" t="n">
        <v>0</v>
      </c>
      <c r="S493" s="57" t="n">
        <v>779.08</v>
      </c>
      <c r="T493" s="57" t="n">
        <v>75749.11</v>
      </c>
      <c r="U493" s="58" t="n">
        <v>0.6514</v>
      </c>
      <c r="V493" s="57" t="n">
        <v>76017.75999999999</v>
      </c>
      <c r="W493" s="58" t="n">
        <v>0.6536999999999999</v>
      </c>
      <c r="X493" s="58" t="n">
        <v>0.6536999999999999</v>
      </c>
      <c r="Y493" s="58" t="n">
        <v>0.0023</v>
      </c>
      <c r="Z493" s="57" t="n">
        <v>0</v>
      </c>
      <c r="AA493" s="57" t="n">
        <v>0</v>
      </c>
      <c r="AB493" s="56" t="inlineStr">
        <is>
          <t>TRUE</t>
        </is>
      </c>
      <c r="AC493" s="56" t="inlineStr">
        <is>
          <t>TRUE</t>
        </is>
      </c>
      <c r="AD493" s="57" t="n">
        <v>22878.02</v>
      </c>
      <c r="AE493" s="57" t="n">
        <v>14753.43</v>
      </c>
      <c r="AF493" s="57" t="n">
        <v>2899.44</v>
      </c>
      <c r="AG493" s="57" t="n">
        <v>0</v>
      </c>
      <c r="AH493" s="57" t="n">
        <v>0</v>
      </c>
    </row>
    <row r="494">
      <c r="A494" s="56" t="inlineStr">
        <is>
          <t>2026-06-17</t>
        </is>
      </c>
      <c r="B494" s="56" t="inlineStr">
        <is>
          <t>2152299</t>
        </is>
      </c>
      <c r="C494" s="56" t="inlineStr">
        <is>
          <t>DS.2025.1882 Alexandria Building 24</t>
        </is>
      </c>
      <c r="D494" s="56" t="inlineStr">
        <is>
          <t>DW</t>
        </is>
      </c>
      <c r="E494" s="56" t="inlineStr">
        <is>
          <t>(Unassigned)</t>
        </is>
      </c>
      <c r="F494" s="56" t="inlineStr">
        <is>
          <t>Precision Dry Wall</t>
        </is>
      </c>
      <c r="G494" s="56" t="inlineStr">
        <is>
          <t>ACTIVE</t>
        </is>
      </c>
      <c r="H494" s="57" t="n">
        <v>2829.01</v>
      </c>
      <c r="I494" s="57" t="n">
        <v>0</v>
      </c>
      <c r="J494" s="57" t="n">
        <v>0</v>
      </c>
      <c r="K494" s="57" t="n">
        <v>0</v>
      </c>
      <c r="L494" s="57" t="n">
        <v>0</v>
      </c>
      <c r="M494" s="57" t="n">
        <v>2100.41</v>
      </c>
      <c r="N494" s="58" t="n">
        <v>0</v>
      </c>
      <c r="O494" s="57" t="n">
        <v>0</v>
      </c>
      <c r="P494" s="57" t="n">
        <v>0</v>
      </c>
      <c r="Q494" s="57" t="n">
        <v>0</v>
      </c>
      <c r="R494" s="57" t="n">
        <v>0</v>
      </c>
      <c r="S494" s="57" t="n">
        <v>0</v>
      </c>
      <c r="T494" s="57" t="n">
        <v>-2100.41</v>
      </c>
      <c r="U494" s="58" t="n">
        <v>0</v>
      </c>
      <c r="V494" s="57" t="n">
        <v>2829.01</v>
      </c>
      <c r="W494" s="58" t="n">
        <v>1</v>
      </c>
      <c r="X494" s="58" t="n">
        <v>0</v>
      </c>
      <c r="Y494" s="58" t="n">
        <v>0</v>
      </c>
      <c r="Z494" s="57" t="n">
        <v>0</v>
      </c>
      <c r="AA494" s="57" t="n">
        <v>0</v>
      </c>
      <c r="AB494" s="56" t="inlineStr">
        <is>
          <t>FALSE</t>
        </is>
      </c>
      <c r="AC494" s="56" t="inlineStr">
        <is>
          <t>FALSE</t>
        </is>
      </c>
      <c r="AD494" s="57" t="n">
        <v>2100.41</v>
      </c>
      <c r="AE494" s="57" t="n">
        <v>0</v>
      </c>
      <c r="AF494" s="57" t="n">
        <v>0</v>
      </c>
      <c r="AG494" s="57" t="n">
        <v>0</v>
      </c>
      <c r="AH494" s="57" t="n">
        <v>0</v>
      </c>
    </row>
    <row r="495">
      <c r="A495" s="56" t="inlineStr">
        <is>
          <t>2026-06-17</t>
        </is>
      </c>
      <c r="B495" s="56" t="inlineStr">
        <is>
          <t>2117526</t>
        </is>
      </c>
      <c r="C495" s="56" t="inlineStr">
        <is>
          <t>2025.993 Batesville Public Library</t>
        </is>
      </c>
      <c r="D495" s="56" t="inlineStr">
        <is>
          <t>TI</t>
        </is>
      </c>
      <c r="E495" s="56" t="inlineStr">
        <is>
          <t>Shawn Welcher</t>
        </is>
      </c>
      <c r="F495" s="56" t="inlineStr">
        <is>
          <t>Meyer Najem</t>
        </is>
      </c>
      <c r="G495" s="56" t="inlineStr">
        <is>
          <t>ACTIVE</t>
        </is>
      </c>
      <c r="H495" s="57" t="n">
        <v>63852.15</v>
      </c>
      <c r="I495" s="57" t="n">
        <v>1177.15</v>
      </c>
      <c r="J495" s="57" t="n">
        <v>62675</v>
      </c>
      <c r="K495" s="57" t="n">
        <v>2147</v>
      </c>
      <c r="L495" s="57" t="n">
        <v>74275.84</v>
      </c>
      <c r="M495" s="57" t="n">
        <v>74275.84</v>
      </c>
      <c r="N495" s="58" t="n">
        <v>1</v>
      </c>
      <c r="O495" s="57" t="n">
        <v>63852.15</v>
      </c>
      <c r="P495" s="57" t="n">
        <v>1177.15</v>
      </c>
      <c r="Q495" s="57" t="n">
        <v>1177.15</v>
      </c>
      <c r="R495" s="57" t="n">
        <v>0</v>
      </c>
      <c r="S495" s="57" t="n">
        <v>1177.15</v>
      </c>
      <c r="T495" s="57" t="n">
        <v>-11600.84</v>
      </c>
      <c r="U495" s="58" t="n">
        <v>-0.1851</v>
      </c>
      <c r="V495" s="57" t="n">
        <v>-10423.69</v>
      </c>
      <c r="W495" s="58" t="n">
        <v>-0.1632</v>
      </c>
      <c r="X495" s="58" t="n">
        <v>-0.1632</v>
      </c>
      <c r="Y495" s="58" t="n">
        <v>0.0218</v>
      </c>
      <c r="Z495" s="57" t="n">
        <v>0</v>
      </c>
      <c r="AA495" s="57" t="n">
        <v>60528</v>
      </c>
      <c r="AB495" s="56" t="inlineStr">
        <is>
          <t>TRUE</t>
        </is>
      </c>
      <c r="AC495" s="56" t="inlineStr">
        <is>
          <t>TRUE</t>
        </is>
      </c>
      <c r="AD495" s="57" t="n">
        <v>42783.14</v>
      </c>
      <c r="AE495" s="57" t="n">
        <v>31492.7</v>
      </c>
      <c r="AF495" s="57" t="n">
        <v>0</v>
      </c>
      <c r="AG495" s="57" t="n">
        <v>0</v>
      </c>
      <c r="AH495" s="57" t="n">
        <v>0</v>
      </c>
    </row>
    <row r="496">
      <c r="A496" s="56" t="inlineStr">
        <is>
          <t>2026-06-17</t>
        </is>
      </c>
      <c r="B496" s="56" t="inlineStr">
        <is>
          <t>2108038</t>
        </is>
      </c>
      <c r="C496" s="56" t="inlineStr">
        <is>
          <t>2025.979 Groundbreakers</t>
        </is>
      </c>
      <c r="D496" s="56" t="inlineStr">
        <is>
          <t>TI</t>
        </is>
      </c>
      <c r="E496" s="56" t="inlineStr">
        <is>
          <t>Trevor Anderson</t>
        </is>
      </c>
      <c r="F496" s="56" t="inlineStr">
        <is>
          <t>Patch Development</t>
        </is>
      </c>
      <c r="G496" s="56" t="inlineStr">
        <is>
          <t>ACTIVE</t>
        </is>
      </c>
      <c r="H496" s="57" t="n">
        <v>288504.91</v>
      </c>
      <c r="I496" s="57" t="n">
        <v>65984.91</v>
      </c>
      <c r="J496" s="57" t="n">
        <v>287665.4</v>
      </c>
      <c r="K496" s="57" t="n">
        <v>287665.4</v>
      </c>
      <c r="L496" s="57" t="n">
        <v>162334.99</v>
      </c>
      <c r="M496" s="57" t="n">
        <v>162334.99</v>
      </c>
      <c r="N496" s="58" t="n">
        <v>1</v>
      </c>
      <c r="O496" s="57" t="n">
        <v>288504.91</v>
      </c>
      <c r="P496" s="57" t="n">
        <v>839.51</v>
      </c>
      <c r="Q496" s="57" t="n">
        <v>839.51</v>
      </c>
      <c r="R496" s="57" t="n">
        <v>0</v>
      </c>
      <c r="S496" s="57" t="n">
        <v>839.51</v>
      </c>
      <c r="T496" s="57" t="n">
        <v>125330.41</v>
      </c>
      <c r="U496" s="58" t="n">
        <v>0.4357</v>
      </c>
      <c r="V496" s="57" t="n">
        <v>126169.92</v>
      </c>
      <c r="W496" s="58" t="n">
        <v>0.4373</v>
      </c>
      <c r="X496" s="58" t="n">
        <v>0.4373</v>
      </c>
      <c r="Y496" s="58" t="n">
        <v>0.0016</v>
      </c>
      <c r="Z496" s="57" t="n">
        <v>0</v>
      </c>
      <c r="AA496" s="57" t="n">
        <v>0</v>
      </c>
      <c r="AB496" s="56" t="inlineStr">
        <is>
          <t>TRUE</t>
        </is>
      </c>
      <c r="AC496" s="56" t="inlineStr">
        <is>
          <t>TRUE</t>
        </is>
      </c>
      <c r="AD496" s="57" t="n">
        <v>62231.06</v>
      </c>
      <c r="AE496" s="57" t="n">
        <v>96060.03</v>
      </c>
      <c r="AF496" s="57" t="n">
        <v>3896.19</v>
      </c>
      <c r="AG496" s="57" t="n">
        <v>147.71</v>
      </c>
      <c r="AH496" s="57" t="n">
        <v>0</v>
      </c>
    </row>
    <row r="497">
      <c r="A497" s="56" t="inlineStr">
        <is>
          <t>2026-06-17</t>
        </is>
      </c>
      <c r="B497" s="56" t="inlineStr">
        <is>
          <t>2098776</t>
        </is>
      </c>
      <c r="C497" s="56" t="inlineStr">
        <is>
          <t>2025.969 Carson</t>
        </is>
      </c>
      <c r="D497" s="56" t="inlineStr">
        <is>
          <t>TI</t>
        </is>
      </c>
      <c r="E497" s="56" t="inlineStr">
        <is>
          <t>Spencer Anderson</t>
        </is>
      </c>
      <c r="F497" s="56" t="inlineStr">
        <is>
          <t>DEEM, LLC</t>
        </is>
      </c>
      <c r="G497" s="56" t="inlineStr">
        <is>
          <t>ACTIVE</t>
        </is>
      </c>
      <c r="H497" s="57" t="n">
        <v>287418</v>
      </c>
      <c r="I497" s="57" t="n">
        <v>163418</v>
      </c>
      <c r="J497" s="57" t="n">
        <v>287418</v>
      </c>
      <c r="K497" s="57" t="n">
        <v>287418</v>
      </c>
      <c r="L497" s="57" t="n">
        <v>155989.46</v>
      </c>
      <c r="M497" s="57" t="n">
        <v>155814.41</v>
      </c>
      <c r="N497" s="58" t="n">
        <v>0.9989</v>
      </c>
      <c r="O497" s="57" t="n">
        <v>287101.84</v>
      </c>
      <c r="P497" s="57" t="n">
        <v>-316.16</v>
      </c>
      <c r="Q497" s="57" t="n">
        <v>-322.54</v>
      </c>
      <c r="R497" s="57" t="n">
        <v>316.16</v>
      </c>
      <c r="S497" s="57" t="n">
        <v>0</v>
      </c>
      <c r="T497" s="57" t="n">
        <v>131603.59</v>
      </c>
      <c r="U497" s="58" t="n">
        <v>0.4579</v>
      </c>
      <c r="V497" s="57" t="n">
        <v>131428.54</v>
      </c>
      <c r="W497" s="58" t="n">
        <v>0.4573</v>
      </c>
      <c r="X497" s="58" t="n">
        <v>0.4573</v>
      </c>
      <c r="Y497" s="58" t="n">
        <v>-0.0005999999999999999</v>
      </c>
      <c r="Z497" s="57" t="n">
        <v>0</v>
      </c>
      <c r="AA497" s="57" t="n">
        <v>0</v>
      </c>
      <c r="AB497" s="56" t="inlineStr">
        <is>
          <t>TRUE</t>
        </is>
      </c>
      <c r="AC497" s="56" t="inlineStr">
        <is>
          <t>TRUE</t>
        </is>
      </c>
      <c r="AD497" s="57" t="n">
        <v>84266.64999999999</v>
      </c>
      <c r="AE497" s="57" t="n">
        <v>65100.29</v>
      </c>
      <c r="AF497" s="57" t="n">
        <v>5832.88</v>
      </c>
      <c r="AG497" s="57" t="n">
        <v>614.59</v>
      </c>
      <c r="AH497" s="57" t="n">
        <v>0</v>
      </c>
    </row>
    <row r="498">
      <c r="A498" s="56" t="inlineStr">
        <is>
          <t>2026-06-17</t>
        </is>
      </c>
      <c r="B498" s="56" t="inlineStr">
        <is>
          <t>2092684</t>
        </is>
      </c>
      <c r="C498" s="56" t="inlineStr">
        <is>
          <t>MF.2025.992 Young's Creek Apartments</t>
        </is>
      </c>
      <c r="D498" s="56" t="inlineStr">
        <is>
          <t>MF</t>
        </is>
      </c>
      <c r="E498" s="56" t="inlineStr">
        <is>
          <t>Kelden Tyson</t>
        </is>
      </c>
      <c r="F498" s="56" t="inlineStr">
        <is>
          <t>Shiel Sexton</t>
        </is>
      </c>
      <c r="G498" s="56" t="inlineStr">
        <is>
          <t>ACTIVE</t>
        </is>
      </c>
      <c r="H498" s="57" t="n">
        <v>488752.35</v>
      </c>
      <c r="I498" s="57" t="n">
        <v>-308847.65</v>
      </c>
      <c r="J498" s="57" t="n">
        <v>488752.35</v>
      </c>
      <c r="K498" s="57" t="n">
        <v>216259.24</v>
      </c>
      <c r="L498" s="57" t="n">
        <v>340853.31</v>
      </c>
      <c r="M498" s="57" t="n">
        <v>340853.31</v>
      </c>
      <c r="N498" s="58" t="n">
        <v>1</v>
      </c>
      <c r="O498" s="57" t="n">
        <v>488752.35</v>
      </c>
      <c r="P498" s="57" t="n">
        <v>0</v>
      </c>
      <c r="Q498" s="57" t="n">
        <v>0</v>
      </c>
      <c r="R498" s="57" t="n">
        <v>0</v>
      </c>
      <c r="S498" s="57" t="n">
        <v>0</v>
      </c>
      <c r="T498" s="57" t="n">
        <v>147899.04</v>
      </c>
      <c r="U498" s="58" t="n">
        <v>0.3026</v>
      </c>
      <c r="V498" s="57" t="n">
        <v>147899.04</v>
      </c>
      <c r="W498" s="58" t="n">
        <v>0.3026</v>
      </c>
      <c r="X498" s="58" t="n">
        <v>0.3026</v>
      </c>
      <c r="Y498" s="58" t="n">
        <v>0</v>
      </c>
      <c r="Z498" s="57" t="n">
        <v>0</v>
      </c>
      <c r="AA498" s="57" t="n">
        <v>272493.11</v>
      </c>
      <c r="AB498" s="56" t="inlineStr">
        <is>
          <t>TRUE</t>
        </is>
      </c>
      <c r="AC498" s="56" t="inlineStr">
        <is>
          <t>TRUE</t>
        </is>
      </c>
      <c r="AD498" s="57" t="n">
        <v>245723.39</v>
      </c>
      <c r="AE498" s="57" t="n">
        <v>94468.7</v>
      </c>
      <c r="AF498" s="57" t="n">
        <v>418.77</v>
      </c>
      <c r="AG498" s="57" t="n">
        <v>242.45</v>
      </c>
      <c r="AH498" s="57" t="n">
        <v>0</v>
      </c>
    </row>
    <row r="499">
      <c r="A499" s="56" t="inlineStr">
        <is>
          <t>2026-06-17</t>
        </is>
      </c>
      <c r="B499" s="56" t="inlineStr">
        <is>
          <t>2087575</t>
        </is>
      </c>
      <c r="C499" s="56" t="inlineStr">
        <is>
          <t>MF.2025.976 Firefly Youth Housing</t>
        </is>
      </c>
      <c r="D499" s="56" t="inlineStr">
        <is>
          <t>MF</t>
        </is>
      </c>
      <c r="E499" s="56" t="inlineStr">
        <is>
          <t>Spencer Anderson</t>
        </is>
      </c>
      <c r="F499" s="56" t="inlineStr">
        <is>
          <t>Stenz Corp</t>
        </is>
      </c>
      <c r="G499" s="56" t="inlineStr">
        <is>
          <t>ACTIVE</t>
        </is>
      </c>
      <c r="H499" s="57" t="n">
        <v>250736.11</v>
      </c>
      <c r="I499" s="57" t="n">
        <v>27736.11</v>
      </c>
      <c r="J499" s="57" t="n">
        <v>225662.5</v>
      </c>
      <c r="K499" s="57" t="n">
        <v>152537.5</v>
      </c>
      <c r="L499" s="57" t="n">
        <v>180171.84</v>
      </c>
      <c r="M499" s="57" t="n">
        <v>180171.84</v>
      </c>
      <c r="N499" s="58" t="n">
        <v>1</v>
      </c>
      <c r="O499" s="57" t="n">
        <v>250736.11</v>
      </c>
      <c r="P499" s="57" t="n">
        <v>25073.61</v>
      </c>
      <c r="Q499" s="57" t="n">
        <v>-0</v>
      </c>
      <c r="R499" s="57" t="n">
        <v>0</v>
      </c>
      <c r="S499" s="57" t="n">
        <v>25073.61</v>
      </c>
      <c r="T499" s="57" t="n">
        <v>70564.27</v>
      </c>
      <c r="U499" s="58" t="n">
        <v>0.2814</v>
      </c>
      <c r="V499" s="57" t="n">
        <v>70564.27</v>
      </c>
      <c r="W499" s="58" t="n">
        <v>0.2814</v>
      </c>
      <c r="X499" s="58" t="n">
        <v>0.2814</v>
      </c>
      <c r="Y499" s="58" t="n">
        <v>0</v>
      </c>
      <c r="Z499" s="57" t="n">
        <v>25073.61</v>
      </c>
      <c r="AA499" s="57" t="n">
        <v>73125</v>
      </c>
      <c r="AB499" s="56" t="inlineStr">
        <is>
          <t>TRUE</t>
        </is>
      </c>
      <c r="AC499" s="56" t="inlineStr">
        <is>
          <t>TRUE</t>
        </is>
      </c>
      <c r="AD499" s="57" t="n">
        <v>102193.01</v>
      </c>
      <c r="AE499" s="57" t="n">
        <v>77709.38</v>
      </c>
      <c r="AF499" s="57" t="n">
        <v>0</v>
      </c>
      <c r="AG499" s="57" t="n">
        <v>269.45</v>
      </c>
      <c r="AH499" s="57" t="n">
        <v>0</v>
      </c>
    </row>
    <row r="500">
      <c r="A500" s="56" t="inlineStr">
        <is>
          <t>2026-06-17</t>
        </is>
      </c>
      <c r="B500" s="56" t="inlineStr">
        <is>
          <t>2087565</t>
        </is>
      </c>
      <c r="C500" s="56" t="inlineStr">
        <is>
          <t>2026.1052 Project Panther</t>
        </is>
      </c>
      <c r="D500" s="56" t="inlineStr">
        <is>
          <t>TI</t>
        </is>
      </c>
      <c r="E500" s="56" t="inlineStr">
        <is>
          <t>Spencer Anderson</t>
        </is>
      </c>
      <c r="F500" s="56" t="inlineStr">
        <is>
          <t>ARCO Design/Build</t>
        </is>
      </c>
      <c r="G500" s="56" t="inlineStr">
        <is>
          <t>ACTIVE</t>
        </is>
      </c>
      <c r="H500" s="57" t="n">
        <v>900893</v>
      </c>
      <c r="I500" s="57" t="n">
        <v>0</v>
      </c>
      <c r="J500" s="57" t="n">
        <v>0</v>
      </c>
      <c r="K500" s="57" t="n">
        <v>0</v>
      </c>
      <c r="L500" s="57" t="n">
        <v>442417.21</v>
      </c>
      <c r="M500" s="57" t="n">
        <v>24806.55</v>
      </c>
      <c r="N500" s="58" t="n">
        <v>0.0561</v>
      </c>
      <c r="O500" s="57" t="n">
        <v>50540.1</v>
      </c>
      <c r="P500" s="57" t="n">
        <v>50540.1</v>
      </c>
      <c r="Q500" s="57" t="n">
        <v>50513.51</v>
      </c>
      <c r="R500" s="57" t="n">
        <v>0</v>
      </c>
      <c r="S500" s="57" t="n">
        <v>50540.1</v>
      </c>
      <c r="T500" s="57" t="n">
        <v>-24806.55</v>
      </c>
      <c r="U500" s="58" t="n">
        <v>0</v>
      </c>
      <c r="V500" s="57" t="n">
        <v>458475.79</v>
      </c>
      <c r="W500" s="58" t="n">
        <v>0.5089</v>
      </c>
      <c r="X500" s="58" t="n">
        <v>0.5089</v>
      </c>
      <c r="Y500" s="58" t="n">
        <v>0.5089</v>
      </c>
      <c r="Z500" s="57" t="n">
        <v>0</v>
      </c>
      <c r="AA500" s="57" t="n">
        <v>0</v>
      </c>
      <c r="AB500" s="56" t="inlineStr">
        <is>
          <t>TRUE</t>
        </is>
      </c>
      <c r="AC500" s="56" t="inlineStr">
        <is>
          <t>TRUE</t>
        </is>
      </c>
      <c r="AD500" s="57" t="n">
        <v>10830.06</v>
      </c>
      <c r="AE500" s="57" t="n">
        <v>13450</v>
      </c>
      <c r="AF500" s="57" t="n">
        <v>166.92</v>
      </c>
      <c r="AG500" s="57" t="n">
        <v>359.57</v>
      </c>
      <c r="AH500" s="57" t="n">
        <v>0</v>
      </c>
    </row>
    <row r="501">
      <c r="A501" s="56" t="inlineStr">
        <is>
          <t>2026-06-17</t>
        </is>
      </c>
      <c r="B501" s="56" t="inlineStr">
        <is>
          <t>2067674</t>
        </is>
      </c>
      <c r="C501" s="56" t="inlineStr">
        <is>
          <t>DS.2025.1762 Jeff West Builders for Steve Raker</t>
        </is>
      </c>
      <c r="D501" s="56" t="inlineStr">
        <is>
          <t>DW</t>
        </is>
      </c>
      <c r="E501" s="56" t="inlineStr">
        <is>
          <t>(Unassigned)</t>
        </is>
      </c>
      <c r="F501" s="56" t="inlineStr">
        <is>
          <t>Jeff West Homes</t>
        </is>
      </c>
      <c r="G501" s="56" t="inlineStr">
        <is>
          <t>ACTIVE</t>
        </is>
      </c>
      <c r="H501" s="57" t="n">
        <v>3911.43</v>
      </c>
      <c r="I501" s="57" t="n">
        <v>84</v>
      </c>
      <c r="J501" s="57" t="n">
        <v>3911.43</v>
      </c>
      <c r="K501" s="57" t="n">
        <v>4185.23</v>
      </c>
      <c r="L501" s="57" t="n">
        <v>0</v>
      </c>
      <c r="M501" s="57" t="n">
        <v>2903.12</v>
      </c>
      <c r="N501" s="58" t="n">
        <v>0</v>
      </c>
      <c r="O501" s="57" t="n">
        <v>0</v>
      </c>
      <c r="P501" s="57" t="n">
        <v>-3911.43</v>
      </c>
      <c r="Q501" s="57" t="n">
        <v>0</v>
      </c>
      <c r="R501" s="57" t="n">
        <v>3911.43</v>
      </c>
      <c r="S501" s="57" t="n">
        <v>0</v>
      </c>
      <c r="T501" s="57" t="n">
        <v>1008.31</v>
      </c>
      <c r="U501" s="58" t="n">
        <v>0.2578</v>
      </c>
      <c r="V501" s="57" t="n">
        <v>3911.43</v>
      </c>
      <c r="W501" s="58" t="n">
        <v>1</v>
      </c>
      <c r="X501" s="58" t="n">
        <v>0</v>
      </c>
      <c r="Y501" s="58" t="n">
        <v>0</v>
      </c>
      <c r="Z501" s="57" t="n">
        <v>0</v>
      </c>
      <c r="AA501" s="57" t="n">
        <v>-273.8</v>
      </c>
      <c r="AB501" s="56" t="inlineStr">
        <is>
          <t>FALSE</t>
        </is>
      </c>
      <c r="AC501" s="56" t="inlineStr">
        <is>
          <t>FALSE</t>
        </is>
      </c>
      <c r="AD501" s="57" t="n">
        <v>2903.12</v>
      </c>
      <c r="AE501" s="57" t="n">
        <v>0</v>
      </c>
      <c r="AF501" s="57" t="n">
        <v>0</v>
      </c>
      <c r="AG501" s="57" t="n">
        <v>0</v>
      </c>
      <c r="AH501" s="57" t="n">
        <v>0</v>
      </c>
    </row>
    <row r="502">
      <c r="A502" s="56" t="inlineStr">
        <is>
          <t>2026-06-17</t>
        </is>
      </c>
      <c r="B502" s="56" t="inlineStr">
        <is>
          <t>2061037</t>
        </is>
      </c>
      <c r="C502" s="56" t="inlineStr">
        <is>
          <t>DS.2025.1759 Juan Lugo NC 01-22</t>
        </is>
      </c>
      <c r="D502" s="56" t="inlineStr">
        <is>
          <t>DW</t>
        </is>
      </c>
      <c r="E502" s="56" t="inlineStr">
        <is>
          <t>(Unassigned)</t>
        </is>
      </c>
      <c r="F502" s="56" t="inlineStr">
        <is>
          <t>Lugo Contracting, LLC</t>
        </is>
      </c>
      <c r="G502" s="56" t="inlineStr">
        <is>
          <t>ACTIVE</t>
        </is>
      </c>
      <c r="H502" s="57" t="n">
        <v>128322.88</v>
      </c>
      <c r="I502" s="57" t="n">
        <v>0</v>
      </c>
      <c r="J502" s="57" t="n">
        <v>128322.88</v>
      </c>
      <c r="K502" s="57" t="n">
        <v>137305.48</v>
      </c>
      <c r="L502" s="57" t="n">
        <v>0</v>
      </c>
      <c r="M502" s="57" t="n">
        <v>100104.05</v>
      </c>
      <c r="N502" s="58" t="n">
        <v>0</v>
      </c>
      <c r="O502" s="57" t="n">
        <v>0</v>
      </c>
      <c r="P502" s="57" t="n">
        <v>-128322.88</v>
      </c>
      <c r="Q502" s="57" t="n">
        <v>0</v>
      </c>
      <c r="R502" s="57" t="n">
        <v>128322.88</v>
      </c>
      <c r="S502" s="57" t="n">
        <v>0</v>
      </c>
      <c r="T502" s="57" t="n">
        <v>28218.83</v>
      </c>
      <c r="U502" s="58" t="n">
        <v>0.2199</v>
      </c>
      <c r="V502" s="57" t="n">
        <v>128322.88</v>
      </c>
      <c r="W502" s="58" t="n">
        <v>1</v>
      </c>
      <c r="X502" s="58" t="n">
        <v>0</v>
      </c>
      <c r="Y502" s="58" t="n">
        <v>0</v>
      </c>
      <c r="Z502" s="57" t="n">
        <v>0</v>
      </c>
      <c r="AA502" s="57" t="n">
        <v>-8982.6</v>
      </c>
      <c r="AB502" s="56" t="inlineStr">
        <is>
          <t>FALSE</t>
        </is>
      </c>
      <c r="AC502" s="56" t="inlineStr">
        <is>
          <t>FALSE</t>
        </is>
      </c>
      <c r="AD502" s="57" t="n">
        <v>100104.05</v>
      </c>
      <c r="AE502" s="57" t="n">
        <v>0</v>
      </c>
      <c r="AF502" s="57" t="n">
        <v>0</v>
      </c>
      <c r="AG502" s="57" t="n">
        <v>0</v>
      </c>
      <c r="AH502" s="57" t="n">
        <v>0</v>
      </c>
    </row>
    <row r="503">
      <c r="A503" s="56" t="inlineStr">
        <is>
          <t>2026-06-17</t>
        </is>
      </c>
      <c r="B503" s="56" t="inlineStr">
        <is>
          <t>2040900</t>
        </is>
      </c>
      <c r="C503" s="56" t="inlineStr">
        <is>
          <t>MF.2025.977 Civic Square Condos</t>
        </is>
      </c>
      <c r="D503" s="56" t="inlineStr">
        <is>
          <t>MF</t>
        </is>
      </c>
      <c r="E503" s="56" t="inlineStr">
        <is>
          <t>Trevor Anderson</t>
        </is>
      </c>
      <c r="F503" s="56" t="inlineStr">
        <is>
          <t>Novo Development Group, LLC</t>
        </is>
      </c>
      <c r="G503" s="56" t="inlineStr">
        <is>
          <t>ACTIVE</t>
        </is>
      </c>
      <c r="H503" s="57" t="n">
        <v>603098</v>
      </c>
      <c r="I503" s="57" t="n">
        <v>35098</v>
      </c>
      <c r="J503" s="57" t="n">
        <v>603098</v>
      </c>
      <c r="K503" s="57" t="n">
        <v>542788.2</v>
      </c>
      <c r="L503" s="57" t="n">
        <v>454386.68</v>
      </c>
      <c r="M503" s="57" t="n">
        <v>453638.15</v>
      </c>
      <c r="N503" s="58" t="n">
        <v>0.9984</v>
      </c>
      <c r="O503" s="57" t="n">
        <v>602133.04</v>
      </c>
      <c r="P503" s="57" t="n">
        <v>-964.96</v>
      </c>
      <c r="Q503" s="57" t="n">
        <v>-993.51</v>
      </c>
      <c r="R503" s="57" t="n">
        <v>964.96</v>
      </c>
      <c r="S503" s="57" t="n">
        <v>0</v>
      </c>
      <c r="T503" s="57" t="n">
        <v>149459.85</v>
      </c>
      <c r="U503" s="58" t="n">
        <v>0.2478</v>
      </c>
      <c r="V503" s="57" t="n">
        <v>148711.32</v>
      </c>
      <c r="W503" s="58" t="n">
        <v>0.2466</v>
      </c>
      <c r="X503" s="58" t="n">
        <v>0.2466</v>
      </c>
      <c r="Y503" s="58" t="n">
        <v>-0.0012</v>
      </c>
      <c r="Z503" s="57" t="n">
        <v>0</v>
      </c>
      <c r="AA503" s="57" t="n">
        <v>60309.8</v>
      </c>
      <c r="AB503" s="56" t="inlineStr">
        <is>
          <t>TRUE</t>
        </is>
      </c>
      <c r="AC503" s="56" t="inlineStr">
        <is>
          <t>TRUE</t>
        </is>
      </c>
      <c r="AD503" s="57" t="n">
        <v>207904.58</v>
      </c>
      <c r="AE503" s="57" t="n">
        <v>245733.57</v>
      </c>
      <c r="AF503" s="57" t="n">
        <v>0</v>
      </c>
      <c r="AG503" s="57" t="n">
        <v>0</v>
      </c>
      <c r="AH503" s="57" t="n">
        <v>0</v>
      </c>
    </row>
    <row r="504">
      <c r="A504" s="56" t="inlineStr">
        <is>
          <t>2026-06-17</t>
        </is>
      </c>
      <c r="B504" s="56" t="inlineStr">
        <is>
          <t>2037261</t>
        </is>
      </c>
      <c r="C504" s="56" t="inlineStr">
        <is>
          <t>2025.966 C5 Bullitt III Logistics Center Warehouse</t>
        </is>
      </c>
      <c r="D504" s="56" t="inlineStr">
        <is>
          <t>TI</t>
        </is>
      </c>
      <c r="E504" s="56" t="inlineStr">
        <is>
          <t>Trevor Anderson</t>
        </is>
      </c>
      <c r="F504" s="56" t="inlineStr">
        <is>
          <t>The Peterson Company, LLC</t>
        </is>
      </c>
      <c r="G504" s="56" t="inlineStr">
        <is>
          <t>ACTIVE</t>
        </is>
      </c>
      <c r="H504" s="57" t="n">
        <v>415930</v>
      </c>
      <c r="I504" s="57" t="n">
        <v>32099</v>
      </c>
      <c r="J504" s="57" t="n">
        <v>415930</v>
      </c>
      <c r="K504" s="57" t="n">
        <v>415930</v>
      </c>
      <c r="L504" s="57" t="n">
        <v>253086.48</v>
      </c>
      <c r="M504" s="57" t="n">
        <v>253397.03</v>
      </c>
      <c r="N504" s="58" t="n">
        <v>1.0012</v>
      </c>
      <c r="O504" s="57" t="n">
        <v>416429.12</v>
      </c>
      <c r="P504" s="57" t="n">
        <v>499.12</v>
      </c>
      <c r="Q504" s="57" t="n">
        <v>0</v>
      </c>
      <c r="R504" s="57" t="n">
        <v>0</v>
      </c>
      <c r="S504" s="57" t="n">
        <v>499.12</v>
      </c>
      <c r="T504" s="57" t="n">
        <v>162532.97</v>
      </c>
      <c r="U504" s="58" t="n">
        <v>0.3908</v>
      </c>
      <c r="V504" s="57" t="n">
        <v>162843.52</v>
      </c>
      <c r="W504" s="58" t="n">
        <v>0.3915</v>
      </c>
      <c r="X504" s="58" t="n">
        <v>0.3915</v>
      </c>
      <c r="Y504" s="58" t="n">
        <v>0.0007</v>
      </c>
      <c r="Z504" s="57" t="n">
        <v>0</v>
      </c>
      <c r="AA504" s="57" t="n">
        <v>0</v>
      </c>
      <c r="AB504" s="56" t="inlineStr">
        <is>
          <t>TRUE</t>
        </is>
      </c>
      <c r="AC504" s="56" t="inlineStr">
        <is>
          <t>TRUE</t>
        </is>
      </c>
      <c r="AD504" s="57" t="n">
        <v>106844</v>
      </c>
      <c r="AE504" s="57" t="n">
        <v>121635.36</v>
      </c>
      <c r="AF504" s="57" t="n">
        <v>24708.83</v>
      </c>
      <c r="AG504" s="57" t="n">
        <v>208.84</v>
      </c>
      <c r="AH504" s="57" t="n">
        <v>0</v>
      </c>
    </row>
    <row r="505">
      <c r="A505" s="56" t="inlineStr">
        <is>
          <t>2026-06-17</t>
        </is>
      </c>
      <c r="B505" s="56" t="inlineStr">
        <is>
          <t>2028240</t>
        </is>
      </c>
      <c r="C505" s="56" t="inlineStr">
        <is>
          <t>2025.960 Langham Whiteland South Lockers</t>
        </is>
      </c>
      <c r="D505" s="56" t="inlineStr">
        <is>
          <t>TI</t>
        </is>
      </c>
      <c r="E505" s="56" t="inlineStr">
        <is>
          <t>Spencer Anderson</t>
        </is>
      </c>
      <c r="F505" s="56" t="inlineStr">
        <is>
          <t>DEEM, LLC</t>
        </is>
      </c>
      <c r="G505" s="56" t="inlineStr">
        <is>
          <t>ACTIVE</t>
        </is>
      </c>
      <c r="H505" s="57" t="n">
        <v>72797</v>
      </c>
      <c r="I505" s="57" t="n">
        <v>0</v>
      </c>
      <c r="J505" s="57" t="n">
        <v>72797</v>
      </c>
      <c r="K505" s="57" t="n">
        <v>72797</v>
      </c>
      <c r="L505" s="57" t="n">
        <v>53046.04</v>
      </c>
      <c r="M505" s="57" t="n">
        <v>53580.36</v>
      </c>
      <c r="N505" s="58" t="n">
        <v>1.0101</v>
      </c>
      <c r="O505" s="57" t="n">
        <v>73532.25</v>
      </c>
      <c r="P505" s="57" t="n">
        <v>735.25</v>
      </c>
      <c r="Q505" s="57" t="n">
        <v>0</v>
      </c>
      <c r="R505" s="57" t="n">
        <v>0</v>
      </c>
      <c r="S505" s="57" t="n">
        <v>735.25</v>
      </c>
      <c r="T505" s="57" t="n">
        <v>19216.64</v>
      </c>
      <c r="U505" s="58" t="n">
        <v>0.264</v>
      </c>
      <c r="V505" s="57" t="n">
        <v>19750.96</v>
      </c>
      <c r="W505" s="58" t="n">
        <v>0.2713</v>
      </c>
      <c r="X505" s="58" t="n">
        <v>0.2713</v>
      </c>
      <c r="Y505" s="58" t="n">
        <v>0.0073</v>
      </c>
      <c r="Z505" s="57" t="n">
        <v>0</v>
      </c>
      <c r="AA505" s="57" t="n">
        <v>0</v>
      </c>
      <c r="AB505" s="56" t="inlineStr">
        <is>
          <t>TRUE</t>
        </is>
      </c>
      <c r="AC505" s="56" t="inlineStr">
        <is>
          <t>TRUE</t>
        </is>
      </c>
      <c r="AD505" s="57" t="n">
        <v>580.41</v>
      </c>
      <c r="AE505" s="57" t="n">
        <v>52999.95</v>
      </c>
      <c r="AF505" s="57" t="n">
        <v>0</v>
      </c>
      <c r="AG505" s="57" t="n">
        <v>0</v>
      </c>
      <c r="AH505" s="57" t="n">
        <v>0</v>
      </c>
    </row>
    <row r="506">
      <c r="A506" s="56" t="inlineStr">
        <is>
          <t>2026-06-17</t>
        </is>
      </c>
      <c r="B506" s="56" t="inlineStr">
        <is>
          <t>2025315</t>
        </is>
      </c>
      <c r="C506" s="56" t="inlineStr">
        <is>
          <t>2024.957 SanMar AWR</t>
        </is>
      </c>
      <c r="D506" s="56" t="inlineStr">
        <is>
          <t>TI</t>
        </is>
      </c>
      <c r="E506" s="56" t="inlineStr">
        <is>
          <t>Cole Garriott</t>
        </is>
      </c>
      <c r="F506" s="56" t="inlineStr">
        <is>
          <t>The Peterson Company, LLC</t>
        </is>
      </c>
      <c r="G506" s="56" t="inlineStr">
        <is>
          <t>ACTIVE</t>
        </is>
      </c>
      <c r="H506" s="57" t="n">
        <v>34964</v>
      </c>
      <c r="I506" s="57" t="n">
        <v>10398</v>
      </c>
      <c r="J506" s="57" t="n">
        <v>34964</v>
      </c>
      <c r="K506" s="57" t="n">
        <v>34964</v>
      </c>
      <c r="L506" s="57" t="n">
        <v>17925.48</v>
      </c>
      <c r="M506" s="57" t="n">
        <v>17925.48</v>
      </c>
      <c r="N506" s="58" t="n">
        <v>1</v>
      </c>
      <c r="O506" s="57" t="n">
        <v>34964</v>
      </c>
      <c r="P506" s="57" t="n">
        <v>0</v>
      </c>
      <c r="Q506" s="57" t="n">
        <v>0</v>
      </c>
      <c r="R506" s="57" t="n">
        <v>0</v>
      </c>
      <c r="S506" s="57" t="n">
        <v>0</v>
      </c>
      <c r="T506" s="57" t="n">
        <v>17038.52</v>
      </c>
      <c r="U506" s="58" t="n">
        <v>0.4873</v>
      </c>
      <c r="V506" s="57" t="n">
        <v>17038.52</v>
      </c>
      <c r="W506" s="58" t="n">
        <v>0.4873</v>
      </c>
      <c r="X506" s="58" t="n">
        <v>0.4873</v>
      </c>
      <c r="Y506" s="58" t="n">
        <v>0</v>
      </c>
      <c r="Z506" s="57" t="n">
        <v>0</v>
      </c>
      <c r="AA506" s="57" t="n">
        <v>0</v>
      </c>
      <c r="AB506" s="56" t="inlineStr">
        <is>
          <t>TRUE</t>
        </is>
      </c>
      <c r="AC506" s="56" t="inlineStr">
        <is>
          <t>TRUE</t>
        </is>
      </c>
      <c r="AD506" s="57" t="n">
        <v>8161.81</v>
      </c>
      <c r="AE506" s="57" t="n">
        <v>8650.790000000001</v>
      </c>
      <c r="AF506" s="57" t="n">
        <v>1071.16</v>
      </c>
      <c r="AG506" s="57" t="n">
        <v>41.72</v>
      </c>
      <c r="AH506" s="57" t="n">
        <v>0</v>
      </c>
    </row>
    <row r="507">
      <c r="A507" s="56" t="inlineStr">
        <is>
          <t>2026-06-17</t>
        </is>
      </c>
      <c r="B507" s="56" t="inlineStr">
        <is>
          <t>2012203</t>
        </is>
      </c>
      <c r="C507" s="56" t="inlineStr">
        <is>
          <t>2024.953 Motorworks</t>
        </is>
      </c>
      <c r="D507" s="56" t="inlineStr">
        <is>
          <t>TI</t>
        </is>
      </c>
      <c r="E507" s="56" t="inlineStr">
        <is>
          <t>Tommy Cohoat</t>
        </is>
      </c>
      <c r="F507" s="56" t="inlineStr">
        <is>
          <t>Precision Dry Wall</t>
        </is>
      </c>
      <c r="G507" s="56" t="inlineStr">
        <is>
          <t>ACTIVE</t>
        </is>
      </c>
      <c r="H507" s="57" t="n">
        <v>2605.74</v>
      </c>
      <c r="I507" s="57" t="n">
        <v>405.74</v>
      </c>
      <c r="J507" s="57" t="n">
        <v>2605.74</v>
      </c>
      <c r="K507" s="57" t="n">
        <v>2605.74</v>
      </c>
      <c r="L507" s="57" t="n">
        <v>1364.98</v>
      </c>
      <c r="M507" s="57" t="n">
        <v>1364.98</v>
      </c>
      <c r="N507" s="58" t="n">
        <v>1</v>
      </c>
      <c r="O507" s="57" t="n">
        <v>2605.74</v>
      </c>
      <c r="P507" s="57" t="n">
        <v>0</v>
      </c>
      <c r="Q507" s="57" t="n">
        <v>0</v>
      </c>
      <c r="R507" s="57" t="n">
        <v>0</v>
      </c>
      <c r="S507" s="57" t="n">
        <v>0</v>
      </c>
      <c r="T507" s="57" t="n">
        <v>1240.76</v>
      </c>
      <c r="U507" s="58" t="n">
        <v>0.4762</v>
      </c>
      <c r="V507" s="57" t="n">
        <v>1240.76</v>
      </c>
      <c r="W507" s="58" t="n">
        <v>0.4762</v>
      </c>
      <c r="X507" s="58" t="n">
        <v>0.4762</v>
      </c>
      <c r="Y507" s="58" t="n">
        <v>0</v>
      </c>
      <c r="Z507" s="57" t="n">
        <v>0</v>
      </c>
      <c r="AA507" s="57" t="n">
        <v>0</v>
      </c>
      <c r="AB507" s="56" t="inlineStr">
        <is>
          <t>TRUE</t>
        </is>
      </c>
      <c r="AC507" s="56" t="inlineStr">
        <is>
          <t>TRUE</t>
        </is>
      </c>
      <c r="AD507" s="57" t="n">
        <v>502.98</v>
      </c>
      <c r="AE507" s="57" t="n">
        <v>862</v>
      </c>
      <c r="AF507" s="57" t="n">
        <v>0</v>
      </c>
      <c r="AG507" s="57" t="n">
        <v>0</v>
      </c>
      <c r="AH507" s="57" t="n">
        <v>0</v>
      </c>
    </row>
    <row r="508">
      <c r="A508" s="56" t="inlineStr">
        <is>
          <t>2026-06-17</t>
        </is>
      </c>
      <c r="B508" s="56" t="inlineStr">
        <is>
          <t>2009228</t>
        </is>
      </c>
      <c r="C508" s="56" t="inlineStr">
        <is>
          <t>MF.2025.963 Home 2 Suites</t>
        </is>
      </c>
      <c r="D508" s="56" t="inlineStr">
        <is>
          <t>MF</t>
        </is>
      </c>
      <c r="E508" s="56" t="inlineStr">
        <is>
          <t>Kelden Tyson</t>
        </is>
      </c>
      <c r="F508" s="56" t="inlineStr">
        <is>
          <t>Meyer Najem</t>
        </is>
      </c>
      <c r="G508" s="56" t="inlineStr">
        <is>
          <t>ACTIVE</t>
        </is>
      </c>
      <c r="H508" s="57" t="n">
        <v>580227.88</v>
      </c>
      <c r="I508" s="57" t="n">
        <v>5227.88</v>
      </c>
      <c r="J508" s="57" t="n">
        <v>580227.88</v>
      </c>
      <c r="K508" s="57" t="n">
        <v>522205.09</v>
      </c>
      <c r="L508" s="57" t="n">
        <v>408243.32</v>
      </c>
      <c r="M508" s="57" t="n">
        <v>408243.32</v>
      </c>
      <c r="N508" s="58" t="n">
        <v>1</v>
      </c>
      <c r="O508" s="57" t="n">
        <v>580227.88</v>
      </c>
      <c r="P508" s="57" t="n">
        <v>0</v>
      </c>
      <c r="Q508" s="57" t="n">
        <v>-0</v>
      </c>
      <c r="R508" s="57" t="n">
        <v>0</v>
      </c>
      <c r="S508" s="57" t="n">
        <v>0</v>
      </c>
      <c r="T508" s="57" t="n">
        <v>171984.56</v>
      </c>
      <c r="U508" s="58" t="n">
        <v>0.2964</v>
      </c>
      <c r="V508" s="57" t="n">
        <v>171984.56</v>
      </c>
      <c r="W508" s="58" t="n">
        <v>0.2964</v>
      </c>
      <c r="X508" s="58" t="n">
        <v>0.2964</v>
      </c>
      <c r="Y508" s="58" t="n">
        <v>-0</v>
      </c>
      <c r="Z508" s="57" t="n">
        <v>0</v>
      </c>
      <c r="AA508" s="57" t="n">
        <v>58022.79</v>
      </c>
      <c r="AB508" s="56" t="inlineStr">
        <is>
          <t>TRUE</t>
        </is>
      </c>
      <c r="AC508" s="56" t="inlineStr">
        <is>
          <t>TRUE</t>
        </is>
      </c>
      <c r="AD508" s="57" t="n">
        <v>198199.5</v>
      </c>
      <c r="AE508" s="57" t="n">
        <v>209696.58</v>
      </c>
      <c r="AF508" s="57" t="n">
        <v>0</v>
      </c>
      <c r="AG508" s="57" t="n">
        <v>347.24</v>
      </c>
      <c r="AH508" s="57" t="n">
        <v>0</v>
      </c>
    </row>
    <row r="509">
      <c r="A509" s="56" t="inlineStr">
        <is>
          <t>2026-06-17</t>
        </is>
      </c>
      <c r="B509" s="56" t="inlineStr">
        <is>
          <t>1989297</t>
        </is>
      </c>
      <c r="C509" s="56" t="inlineStr">
        <is>
          <t>DS.2024.1656 Juan Lugo 1202 NC</t>
        </is>
      </c>
      <c r="D509" s="56" t="inlineStr">
        <is>
          <t>DW</t>
        </is>
      </c>
      <c r="E509" s="56" t="inlineStr">
        <is>
          <t>(Unassigned)</t>
        </is>
      </c>
      <c r="F509" s="56" t="inlineStr">
        <is>
          <t>Lugo Contracting, LLC</t>
        </is>
      </c>
      <c r="G509" s="56" t="inlineStr">
        <is>
          <t>ACTIVE</t>
        </is>
      </c>
      <c r="H509" s="57" t="n">
        <v>83195.75</v>
      </c>
      <c r="I509" s="57" t="n">
        <v>0</v>
      </c>
      <c r="J509" s="57" t="n">
        <v>83195.75</v>
      </c>
      <c r="K509" s="57" t="n">
        <v>89019.45</v>
      </c>
      <c r="L509" s="57" t="n">
        <v>0</v>
      </c>
      <c r="M509" s="57" t="n">
        <v>67140.53</v>
      </c>
      <c r="N509" s="58" t="n">
        <v>0</v>
      </c>
      <c r="O509" s="57" t="n">
        <v>0</v>
      </c>
      <c r="P509" s="57" t="n">
        <v>-83195.75</v>
      </c>
      <c r="Q509" s="57" t="n">
        <v>0</v>
      </c>
      <c r="R509" s="57" t="n">
        <v>83195.75</v>
      </c>
      <c r="S509" s="57" t="n">
        <v>0</v>
      </c>
      <c r="T509" s="57" t="n">
        <v>16055.22</v>
      </c>
      <c r="U509" s="58" t="n">
        <v>0.193</v>
      </c>
      <c r="V509" s="57" t="n">
        <v>83195.75</v>
      </c>
      <c r="W509" s="58" t="n">
        <v>1</v>
      </c>
      <c r="X509" s="58" t="n">
        <v>0</v>
      </c>
      <c r="Y509" s="58" t="n">
        <v>0</v>
      </c>
      <c r="Z509" s="57" t="n">
        <v>0</v>
      </c>
      <c r="AA509" s="57" t="n">
        <v>-5823.7</v>
      </c>
      <c r="AB509" s="56" t="inlineStr">
        <is>
          <t>FALSE</t>
        </is>
      </c>
      <c r="AC509" s="56" t="inlineStr">
        <is>
          <t>FALSE</t>
        </is>
      </c>
      <c r="AD509" s="57" t="n">
        <v>67140.53</v>
      </c>
      <c r="AE509" s="57" t="n">
        <v>0</v>
      </c>
      <c r="AF509" s="57" t="n">
        <v>0</v>
      </c>
      <c r="AG509" s="57" t="n">
        <v>0</v>
      </c>
      <c r="AH509" s="57" t="n">
        <v>0</v>
      </c>
    </row>
    <row r="510">
      <c r="A510" s="56" t="inlineStr">
        <is>
          <t>2026-06-17</t>
        </is>
      </c>
      <c r="B510" s="56" t="inlineStr">
        <is>
          <t>1956827</t>
        </is>
      </c>
      <c r="C510" s="56" t="inlineStr">
        <is>
          <t>MF.2024.941 Oak Trace</t>
        </is>
      </c>
      <c r="D510" s="56" t="inlineStr">
        <is>
          <t>MF</t>
        </is>
      </c>
      <c r="E510" s="56" t="inlineStr">
        <is>
          <t>Dustin Hurt</t>
        </is>
      </c>
      <c r="F510" s="56" t="inlineStr">
        <is>
          <t>Westfield Community Management, LLC</t>
        </is>
      </c>
      <c r="G510" s="56" t="inlineStr">
        <is>
          <t>ACTIVE</t>
        </is>
      </c>
      <c r="H510" s="57" t="n">
        <v>76730</v>
      </c>
      <c r="I510" s="57" t="n">
        <v>15200</v>
      </c>
      <c r="J510" s="57" t="n">
        <v>76730</v>
      </c>
      <c r="K510" s="57" t="n">
        <v>76730</v>
      </c>
      <c r="L510" s="57" t="n">
        <v>59188.79</v>
      </c>
      <c r="M510" s="57" t="n">
        <v>59237.53</v>
      </c>
      <c r="N510" s="58" t="n">
        <v>1.0008</v>
      </c>
      <c r="O510" s="57" t="n">
        <v>76791.38</v>
      </c>
      <c r="P510" s="57" t="n">
        <v>61.38</v>
      </c>
      <c r="Q510" s="57" t="n">
        <v>0</v>
      </c>
      <c r="R510" s="57" t="n">
        <v>0</v>
      </c>
      <c r="S510" s="57" t="n">
        <v>61.38</v>
      </c>
      <c r="T510" s="57" t="n">
        <v>17492.47</v>
      </c>
      <c r="U510" s="58" t="n">
        <v>0.228</v>
      </c>
      <c r="V510" s="57" t="n">
        <v>17541.21</v>
      </c>
      <c r="W510" s="58" t="n">
        <v>0.2286</v>
      </c>
      <c r="X510" s="58" t="n">
        <v>0.2286</v>
      </c>
      <c r="Y510" s="58" t="n">
        <v>0.0005999999999999999</v>
      </c>
      <c r="Z510" s="57" t="n">
        <v>0</v>
      </c>
      <c r="AA510" s="57" t="n">
        <v>0</v>
      </c>
      <c r="AB510" s="56" t="inlineStr">
        <is>
          <t>TRUE</t>
        </is>
      </c>
      <c r="AC510" s="56" t="inlineStr">
        <is>
          <t>TRUE</t>
        </is>
      </c>
      <c r="AD510" s="57" t="n">
        <v>41410.88</v>
      </c>
      <c r="AE510" s="57" t="n">
        <v>17482.46</v>
      </c>
      <c r="AF510" s="57" t="n">
        <v>344.19</v>
      </c>
      <c r="AG510" s="57" t="n">
        <v>0</v>
      </c>
      <c r="AH510" s="57" t="n">
        <v>0</v>
      </c>
    </row>
    <row r="511">
      <c r="A511" s="56" t="inlineStr">
        <is>
          <t>2026-06-17</t>
        </is>
      </c>
      <c r="B511" s="56" t="inlineStr">
        <is>
          <t>1900804</t>
        </is>
      </c>
      <c r="C511" s="56" t="inlineStr">
        <is>
          <t>MF.2025.972 Union Flats - Fishers</t>
        </is>
      </c>
      <c r="D511" s="56" t="inlineStr">
        <is>
          <t>MF</t>
        </is>
      </c>
      <c r="E511" s="56" t="inlineStr">
        <is>
          <t>Ben Garza</t>
        </is>
      </c>
      <c r="F511" s="56" t="inlineStr">
        <is>
          <t>Thompson Thrift Construction</t>
        </is>
      </c>
      <c r="G511" s="56" t="inlineStr">
        <is>
          <t>ACTIVE</t>
        </is>
      </c>
      <c r="H511" s="57" t="n">
        <v>3838166</v>
      </c>
      <c r="I511" s="57" t="n">
        <v>-11834</v>
      </c>
      <c r="J511" s="57" t="n">
        <v>2726076.15</v>
      </c>
      <c r="K511" s="57" t="n">
        <v>1584810</v>
      </c>
      <c r="L511" s="57" t="n">
        <v>2682585.85</v>
      </c>
      <c r="M511" s="57" t="n">
        <v>2343618.31</v>
      </c>
      <c r="N511" s="58" t="n">
        <v>0.8736</v>
      </c>
      <c r="O511" s="57" t="n">
        <v>3353021.82</v>
      </c>
      <c r="P511" s="57" t="n">
        <v>626945.67</v>
      </c>
      <c r="Q511" s="57" t="n">
        <v>324207.58</v>
      </c>
      <c r="R511" s="57" t="n">
        <v>0</v>
      </c>
      <c r="S511" s="57" t="n">
        <v>626945.67</v>
      </c>
      <c r="T511" s="57" t="n">
        <v>685355.1899999999</v>
      </c>
      <c r="U511" s="58" t="n">
        <v>0.2263</v>
      </c>
      <c r="V511" s="57" t="n">
        <v>1155580.15</v>
      </c>
      <c r="W511" s="58" t="n">
        <v>0.3011</v>
      </c>
      <c r="X511" s="58" t="n">
        <v>0.3011</v>
      </c>
      <c r="Y511" s="58" t="n">
        <v>0.07480000000000001</v>
      </c>
      <c r="Z511" s="57" t="n">
        <v>302897.35</v>
      </c>
      <c r="AA511" s="57" t="n">
        <v>1141266.15</v>
      </c>
      <c r="AB511" s="56" t="inlineStr">
        <is>
          <t>TRUE</t>
        </is>
      </c>
      <c r="AC511" s="56" t="inlineStr">
        <is>
          <t>TRUE</t>
        </is>
      </c>
      <c r="AD511" s="57" t="n">
        <v>1345219.35</v>
      </c>
      <c r="AE511" s="57" t="n">
        <v>944042.89</v>
      </c>
      <c r="AF511" s="57" t="n">
        <v>52859.18</v>
      </c>
      <c r="AG511" s="57" t="n">
        <v>1496.89</v>
      </c>
      <c r="AH511" s="57" t="n">
        <v>0</v>
      </c>
    </row>
    <row r="512">
      <c r="A512" s="56" t="inlineStr">
        <is>
          <t>2026-06-17</t>
        </is>
      </c>
      <c r="B512" s="56" t="inlineStr">
        <is>
          <t>1870076</t>
        </is>
      </c>
      <c r="C512" s="56" t="inlineStr">
        <is>
          <t>2024.929 DEEM Warehouse</t>
        </is>
      </c>
      <c r="D512" s="56" t="inlineStr">
        <is>
          <t>TI</t>
        </is>
      </c>
      <c r="E512" s="56" t="inlineStr">
        <is>
          <t>Tommy Cohoat</t>
        </is>
      </c>
      <c r="F512" s="56" t="inlineStr">
        <is>
          <t>DEEM, LLC</t>
        </is>
      </c>
      <c r="G512" s="56" t="inlineStr">
        <is>
          <t>ACTIVE</t>
        </is>
      </c>
      <c r="H512" s="57" t="n">
        <v>659384.05</v>
      </c>
      <c r="I512" s="57" t="n">
        <v>610634.05</v>
      </c>
      <c r="J512" s="57" t="n">
        <v>659384.05</v>
      </c>
      <c r="K512" s="57" t="n">
        <v>659384.05</v>
      </c>
      <c r="L512" s="57" t="n">
        <v>260000</v>
      </c>
      <c r="M512" s="57" t="n">
        <v>257137.17</v>
      </c>
      <c r="N512" s="58" t="n">
        <v>0.989</v>
      </c>
      <c r="O512" s="57" t="n">
        <v>652130.83</v>
      </c>
      <c r="P512" s="57" t="n">
        <v>-7253.22</v>
      </c>
      <c r="Q512" s="57" t="n">
        <v>-7260.4</v>
      </c>
      <c r="R512" s="57" t="n">
        <v>7253.22</v>
      </c>
      <c r="S512" s="57" t="n">
        <v>0</v>
      </c>
      <c r="T512" s="57" t="n">
        <v>402246.88</v>
      </c>
      <c r="U512" s="58" t="n">
        <v>0.61</v>
      </c>
      <c r="V512" s="57" t="n">
        <v>399384.05</v>
      </c>
      <c r="W512" s="58" t="n">
        <v>0.6057</v>
      </c>
      <c r="X512" s="58" t="n">
        <v>0.6057</v>
      </c>
      <c r="Y512" s="58" t="n">
        <v>-0.0043</v>
      </c>
      <c r="Z512" s="57" t="n">
        <v>0</v>
      </c>
      <c r="AA512" s="57" t="n">
        <v>0</v>
      </c>
      <c r="AB512" s="56" t="inlineStr">
        <is>
          <t>TRUE</t>
        </is>
      </c>
      <c r="AC512" s="56" t="inlineStr">
        <is>
          <t>TRUE</t>
        </is>
      </c>
      <c r="AD512" s="57" t="n">
        <v>255.73</v>
      </c>
      <c r="AE512" s="57" t="n">
        <v>254255.94</v>
      </c>
      <c r="AF512" s="57" t="n">
        <v>0</v>
      </c>
      <c r="AG512" s="57" t="n">
        <v>2625.5</v>
      </c>
      <c r="AH512" s="57" t="n">
        <v>0</v>
      </c>
    </row>
    <row r="513">
      <c r="A513" s="56" t="inlineStr">
        <is>
          <t>2026-06-17</t>
        </is>
      </c>
      <c r="B513" s="56" t="inlineStr">
        <is>
          <t>1854607</t>
        </is>
      </c>
      <c r="C513" s="56" t="inlineStr">
        <is>
          <t>MF.2024.924 Monon Trail Elementary</t>
        </is>
      </c>
      <c r="D513" s="56" t="inlineStr">
        <is>
          <t>MF</t>
        </is>
      </c>
      <c r="E513" s="56" t="inlineStr">
        <is>
          <t>Dustin Hurt</t>
        </is>
      </c>
      <c r="F513" s="56" t="inlineStr">
        <is>
          <t>LTB Construction, Inc.</t>
        </is>
      </c>
      <c r="G513" s="56" t="inlineStr">
        <is>
          <t>ACTIVE</t>
        </is>
      </c>
      <c r="H513" s="57" t="n">
        <v>4550</v>
      </c>
      <c r="I513" s="57" t="n">
        <v>0</v>
      </c>
      <c r="J513" s="57" t="n">
        <v>4550</v>
      </c>
      <c r="K513" s="57" t="n">
        <v>4550</v>
      </c>
      <c r="L513" s="57" t="n">
        <v>5200</v>
      </c>
      <c r="M513" s="57" t="n">
        <v>1575</v>
      </c>
      <c r="N513" s="58" t="n">
        <v>0.3029</v>
      </c>
      <c r="O513" s="57" t="n">
        <v>1378.19</v>
      </c>
      <c r="P513" s="57" t="n">
        <v>-3171.81</v>
      </c>
      <c r="Q513" s="57" t="n">
        <v>0</v>
      </c>
      <c r="R513" s="57" t="n">
        <v>3171.81</v>
      </c>
      <c r="S513" s="57" t="n">
        <v>0</v>
      </c>
      <c r="T513" s="57" t="n">
        <v>2975</v>
      </c>
      <c r="U513" s="58" t="n">
        <v>0.6538</v>
      </c>
      <c r="V513" s="57" t="n">
        <v>-650</v>
      </c>
      <c r="W513" s="58" t="n">
        <v>-0.1429</v>
      </c>
      <c r="X513" s="58" t="n">
        <v>-0.1429</v>
      </c>
      <c r="Y513" s="58" t="n">
        <v>-0.7967</v>
      </c>
      <c r="Z513" s="57" t="n">
        <v>0</v>
      </c>
      <c r="AA513" s="57" t="n">
        <v>0</v>
      </c>
      <c r="AB513" s="56" t="inlineStr">
        <is>
          <t>TRUE</t>
        </is>
      </c>
      <c r="AC513" s="56" t="inlineStr">
        <is>
          <t>TRUE</t>
        </is>
      </c>
      <c r="AD513" s="57" t="n">
        <v>0</v>
      </c>
      <c r="AE513" s="57" t="n">
        <v>1575</v>
      </c>
      <c r="AF513" s="57" t="n">
        <v>0</v>
      </c>
      <c r="AG513" s="57" t="n">
        <v>0</v>
      </c>
      <c r="AH513" s="57" t="n">
        <v>0</v>
      </c>
    </row>
    <row r="514">
      <c r="A514" s="56" t="inlineStr">
        <is>
          <t>2026-06-17</t>
        </is>
      </c>
      <c r="B514" s="56" t="inlineStr">
        <is>
          <t>1842206</t>
        </is>
      </c>
      <c r="C514" s="56" t="inlineStr">
        <is>
          <t>2024.920 SMC Mezzanine HVAC</t>
        </is>
      </c>
      <c r="D514" s="56" t="inlineStr">
        <is>
          <t>TI</t>
        </is>
      </c>
      <c r="E514" s="56" t="inlineStr">
        <is>
          <t>Trevor Anderson</t>
        </is>
      </c>
      <c r="F514" s="56" t="inlineStr">
        <is>
          <t>DEEM, LLC</t>
        </is>
      </c>
      <c r="G514" s="56" t="inlineStr">
        <is>
          <t>ACTIVE</t>
        </is>
      </c>
      <c r="H514" s="57" t="n">
        <v>2028</v>
      </c>
      <c r="I514" s="57" t="n">
        <v>0</v>
      </c>
      <c r="J514" s="57" t="n">
        <v>2028</v>
      </c>
      <c r="K514" s="57" t="n">
        <v>2028</v>
      </c>
      <c r="L514" s="57" t="n">
        <v>945.21</v>
      </c>
      <c r="M514" s="57" t="n">
        <v>945.21</v>
      </c>
      <c r="N514" s="58" t="n">
        <v>1</v>
      </c>
      <c r="O514" s="57" t="n">
        <v>2028</v>
      </c>
      <c r="P514" s="57" t="n">
        <v>0</v>
      </c>
      <c r="Q514" s="57" t="n">
        <v>0</v>
      </c>
      <c r="R514" s="57" t="n">
        <v>0</v>
      </c>
      <c r="S514" s="57" t="n">
        <v>0</v>
      </c>
      <c r="T514" s="57" t="n">
        <v>1082.79</v>
      </c>
      <c r="U514" s="58" t="n">
        <v>0.5339</v>
      </c>
      <c r="V514" s="57" t="n">
        <v>1082.79</v>
      </c>
      <c r="W514" s="58" t="n">
        <v>0.5339</v>
      </c>
      <c r="X514" s="58" t="n">
        <v>0.5339</v>
      </c>
      <c r="Y514" s="58" t="n">
        <v>0</v>
      </c>
      <c r="Z514" s="57" t="n">
        <v>0</v>
      </c>
      <c r="AA514" s="57" t="n">
        <v>0</v>
      </c>
      <c r="AB514" s="56" t="inlineStr">
        <is>
          <t>TRUE</t>
        </is>
      </c>
      <c r="AC514" s="56" t="inlineStr">
        <is>
          <t>TRUE</t>
        </is>
      </c>
      <c r="AD514" s="57" t="n">
        <v>119.21</v>
      </c>
      <c r="AE514" s="57" t="n">
        <v>826</v>
      </c>
      <c r="AF514" s="57" t="n">
        <v>0</v>
      </c>
      <c r="AG514" s="57" t="n">
        <v>0</v>
      </c>
      <c r="AH514" s="57" t="n">
        <v>0</v>
      </c>
    </row>
    <row r="515">
      <c r="A515" s="56" t="inlineStr">
        <is>
          <t>2026-06-17</t>
        </is>
      </c>
      <c r="B515" s="56" t="inlineStr">
        <is>
          <t>1839016</t>
        </is>
      </c>
      <c r="C515" s="56" t="inlineStr">
        <is>
          <t>MF.2025.1007 The Approach</t>
        </is>
      </c>
      <c r="D515" s="56" t="inlineStr">
        <is>
          <t>MF</t>
        </is>
      </c>
      <c r="E515" s="56" t="inlineStr">
        <is>
          <t>Kelden Tyson</t>
        </is>
      </c>
      <c r="F515" s="56" t="inlineStr">
        <is>
          <t>KCG</t>
        </is>
      </c>
      <c r="G515" s="56" t="inlineStr">
        <is>
          <t>ACTIVE</t>
        </is>
      </c>
      <c r="H515" s="57" t="n">
        <v>5643379.34</v>
      </c>
      <c r="I515" s="57" t="n">
        <v>283379.34</v>
      </c>
      <c r="J515" s="57" t="n">
        <v>0</v>
      </c>
      <c r="K515" s="57" t="n">
        <v>0</v>
      </c>
      <c r="L515" s="57" t="n">
        <v>3375843.48</v>
      </c>
      <c r="M515" s="57" t="n">
        <v>2174.78</v>
      </c>
      <c r="N515" s="58" t="n">
        <v>0.0005999999999999999</v>
      </c>
      <c r="O515" s="57" t="n">
        <v>3386.03</v>
      </c>
      <c r="P515" s="57" t="n">
        <v>3386.03</v>
      </c>
      <c r="Q515" s="57" t="n">
        <v>3635.57</v>
      </c>
      <c r="R515" s="57" t="n">
        <v>0</v>
      </c>
      <c r="S515" s="57" t="n">
        <v>3386.03</v>
      </c>
      <c r="T515" s="57" t="n">
        <v>-2174.78</v>
      </c>
      <c r="U515" s="58" t="n">
        <v>0</v>
      </c>
      <c r="V515" s="57" t="n">
        <v>2267535.86</v>
      </c>
      <c r="W515" s="58" t="n">
        <v>0.4018</v>
      </c>
      <c r="X515" s="58" t="n">
        <v>0.4018</v>
      </c>
      <c r="Y515" s="58" t="n">
        <v>0.4018</v>
      </c>
      <c r="Z515" s="57" t="n">
        <v>0</v>
      </c>
      <c r="AA515" s="57" t="n">
        <v>0</v>
      </c>
      <c r="AB515" s="56" t="inlineStr">
        <is>
          <t>TRUE</t>
        </is>
      </c>
      <c r="AC515" s="56" t="inlineStr">
        <is>
          <t>TRUE</t>
        </is>
      </c>
      <c r="AD515" s="57" t="n">
        <v>2174.78</v>
      </c>
      <c r="AE515" s="57" t="n">
        <v>0</v>
      </c>
      <c r="AF515" s="57" t="n">
        <v>0</v>
      </c>
      <c r="AG515" s="57" t="n">
        <v>0</v>
      </c>
      <c r="AH515" s="57" t="n">
        <v>0</v>
      </c>
    </row>
    <row r="516">
      <c r="A516" s="56" t="inlineStr">
        <is>
          <t>2026-06-17</t>
        </is>
      </c>
      <c r="B516" s="56" t="inlineStr">
        <is>
          <t>1820214</t>
        </is>
      </c>
      <c r="C516" s="56" t="inlineStr">
        <is>
          <t>DS.2024.1378 Ketchum Basement</t>
        </is>
      </c>
      <c r="D516" s="56" t="inlineStr">
        <is>
          <t>DW</t>
        </is>
      </c>
      <c r="E516" s="56" t="inlineStr">
        <is>
          <t>(Unassigned)</t>
        </is>
      </c>
      <c r="F516" s="56" t="inlineStr">
        <is>
          <t>Mendoza</t>
        </is>
      </c>
      <c r="G516" s="56" t="inlineStr">
        <is>
          <t>ACTIVE</t>
        </is>
      </c>
      <c r="H516" s="57" t="n">
        <v>4398.77</v>
      </c>
      <c r="I516" s="57" t="n">
        <v>0</v>
      </c>
      <c r="J516" s="57" t="n">
        <v>4398.77</v>
      </c>
      <c r="K516" s="57" t="n">
        <v>4706.68</v>
      </c>
      <c r="L516" s="57" t="n">
        <v>0</v>
      </c>
      <c r="M516" s="57" t="n">
        <v>2876.96</v>
      </c>
      <c r="N516" s="58" t="n">
        <v>0</v>
      </c>
      <c r="O516" s="57" t="n">
        <v>0</v>
      </c>
      <c r="P516" s="57" t="n">
        <v>-4398.77</v>
      </c>
      <c r="Q516" s="57" t="n">
        <v>0</v>
      </c>
      <c r="R516" s="57" t="n">
        <v>4398.77</v>
      </c>
      <c r="S516" s="57" t="n">
        <v>0</v>
      </c>
      <c r="T516" s="57" t="n">
        <v>1521.81</v>
      </c>
      <c r="U516" s="58" t="n">
        <v>0.346</v>
      </c>
      <c r="V516" s="57" t="n">
        <v>4398.77</v>
      </c>
      <c r="W516" s="58" t="n">
        <v>1</v>
      </c>
      <c r="X516" s="58" t="n">
        <v>0</v>
      </c>
      <c r="Y516" s="58" t="n">
        <v>0</v>
      </c>
      <c r="Z516" s="57" t="n">
        <v>0</v>
      </c>
      <c r="AA516" s="57" t="n">
        <v>-307.91</v>
      </c>
      <c r="AB516" s="56" t="inlineStr">
        <is>
          <t>FALSE</t>
        </is>
      </c>
      <c r="AC516" s="56" t="inlineStr">
        <is>
          <t>FALSE</t>
        </is>
      </c>
      <c r="AD516" s="57" t="n">
        <v>2876.96</v>
      </c>
      <c r="AE516" s="57" t="n">
        <v>0</v>
      </c>
      <c r="AF516" s="57" t="n">
        <v>0</v>
      </c>
      <c r="AG516" s="57" t="n">
        <v>0</v>
      </c>
      <c r="AH516" s="57" t="n">
        <v>0</v>
      </c>
    </row>
    <row r="517">
      <c r="A517" s="56" t="inlineStr">
        <is>
          <t>2026-06-17</t>
        </is>
      </c>
      <c r="B517" s="56" t="inlineStr">
        <is>
          <t>1819558</t>
        </is>
      </c>
      <c r="C517" s="56" t="inlineStr">
        <is>
          <t>DS.2024.1377 Warehouse Pickup 0710 - 2824 Sunnyfield Ct</t>
        </is>
      </c>
      <c r="D517" s="56" t="inlineStr">
        <is>
          <t>DW</t>
        </is>
      </c>
      <c r="E517" s="56" t="inlineStr">
        <is>
          <t>(Unassigned)</t>
        </is>
      </c>
      <c r="F517" s="56" t="inlineStr">
        <is>
          <t>Imperial Design</t>
        </is>
      </c>
      <c r="G517" s="56" t="inlineStr">
        <is>
          <t>ACTIVE</t>
        </is>
      </c>
      <c r="H517" s="57" t="n">
        <v>574</v>
      </c>
      <c r="I517" s="57" t="n">
        <v>0</v>
      </c>
      <c r="J517" s="57" t="n">
        <v>574</v>
      </c>
      <c r="K517" s="57" t="n">
        <v>614.1799999999999</v>
      </c>
      <c r="L517" s="57" t="n">
        <v>0</v>
      </c>
      <c r="M517" s="57" t="n">
        <v>392</v>
      </c>
      <c r="N517" s="58" t="n">
        <v>0</v>
      </c>
      <c r="O517" s="57" t="n">
        <v>0</v>
      </c>
      <c r="P517" s="57" t="n">
        <v>-574</v>
      </c>
      <c r="Q517" s="57" t="n">
        <v>0</v>
      </c>
      <c r="R517" s="57" t="n">
        <v>574</v>
      </c>
      <c r="S517" s="57" t="n">
        <v>0</v>
      </c>
      <c r="T517" s="57" t="n">
        <v>182</v>
      </c>
      <c r="U517" s="58" t="n">
        <v>0.3171</v>
      </c>
      <c r="V517" s="57" t="n">
        <v>574</v>
      </c>
      <c r="W517" s="58" t="n">
        <v>1</v>
      </c>
      <c r="X517" s="58" t="n">
        <v>0</v>
      </c>
      <c r="Y517" s="58" t="n">
        <v>0</v>
      </c>
      <c r="Z517" s="57" t="n">
        <v>0</v>
      </c>
      <c r="AA517" s="57" t="n">
        <v>-40.18</v>
      </c>
      <c r="AB517" s="56" t="inlineStr">
        <is>
          <t>FALSE</t>
        </is>
      </c>
      <c r="AC517" s="56" t="inlineStr">
        <is>
          <t>FALSE</t>
        </is>
      </c>
      <c r="AD517" s="57" t="n">
        <v>392</v>
      </c>
      <c r="AE517" s="57" t="n">
        <v>0</v>
      </c>
      <c r="AF517" s="57" t="n">
        <v>0</v>
      </c>
      <c r="AG517" s="57" t="n">
        <v>0</v>
      </c>
      <c r="AH517" s="57" t="n">
        <v>0</v>
      </c>
    </row>
    <row r="518">
      <c r="A518" s="56" t="inlineStr">
        <is>
          <t>2026-06-17</t>
        </is>
      </c>
      <c r="B518" s="56" t="inlineStr">
        <is>
          <t>1814679</t>
        </is>
      </c>
      <c r="C518" s="56" t="inlineStr">
        <is>
          <t>2024.913 Walmart Phoenix</t>
        </is>
      </c>
      <c r="D518" s="56" t="inlineStr">
        <is>
          <t>TI</t>
        </is>
      </c>
      <c r="E518" s="56" t="inlineStr">
        <is>
          <t>Cole Garriott</t>
        </is>
      </c>
      <c r="F518" s="56" t="inlineStr">
        <is>
          <t>DEEM, LLC</t>
        </is>
      </c>
      <c r="G518" s="56" t="inlineStr">
        <is>
          <t>ACTIVE</t>
        </is>
      </c>
      <c r="H518" s="57" t="n">
        <v>2945439.34</v>
      </c>
      <c r="I518" s="57" t="n">
        <v>522628.34</v>
      </c>
      <c r="J518" s="57" t="n">
        <v>2532252.91</v>
      </c>
      <c r="K518" s="57" t="n">
        <v>2503340.4</v>
      </c>
      <c r="L518" s="57" t="n">
        <v>1703791.05</v>
      </c>
      <c r="M518" s="57" t="n">
        <v>1611541.57</v>
      </c>
      <c r="N518" s="58" t="n">
        <v>0.9459</v>
      </c>
      <c r="O518" s="57" t="n">
        <v>2786091.07</v>
      </c>
      <c r="P518" s="57" t="n">
        <v>253838.16</v>
      </c>
      <c r="Q518" s="57" t="n">
        <v>-27651.86</v>
      </c>
      <c r="R518" s="57" t="n">
        <v>0</v>
      </c>
      <c r="S518" s="57" t="n">
        <v>253838.16</v>
      </c>
      <c r="T518" s="57" t="n">
        <v>1202072.77</v>
      </c>
      <c r="U518" s="58" t="n">
        <v>0.4272</v>
      </c>
      <c r="V518" s="57" t="n">
        <v>1241648.29</v>
      </c>
      <c r="W518" s="58" t="n">
        <v>0.4215</v>
      </c>
      <c r="X518" s="58" t="n">
        <v>0.4215</v>
      </c>
      <c r="Y518" s="58" t="n">
        <v>-0.0057</v>
      </c>
      <c r="Z518" s="57" t="n">
        <v>281361.43</v>
      </c>
      <c r="AA518" s="57" t="n">
        <v>28912.51</v>
      </c>
      <c r="AB518" s="56" t="inlineStr">
        <is>
          <t>TRUE</t>
        </is>
      </c>
      <c r="AC518" s="56" t="inlineStr">
        <is>
          <t>TRUE</t>
        </is>
      </c>
      <c r="AD518" s="57" t="n">
        <v>565924.03</v>
      </c>
      <c r="AE518" s="57" t="n">
        <v>980166.9399999999</v>
      </c>
      <c r="AF518" s="57" t="n">
        <v>50570.67</v>
      </c>
      <c r="AG518" s="57" t="n">
        <v>14879.93</v>
      </c>
      <c r="AH518" s="57" t="n">
        <v>0</v>
      </c>
    </row>
    <row r="519">
      <c r="A519" s="56" t="inlineStr">
        <is>
          <t>2026-06-17</t>
        </is>
      </c>
      <c r="B519" s="56" t="inlineStr">
        <is>
          <t>1806764</t>
        </is>
      </c>
      <c r="C519" s="56" t="inlineStr">
        <is>
          <t>MF.2025.975 The Eleven - Monon Square</t>
        </is>
      </c>
      <c r="D519" s="56" t="inlineStr">
        <is>
          <t>MF</t>
        </is>
      </c>
      <c r="E519" s="56" t="inlineStr">
        <is>
          <t>Shawn Welcher</t>
        </is>
      </c>
      <c r="F519" s="56" t="inlineStr">
        <is>
          <t>Centric Projects, LLC</t>
        </is>
      </c>
      <c r="G519" s="56" t="inlineStr">
        <is>
          <t>ACTIVE</t>
        </is>
      </c>
      <c r="H519" s="57" t="n">
        <v>465610</v>
      </c>
      <c r="I519" s="57" t="n">
        <v>-4620</v>
      </c>
      <c r="J519" s="57" t="n">
        <v>252211.41</v>
      </c>
      <c r="K519" s="57" t="n">
        <v>0</v>
      </c>
      <c r="L519" s="57" t="n">
        <v>319224.72</v>
      </c>
      <c r="M519" s="57" t="n">
        <v>63773.71</v>
      </c>
      <c r="N519" s="58" t="n">
        <v>0.1998</v>
      </c>
      <c r="O519" s="57" t="n">
        <v>93028.88</v>
      </c>
      <c r="P519" s="57" t="n">
        <v>-159182.53</v>
      </c>
      <c r="Q519" s="57" t="n">
        <v>-172467.59</v>
      </c>
      <c r="R519" s="57" t="n">
        <v>159182.53</v>
      </c>
      <c r="S519" s="57" t="n">
        <v>0</v>
      </c>
      <c r="T519" s="57" t="n">
        <v>201711.98</v>
      </c>
      <c r="U519" s="58" t="n">
        <v>0.7598</v>
      </c>
      <c r="V519" s="57" t="n">
        <v>146385.28</v>
      </c>
      <c r="W519" s="58" t="n">
        <v>0.3144</v>
      </c>
      <c r="X519" s="58" t="n">
        <v>0.3144</v>
      </c>
      <c r="Y519" s="58" t="n">
        <v>-0.4454</v>
      </c>
      <c r="Z519" s="57" t="n">
        <v>13274.28</v>
      </c>
      <c r="AA519" s="57" t="n">
        <v>252211.41</v>
      </c>
      <c r="AB519" s="56" t="inlineStr">
        <is>
          <t>TRUE</t>
        </is>
      </c>
      <c r="AC519" s="56" t="inlineStr">
        <is>
          <t>TRUE</t>
        </is>
      </c>
      <c r="AD519" s="57" t="n">
        <v>51480.96</v>
      </c>
      <c r="AE519" s="57" t="n">
        <v>11974.98</v>
      </c>
      <c r="AF519" s="57" t="n">
        <v>0</v>
      </c>
      <c r="AG519" s="57" t="n">
        <v>317.77</v>
      </c>
      <c r="AH519" s="57" t="n">
        <v>0</v>
      </c>
    </row>
    <row r="520">
      <c r="A520" s="56" t="inlineStr">
        <is>
          <t>2026-06-17</t>
        </is>
      </c>
      <c r="B520" s="56" t="inlineStr">
        <is>
          <t>1803611</t>
        </is>
      </c>
      <c r="C520" s="56" t="inlineStr">
        <is>
          <t>MF.2025.989-1 Springdale Cinema - Paint</t>
        </is>
      </c>
      <c r="D520" s="56" t="inlineStr">
        <is>
          <t>MF</t>
        </is>
      </c>
      <c r="E520" s="56" t="inlineStr">
        <is>
          <t>Ben Garza</t>
        </is>
      </c>
      <c r="F520" s="56" t="inlineStr">
        <is>
          <t>MILHAUS Construction</t>
        </is>
      </c>
      <c r="G520" s="56" t="inlineStr">
        <is>
          <t>ACTIVE</t>
        </is>
      </c>
      <c r="H520" s="57" t="n">
        <v>875000</v>
      </c>
      <c r="I520" s="57" t="n">
        <v>0</v>
      </c>
      <c r="J520" s="57" t="n">
        <v>607050</v>
      </c>
      <c r="K520" s="57" t="n">
        <v>55440</v>
      </c>
      <c r="L520" s="57" t="n">
        <v>580310</v>
      </c>
      <c r="M520" s="57" t="n">
        <v>435602.6</v>
      </c>
      <c r="N520" s="58" t="n">
        <v>0.7506</v>
      </c>
      <c r="O520" s="57" t="n">
        <v>656775</v>
      </c>
      <c r="P520" s="57" t="n">
        <v>49725</v>
      </c>
      <c r="Q520" s="57" t="n">
        <v>-17691.96</v>
      </c>
      <c r="R520" s="57" t="n">
        <v>0</v>
      </c>
      <c r="S520" s="57" t="n">
        <v>49725</v>
      </c>
      <c r="T520" s="57" t="n">
        <v>238897.4</v>
      </c>
      <c r="U520" s="58" t="n">
        <v>0.3542</v>
      </c>
      <c r="V520" s="57" t="n">
        <v>294690</v>
      </c>
      <c r="W520" s="58" t="n">
        <v>0.3368</v>
      </c>
      <c r="X520" s="58" t="n">
        <v>0.3368</v>
      </c>
      <c r="Y520" s="58" t="n">
        <v>-0.0174</v>
      </c>
      <c r="Z520" s="57" t="n">
        <v>67450</v>
      </c>
      <c r="AA520" s="57" t="n">
        <v>551610</v>
      </c>
      <c r="AB520" s="56" t="inlineStr">
        <is>
          <t>TRUE</t>
        </is>
      </c>
      <c r="AC520" s="56" t="inlineStr">
        <is>
          <t>TRUE</t>
        </is>
      </c>
      <c r="AD520" s="57" t="n">
        <v>134006.9</v>
      </c>
      <c r="AE520" s="57" t="n">
        <v>250113.76</v>
      </c>
      <c r="AF520" s="57" t="n">
        <v>51481.94</v>
      </c>
      <c r="AG520" s="57" t="n">
        <v>0</v>
      </c>
      <c r="AH520" s="57" t="n">
        <v>0</v>
      </c>
    </row>
    <row r="521">
      <c r="A521" s="56" t="inlineStr">
        <is>
          <t>2026-06-17</t>
        </is>
      </c>
      <c r="B521" s="56" t="inlineStr">
        <is>
          <t>1794757</t>
        </is>
      </c>
      <c r="C521" s="56" t="inlineStr">
        <is>
          <t>MF.2024.906 Shamrock Elementary LGI Classrooms</t>
        </is>
      </c>
      <c r="D521" s="56" t="inlineStr">
        <is>
          <t>MF</t>
        </is>
      </c>
      <c r="E521" s="56" t="inlineStr">
        <is>
          <t>Dustin Hurt</t>
        </is>
      </c>
      <c r="F521" s="56" t="inlineStr">
        <is>
          <t>LTB Construction, Inc.</t>
        </is>
      </c>
      <c r="G521" s="56" t="inlineStr">
        <is>
          <t>ACTIVE</t>
        </is>
      </c>
      <c r="H521" s="57" t="n">
        <v>8830</v>
      </c>
      <c r="I521" s="57" t="n">
        <v>0</v>
      </c>
      <c r="J521" s="57" t="n">
        <v>8830</v>
      </c>
      <c r="K521" s="57" t="n">
        <v>8830</v>
      </c>
      <c r="L521" s="57" t="n">
        <v>6640</v>
      </c>
      <c r="M521" s="57" t="n">
        <v>2612.75</v>
      </c>
      <c r="N521" s="58" t="n">
        <v>0.3935</v>
      </c>
      <c r="O521" s="57" t="n">
        <v>3474.61</v>
      </c>
      <c r="P521" s="57" t="n">
        <v>-5355.4</v>
      </c>
      <c r="Q521" s="57" t="n">
        <v>-5355.51</v>
      </c>
      <c r="R521" s="57" t="n">
        <v>5355.4</v>
      </c>
      <c r="S521" s="57" t="n">
        <v>0</v>
      </c>
      <c r="T521" s="57" t="n">
        <v>6217.25</v>
      </c>
      <c r="U521" s="58" t="n">
        <v>0.7040999999999999</v>
      </c>
      <c r="V521" s="57" t="n">
        <v>2190</v>
      </c>
      <c r="W521" s="58" t="n">
        <v>0.248</v>
      </c>
      <c r="X521" s="58" t="n">
        <v>0.248</v>
      </c>
      <c r="Y521" s="58" t="n">
        <v>-0.4561</v>
      </c>
      <c r="Z521" s="57" t="n">
        <v>0</v>
      </c>
      <c r="AA521" s="57" t="n">
        <v>0</v>
      </c>
      <c r="AB521" s="56" t="inlineStr">
        <is>
          <t>TRUE</t>
        </is>
      </c>
      <c r="AC521" s="56" t="inlineStr">
        <is>
          <t>TRUE</t>
        </is>
      </c>
      <c r="AD521" s="57" t="n">
        <v>178.75</v>
      </c>
      <c r="AE521" s="57" t="n">
        <v>0</v>
      </c>
      <c r="AF521" s="57" t="n">
        <v>0</v>
      </c>
      <c r="AG521" s="57" t="n">
        <v>0</v>
      </c>
      <c r="AH521" s="57" t="n">
        <v>2434</v>
      </c>
    </row>
    <row r="522">
      <c r="A522" s="56" t="inlineStr">
        <is>
          <t>2026-06-17</t>
        </is>
      </c>
      <c r="B522" s="56" t="inlineStr">
        <is>
          <t>1787241</t>
        </is>
      </c>
      <c r="C522" s="56" t="inlineStr">
        <is>
          <t>DS.2024.1346 10660 Pete Dye Ridge</t>
        </is>
      </c>
      <c r="D522" s="56" t="inlineStr">
        <is>
          <t>DW</t>
        </is>
      </c>
      <c r="E522" s="56" t="inlineStr">
        <is>
          <t>(Unassigned)</t>
        </is>
      </c>
      <c r="F522" s="56" t="inlineStr">
        <is>
          <t>Promasters Drywall and Painting (Brian Figueroa)</t>
        </is>
      </c>
      <c r="G522" s="56" t="inlineStr">
        <is>
          <t>ACTIVE</t>
        </is>
      </c>
      <c r="H522" s="57" t="n">
        <v>1229.28</v>
      </c>
      <c r="I522" s="57" t="n">
        <v>0</v>
      </c>
      <c r="J522" s="57" t="n">
        <v>1229.28</v>
      </c>
      <c r="K522" s="57" t="n">
        <v>1315.33</v>
      </c>
      <c r="L522" s="57" t="n">
        <v>0</v>
      </c>
      <c r="M522" s="57" t="n">
        <v>717.6</v>
      </c>
      <c r="N522" s="58" t="n">
        <v>0</v>
      </c>
      <c r="O522" s="57" t="n">
        <v>0</v>
      </c>
      <c r="P522" s="57" t="n">
        <v>-1229.28</v>
      </c>
      <c r="Q522" s="57" t="n">
        <v>0</v>
      </c>
      <c r="R522" s="57" t="n">
        <v>1229.28</v>
      </c>
      <c r="S522" s="57" t="n">
        <v>0</v>
      </c>
      <c r="T522" s="57" t="n">
        <v>511.68</v>
      </c>
      <c r="U522" s="58" t="n">
        <v>0.4162</v>
      </c>
      <c r="V522" s="57" t="n">
        <v>1229.28</v>
      </c>
      <c r="W522" s="58" t="n">
        <v>1</v>
      </c>
      <c r="X522" s="58" t="n">
        <v>0</v>
      </c>
      <c r="Y522" s="58" t="n">
        <v>0</v>
      </c>
      <c r="Z522" s="57" t="n">
        <v>0</v>
      </c>
      <c r="AA522" s="57" t="n">
        <v>-86.05</v>
      </c>
      <c r="AB522" s="56" t="inlineStr">
        <is>
          <t>FALSE</t>
        </is>
      </c>
      <c r="AC522" s="56" t="inlineStr">
        <is>
          <t>FALSE</t>
        </is>
      </c>
      <c r="AD522" s="57" t="n">
        <v>717.6</v>
      </c>
      <c r="AE522" s="57" t="n">
        <v>0</v>
      </c>
      <c r="AF522" s="57" t="n">
        <v>0</v>
      </c>
      <c r="AG522" s="57" t="n">
        <v>0</v>
      </c>
      <c r="AH522" s="57" t="n">
        <v>0</v>
      </c>
    </row>
    <row r="523">
      <c r="A523" s="56" t="inlineStr">
        <is>
          <t>2026-06-17</t>
        </is>
      </c>
      <c r="B523" s="56" t="inlineStr">
        <is>
          <t>1779490</t>
        </is>
      </c>
      <c r="C523" s="56" t="inlineStr">
        <is>
          <t>MF.2024.903 Mirka Office Buildout</t>
        </is>
      </c>
      <c r="D523" s="56" t="inlineStr">
        <is>
          <t>MF</t>
        </is>
      </c>
      <c r="E523" s="56" t="inlineStr">
        <is>
          <t>Cole Garriott</t>
        </is>
      </c>
      <c r="F523" s="56" t="inlineStr">
        <is>
          <t>DEEM, LLC</t>
        </is>
      </c>
      <c r="G523" s="56" t="inlineStr">
        <is>
          <t>ACTIVE</t>
        </is>
      </c>
      <c r="H523" s="57" t="n">
        <v>175330</v>
      </c>
      <c r="I523" s="57" t="n">
        <v>4930</v>
      </c>
      <c r="J523" s="57" t="n">
        <v>175330</v>
      </c>
      <c r="K523" s="57" t="n">
        <v>175330</v>
      </c>
      <c r="L523" s="57" t="n">
        <v>62924.02</v>
      </c>
      <c r="M523" s="57" t="n">
        <v>62924.02</v>
      </c>
      <c r="N523" s="58" t="n">
        <v>1</v>
      </c>
      <c r="O523" s="57" t="n">
        <v>175330</v>
      </c>
      <c r="P523" s="57" t="n">
        <v>0</v>
      </c>
      <c r="Q523" s="57" t="n">
        <v>0</v>
      </c>
      <c r="R523" s="57" t="n">
        <v>0</v>
      </c>
      <c r="S523" s="57" t="n">
        <v>0</v>
      </c>
      <c r="T523" s="57" t="n">
        <v>112405.98</v>
      </c>
      <c r="U523" s="58" t="n">
        <v>0.6411</v>
      </c>
      <c r="V523" s="57" t="n">
        <v>112405.98</v>
      </c>
      <c r="W523" s="58" t="n">
        <v>0.6411</v>
      </c>
      <c r="X523" s="58" t="n">
        <v>0.6411</v>
      </c>
      <c r="Y523" s="58" t="n">
        <v>0</v>
      </c>
      <c r="Z523" s="57" t="n">
        <v>0</v>
      </c>
      <c r="AA523" s="57" t="n">
        <v>0</v>
      </c>
      <c r="AB523" s="56" t="inlineStr">
        <is>
          <t>TRUE</t>
        </is>
      </c>
      <c r="AC523" s="56" t="inlineStr">
        <is>
          <t>TRUE</t>
        </is>
      </c>
      <c r="AD523" s="57" t="n">
        <v>38183.49</v>
      </c>
      <c r="AE523" s="57" t="n">
        <v>24224.59</v>
      </c>
      <c r="AF523" s="57" t="n">
        <v>515.9400000000001</v>
      </c>
      <c r="AG523" s="57" t="n">
        <v>0</v>
      </c>
      <c r="AH523" s="57" t="n">
        <v>0</v>
      </c>
    </row>
    <row r="524">
      <c r="A524" s="56" t="inlineStr">
        <is>
          <t>2026-06-17</t>
        </is>
      </c>
      <c r="B524" s="56" t="inlineStr">
        <is>
          <t>1779189</t>
        </is>
      </c>
      <c r="C524" s="56" t="inlineStr">
        <is>
          <t>MF.2024.927 Jeffersonian Apartments</t>
        </is>
      </c>
      <c r="D524" s="56" t="inlineStr">
        <is>
          <t>MF</t>
        </is>
      </c>
      <c r="E524" s="56" t="inlineStr">
        <is>
          <t>Ben Garza</t>
        </is>
      </c>
      <c r="F524" s="56" t="inlineStr">
        <is>
          <t>Stenz Corp</t>
        </is>
      </c>
      <c r="G524" s="56" t="inlineStr">
        <is>
          <t>ACTIVE</t>
        </is>
      </c>
      <c r="H524" s="57" t="n">
        <v>461337.65</v>
      </c>
      <c r="I524" s="57" t="n">
        <v>6337.65</v>
      </c>
      <c r="J524" s="57" t="n">
        <v>461337.65</v>
      </c>
      <c r="K524" s="57" t="n">
        <v>415203.89</v>
      </c>
      <c r="L524" s="57" t="n">
        <v>337818.47</v>
      </c>
      <c r="M524" s="57" t="n">
        <v>337818.47</v>
      </c>
      <c r="N524" s="58" t="n">
        <v>1</v>
      </c>
      <c r="O524" s="57" t="n">
        <v>461337.65</v>
      </c>
      <c r="P524" s="57" t="n">
        <v>-0</v>
      </c>
      <c r="Q524" s="57" t="n">
        <v>-0</v>
      </c>
      <c r="R524" s="57" t="n">
        <v>0</v>
      </c>
      <c r="S524" s="57" t="n">
        <v>0</v>
      </c>
      <c r="T524" s="57" t="n">
        <v>123519.18</v>
      </c>
      <c r="U524" s="58" t="n">
        <v>0.2677</v>
      </c>
      <c r="V524" s="57" t="n">
        <v>123519.18</v>
      </c>
      <c r="W524" s="58" t="n">
        <v>0.2677</v>
      </c>
      <c r="X524" s="58" t="n">
        <v>0.2677</v>
      </c>
      <c r="Y524" s="58" t="n">
        <v>-0</v>
      </c>
      <c r="Z524" s="57" t="n">
        <v>0</v>
      </c>
      <c r="AA524" s="57" t="n">
        <v>46133.76</v>
      </c>
      <c r="AB524" s="56" t="inlineStr">
        <is>
          <t>TRUE</t>
        </is>
      </c>
      <c r="AC524" s="56" t="inlineStr">
        <is>
          <t>TRUE</t>
        </is>
      </c>
      <c r="AD524" s="57" t="n">
        <v>198310.52</v>
      </c>
      <c r="AE524" s="57" t="n">
        <v>138912.2</v>
      </c>
      <c r="AF524" s="57" t="n">
        <v>0</v>
      </c>
      <c r="AG524" s="57" t="n">
        <v>595.75</v>
      </c>
      <c r="AH524" s="57" t="n">
        <v>0</v>
      </c>
    </row>
    <row r="525">
      <c r="A525" s="56" t="inlineStr">
        <is>
          <t>2026-06-17</t>
        </is>
      </c>
      <c r="B525" s="56" t="inlineStr">
        <is>
          <t>1772287</t>
        </is>
      </c>
      <c r="C525" s="56" t="inlineStr">
        <is>
          <t>DS.2024 8503 N 600 W Fountaintown QUOTE</t>
        </is>
      </c>
      <c r="D525" s="56" t="inlineStr">
        <is>
          <t>DW</t>
        </is>
      </c>
      <c r="E525" s="56" t="inlineStr">
        <is>
          <t>(Unassigned)</t>
        </is>
      </c>
      <c r="F525" s="56" t="inlineStr">
        <is>
          <t>TC Indy</t>
        </is>
      </c>
      <c r="G525" s="56" t="inlineStr">
        <is>
          <t>ACTIVE</t>
        </is>
      </c>
      <c r="H525" s="57" t="n">
        <v>2031.12</v>
      </c>
      <c r="I525" s="57" t="n">
        <v>0</v>
      </c>
      <c r="J525" s="57" t="n">
        <v>0</v>
      </c>
      <c r="K525" s="57" t="n">
        <v>0</v>
      </c>
      <c r="L525" s="57" t="n">
        <v>0</v>
      </c>
      <c r="M525" s="57" t="n">
        <v>0</v>
      </c>
      <c r="N525" s="58" t="n">
        <v>0</v>
      </c>
      <c r="O525" s="57" t="n">
        <v>0</v>
      </c>
      <c r="P525" s="57" t="n">
        <v>0</v>
      </c>
      <c r="Q525" s="57" t="n">
        <v>0</v>
      </c>
      <c r="R525" s="57" t="n">
        <v>0</v>
      </c>
      <c r="S525" s="57" t="n">
        <v>0</v>
      </c>
      <c r="T525" s="57" t="n">
        <v>0</v>
      </c>
      <c r="U525" s="58" t="n">
        <v>0</v>
      </c>
      <c r="V525" s="57" t="n">
        <v>2031.12</v>
      </c>
      <c r="W525" s="58" t="n">
        <v>1</v>
      </c>
      <c r="X525" s="58" t="n">
        <v>0</v>
      </c>
      <c r="Y525" s="58" t="n">
        <v>0</v>
      </c>
      <c r="Z525" s="57" t="n">
        <v>0</v>
      </c>
      <c r="AA525" s="57" t="n">
        <v>0</v>
      </c>
      <c r="AB525" s="56" t="inlineStr">
        <is>
          <t>FALSE</t>
        </is>
      </c>
      <c r="AC525" s="56" t="inlineStr">
        <is>
          <t>FALSE</t>
        </is>
      </c>
      <c r="AD525" s="57" t="n">
        <v>0</v>
      </c>
      <c r="AE525" s="57" t="n">
        <v>0</v>
      </c>
      <c r="AF525" s="57" t="n">
        <v>0</v>
      </c>
      <c r="AG525" s="57" t="n">
        <v>0</v>
      </c>
      <c r="AH525" s="57" t="n">
        <v>0</v>
      </c>
    </row>
    <row r="526">
      <c r="A526" s="56" t="inlineStr">
        <is>
          <t>2026-06-17</t>
        </is>
      </c>
      <c r="B526" s="56" t="inlineStr">
        <is>
          <t>1735717</t>
        </is>
      </c>
      <c r="C526" s="56" t="inlineStr">
        <is>
          <t>1234.567 Test Job</t>
        </is>
      </c>
      <c r="D526" s="56" t="inlineStr">
        <is>
          <t>UN</t>
        </is>
      </c>
      <c r="E526" s="56" t="inlineStr">
        <is>
          <t>(Unassigned)</t>
        </is>
      </c>
      <c r="F526" s="56" t="inlineStr">
        <is>
          <t>Sample Client</t>
        </is>
      </c>
      <c r="G526" s="56" t="inlineStr">
        <is>
          <t>ACTIVE</t>
        </is>
      </c>
      <c r="H526" s="57" t="n">
        <v>1</v>
      </c>
      <c r="I526" s="57" t="n">
        <v>0</v>
      </c>
      <c r="J526" s="57" t="n">
        <v>0</v>
      </c>
      <c r="K526" s="57" t="n">
        <v>0</v>
      </c>
      <c r="L526" s="57" t="n">
        <v>2</v>
      </c>
      <c r="M526" s="57" t="n">
        <v>10</v>
      </c>
      <c r="N526" s="58" t="n">
        <v>5</v>
      </c>
      <c r="O526" s="57" t="n">
        <v>5</v>
      </c>
      <c r="P526" s="57" t="n">
        <v>5</v>
      </c>
      <c r="Q526" s="57" t="n">
        <v>1</v>
      </c>
      <c r="R526" s="57" t="n">
        <v>0</v>
      </c>
      <c r="S526" s="57" t="n">
        <v>5</v>
      </c>
      <c r="T526" s="57" t="n">
        <v>-10</v>
      </c>
      <c r="U526" s="58" t="n">
        <v>0</v>
      </c>
      <c r="V526" s="57" t="n">
        <v>-1</v>
      </c>
      <c r="W526" s="58" t="n">
        <v>-1</v>
      </c>
      <c r="X526" s="58" t="n">
        <v>-1</v>
      </c>
      <c r="Y526" s="58" t="n">
        <v>0</v>
      </c>
      <c r="Z526" s="57" t="n">
        <v>0</v>
      </c>
      <c r="AA526" s="57" t="n">
        <v>0</v>
      </c>
      <c r="AB526" s="56" t="inlineStr">
        <is>
          <t>TRUE</t>
        </is>
      </c>
      <c r="AC526" s="56" t="inlineStr">
        <is>
          <t>FALSE</t>
        </is>
      </c>
      <c r="AD526" s="57" t="n">
        <v>10</v>
      </c>
      <c r="AE526" s="57" t="n">
        <v>0</v>
      </c>
      <c r="AF526" s="57" t="n">
        <v>0</v>
      </c>
      <c r="AG526" s="57" t="n">
        <v>0</v>
      </c>
      <c r="AH526" s="57" t="n">
        <v>0</v>
      </c>
    </row>
    <row r="527">
      <c r="A527" s="56" t="inlineStr">
        <is>
          <t>2026-06-17</t>
        </is>
      </c>
      <c r="B527" s="56" t="inlineStr">
        <is>
          <t>1724469</t>
        </is>
      </c>
      <c r="C527" s="56" t="inlineStr">
        <is>
          <t>MF.2024.894 Hamilton County Jail Boiler Mechanical Pad</t>
        </is>
      </c>
      <c r="D527" s="56" t="inlineStr">
        <is>
          <t>MF</t>
        </is>
      </c>
      <c r="E527" s="56" t="inlineStr">
        <is>
          <t>Dustin Hurt</t>
        </is>
      </c>
      <c r="F527" s="56" t="inlineStr">
        <is>
          <t>DEEM, LLC</t>
        </is>
      </c>
      <c r="G527" s="56" t="inlineStr">
        <is>
          <t>ACTIVE</t>
        </is>
      </c>
      <c r="H527" s="57" t="n">
        <v>3515</v>
      </c>
      <c r="I527" s="57" t="n">
        <v>0</v>
      </c>
      <c r="J527" s="57" t="n">
        <v>3515</v>
      </c>
      <c r="K527" s="57" t="n">
        <v>3515</v>
      </c>
      <c r="L527" s="57" t="n">
        <v>2600.05</v>
      </c>
      <c r="M527" s="57" t="n">
        <v>2407.26</v>
      </c>
      <c r="N527" s="58" t="n">
        <v>0.9258999999999999</v>
      </c>
      <c r="O527" s="57" t="n">
        <v>3254.54</v>
      </c>
      <c r="P527" s="57" t="n">
        <v>-260.46</v>
      </c>
      <c r="Q527" s="57" t="n">
        <v>-260.63</v>
      </c>
      <c r="R527" s="57" t="n">
        <v>260.46</v>
      </c>
      <c r="S527" s="57" t="n">
        <v>0</v>
      </c>
      <c r="T527" s="57" t="n">
        <v>1107.74</v>
      </c>
      <c r="U527" s="58" t="n">
        <v>0.3151</v>
      </c>
      <c r="V527" s="57" t="n">
        <v>914.95</v>
      </c>
      <c r="W527" s="58" t="n">
        <v>0.2603</v>
      </c>
      <c r="X527" s="58" t="n">
        <v>0.2603</v>
      </c>
      <c r="Y527" s="58" t="n">
        <v>-0.0548</v>
      </c>
      <c r="Z527" s="57" t="n">
        <v>0</v>
      </c>
      <c r="AA527" s="57" t="n">
        <v>0</v>
      </c>
      <c r="AB527" s="56" t="inlineStr">
        <is>
          <t>TRUE</t>
        </is>
      </c>
      <c r="AC527" s="56" t="inlineStr">
        <is>
          <t>TRUE</t>
        </is>
      </c>
      <c r="AD527" s="57" t="n">
        <v>947.76</v>
      </c>
      <c r="AE527" s="57" t="n">
        <v>1459.5</v>
      </c>
      <c r="AF527" s="57" t="n">
        <v>0</v>
      </c>
      <c r="AG527" s="57" t="n">
        <v>0</v>
      </c>
      <c r="AH527" s="57" t="n">
        <v>0</v>
      </c>
    </row>
    <row r="528">
      <c r="A528" s="56" t="inlineStr">
        <is>
          <t>2026-06-17</t>
        </is>
      </c>
      <c r="B528" s="56" t="inlineStr">
        <is>
          <t>1710251</t>
        </is>
      </c>
      <c r="C528" s="56" t="inlineStr">
        <is>
          <t>MF.2024.892 The Lofts at Headwaters Park</t>
        </is>
      </c>
      <c r="D528" s="56" t="inlineStr">
        <is>
          <t>MF</t>
        </is>
      </c>
      <c r="E528" s="56" t="inlineStr">
        <is>
          <t>Ben Garza</t>
        </is>
      </c>
      <c r="F528" s="56" t="inlineStr">
        <is>
          <t>J.C. Hart Company, Inc.</t>
        </is>
      </c>
      <c r="G528" s="56" t="inlineStr">
        <is>
          <t>ACTIVE</t>
        </is>
      </c>
      <c r="H528" s="57" t="n">
        <v>4286845.96</v>
      </c>
      <c r="I528" s="57" t="n">
        <v>232955.96</v>
      </c>
      <c r="J528" s="57" t="n">
        <v>3779782.52</v>
      </c>
      <c r="K528" s="57" t="n">
        <v>3620296.13</v>
      </c>
      <c r="L528" s="57" t="n">
        <v>3615074.96</v>
      </c>
      <c r="M528" s="57" t="n">
        <v>3606896.8</v>
      </c>
      <c r="N528" s="58" t="n">
        <v>0.9977</v>
      </c>
      <c r="O528" s="57" t="n">
        <v>4276986.21</v>
      </c>
      <c r="P528" s="57" t="n">
        <v>497203.69</v>
      </c>
      <c r="Q528" s="57" t="n">
        <v>77389.73</v>
      </c>
      <c r="R528" s="57" t="n">
        <v>0</v>
      </c>
      <c r="S528" s="57" t="n">
        <v>497203.69</v>
      </c>
      <c r="T528" s="57" t="n">
        <v>592861.5600000001</v>
      </c>
      <c r="U528" s="58" t="n">
        <v>0.1412</v>
      </c>
      <c r="V528" s="57" t="n">
        <v>671771</v>
      </c>
      <c r="W528" s="58" t="n">
        <v>0.1567</v>
      </c>
      <c r="X528" s="58" t="n">
        <v>0.1567</v>
      </c>
      <c r="Y528" s="58" t="n">
        <v>0.0155</v>
      </c>
      <c r="Z528" s="57" t="n">
        <v>419975.84</v>
      </c>
      <c r="AA528" s="57" t="n">
        <v>159486.39</v>
      </c>
      <c r="AB528" s="56" t="inlineStr">
        <is>
          <t>TRUE</t>
        </is>
      </c>
      <c r="AC528" s="56" t="inlineStr">
        <is>
          <t>TRUE</t>
        </is>
      </c>
      <c r="AD528" s="57" t="n">
        <v>1397604.64</v>
      </c>
      <c r="AE528" s="57" t="n">
        <v>2096537.71</v>
      </c>
      <c r="AF528" s="57" t="n">
        <v>94647.61</v>
      </c>
      <c r="AG528" s="57" t="n">
        <v>18106.84</v>
      </c>
      <c r="AH528" s="57" t="n">
        <v>0</v>
      </c>
    </row>
    <row r="529">
      <c r="A529" s="56" t="inlineStr">
        <is>
          <t>2026-06-17</t>
        </is>
      </c>
      <c r="B529" s="56" t="inlineStr">
        <is>
          <t>1702352</t>
        </is>
      </c>
      <c r="C529" s="56" t="inlineStr">
        <is>
          <t>2025.967 Bunge Project Flex</t>
        </is>
      </c>
      <c r="D529" s="56" t="inlineStr">
        <is>
          <t>TI</t>
        </is>
      </c>
      <c r="E529" s="56" t="inlineStr">
        <is>
          <t>Ben Garza</t>
        </is>
      </c>
      <c r="F529" s="56" t="inlineStr">
        <is>
          <t>Bunge North America (East), LLC</t>
        </is>
      </c>
      <c r="G529" s="56" t="inlineStr">
        <is>
          <t>ACTIVE</t>
        </is>
      </c>
      <c r="H529" s="57" t="n">
        <v>993046</v>
      </c>
      <c r="I529" s="57" t="n">
        <v>23418</v>
      </c>
      <c r="J529" s="57" t="n">
        <v>993046</v>
      </c>
      <c r="K529" s="57" t="n">
        <v>893741.4</v>
      </c>
      <c r="L529" s="57" t="n">
        <v>452407.33</v>
      </c>
      <c r="M529" s="57" t="n">
        <v>452407.33</v>
      </c>
      <c r="N529" s="58" t="n">
        <v>1</v>
      </c>
      <c r="O529" s="57" t="n">
        <v>993046</v>
      </c>
      <c r="P529" s="57" t="n">
        <v>0</v>
      </c>
      <c r="Q529" s="57" t="n">
        <v>-0</v>
      </c>
      <c r="R529" s="57" t="n">
        <v>0</v>
      </c>
      <c r="S529" s="57" t="n">
        <v>0</v>
      </c>
      <c r="T529" s="57" t="n">
        <v>540638.67</v>
      </c>
      <c r="U529" s="58" t="n">
        <v>0.5444</v>
      </c>
      <c r="V529" s="57" t="n">
        <v>540638.67</v>
      </c>
      <c r="W529" s="58" t="n">
        <v>0.5444</v>
      </c>
      <c r="X529" s="58" t="n">
        <v>0.5444</v>
      </c>
      <c r="Y529" s="58" t="n">
        <v>-0</v>
      </c>
      <c r="Z529" s="57" t="n">
        <v>0</v>
      </c>
      <c r="AA529" s="57" t="n">
        <v>99304.60000000001</v>
      </c>
      <c r="AB529" s="56" t="inlineStr">
        <is>
          <t>TRUE</t>
        </is>
      </c>
      <c r="AC529" s="56" t="inlineStr">
        <is>
          <t>TRUE</t>
        </is>
      </c>
      <c r="AD529" s="57" t="n">
        <v>192542.09</v>
      </c>
      <c r="AE529" s="57" t="n">
        <v>245074.08</v>
      </c>
      <c r="AF529" s="57" t="n">
        <v>7945.49</v>
      </c>
      <c r="AG529" s="57" t="n">
        <v>6845.67</v>
      </c>
      <c r="AH529" s="57" t="n">
        <v>0</v>
      </c>
    </row>
    <row r="530">
      <c r="A530" s="56" t="inlineStr">
        <is>
          <t>2026-06-17</t>
        </is>
      </c>
      <c r="B530" s="56" t="inlineStr">
        <is>
          <t>1683585</t>
        </is>
      </c>
      <c r="C530" s="56" t="inlineStr">
        <is>
          <t>DS.2024.1263 5188 Brighton Dr Whitestown</t>
        </is>
      </c>
      <c r="D530" s="56" t="inlineStr">
        <is>
          <t>DW</t>
        </is>
      </c>
      <c r="E530" s="56" t="inlineStr">
        <is>
          <t>(Unassigned)</t>
        </is>
      </c>
      <c r="F530" s="56" t="inlineStr">
        <is>
          <t>Promasters Drywall and Painting (Brian Figueroa)</t>
        </is>
      </c>
      <c r="G530" s="56" t="inlineStr">
        <is>
          <t>ACTIVE</t>
        </is>
      </c>
      <c r="H530" s="57" t="n">
        <v>1759.2</v>
      </c>
      <c r="I530" s="57" t="n">
        <v>0</v>
      </c>
      <c r="J530" s="57" t="n">
        <v>1759.2</v>
      </c>
      <c r="K530" s="57" t="n">
        <v>1882.34</v>
      </c>
      <c r="L530" s="57" t="n">
        <v>0</v>
      </c>
      <c r="M530" s="57" t="n">
        <v>1068.8</v>
      </c>
      <c r="N530" s="58" t="n">
        <v>0</v>
      </c>
      <c r="O530" s="57" t="n">
        <v>0</v>
      </c>
      <c r="P530" s="57" t="n">
        <v>-1759.2</v>
      </c>
      <c r="Q530" s="57" t="n">
        <v>0</v>
      </c>
      <c r="R530" s="57" t="n">
        <v>1759.2</v>
      </c>
      <c r="S530" s="57" t="n">
        <v>0</v>
      </c>
      <c r="T530" s="57" t="n">
        <v>690.4</v>
      </c>
      <c r="U530" s="58" t="n">
        <v>0.3925</v>
      </c>
      <c r="V530" s="57" t="n">
        <v>1759.2</v>
      </c>
      <c r="W530" s="58" t="n">
        <v>1</v>
      </c>
      <c r="X530" s="58" t="n">
        <v>0</v>
      </c>
      <c r="Y530" s="58" t="n">
        <v>0</v>
      </c>
      <c r="Z530" s="57" t="n">
        <v>0</v>
      </c>
      <c r="AA530" s="57" t="n">
        <v>-123.14</v>
      </c>
      <c r="AB530" s="56" t="inlineStr">
        <is>
          <t>FALSE</t>
        </is>
      </c>
      <c r="AC530" s="56" t="inlineStr">
        <is>
          <t>FALSE</t>
        </is>
      </c>
      <c r="AD530" s="57" t="n">
        <v>1068.8</v>
      </c>
      <c r="AE530" s="57" t="n">
        <v>0</v>
      </c>
      <c r="AF530" s="57" t="n">
        <v>0</v>
      </c>
      <c r="AG530" s="57" t="n">
        <v>0</v>
      </c>
      <c r="AH530" s="57" t="n">
        <v>0</v>
      </c>
    </row>
    <row r="531">
      <c r="A531" s="56" t="inlineStr">
        <is>
          <t>2026-06-17</t>
        </is>
      </c>
      <c r="B531" s="56" t="inlineStr">
        <is>
          <t>1669494</t>
        </is>
      </c>
      <c r="C531" s="56" t="inlineStr">
        <is>
          <t>2024.912 Upland Columbus</t>
        </is>
      </c>
      <c r="D531" s="56" t="inlineStr">
        <is>
          <t>TI</t>
        </is>
      </c>
      <c r="E531" s="56" t="inlineStr">
        <is>
          <t>Tommy Cohoat</t>
        </is>
      </c>
      <c r="F531" s="56" t="inlineStr">
        <is>
          <t>Bischoff Construction, LLC</t>
        </is>
      </c>
      <c r="G531" s="56" t="inlineStr">
        <is>
          <t>ACTIVE</t>
        </is>
      </c>
      <c r="H531" s="57" t="n">
        <v>116545</v>
      </c>
      <c r="I531" s="57" t="n">
        <v>10820</v>
      </c>
      <c r="J531" s="57" t="n">
        <v>116545</v>
      </c>
      <c r="K531" s="57" t="n">
        <v>114525</v>
      </c>
      <c r="L531" s="57" t="n">
        <v>73224</v>
      </c>
      <c r="M531" s="57" t="n">
        <v>72786.47</v>
      </c>
      <c r="N531" s="58" t="n">
        <v>0.994</v>
      </c>
      <c r="O531" s="57" t="n">
        <v>115845.73</v>
      </c>
      <c r="P531" s="57" t="n">
        <v>-699.27</v>
      </c>
      <c r="Q531" s="57" t="n">
        <v>-696.38</v>
      </c>
      <c r="R531" s="57" t="n">
        <v>699.27</v>
      </c>
      <c r="S531" s="57" t="n">
        <v>0</v>
      </c>
      <c r="T531" s="57" t="n">
        <v>43758.53</v>
      </c>
      <c r="U531" s="58" t="n">
        <v>0.3755</v>
      </c>
      <c r="V531" s="57" t="n">
        <v>43321</v>
      </c>
      <c r="W531" s="58" t="n">
        <v>0.3717</v>
      </c>
      <c r="X531" s="58" t="n">
        <v>0.3717</v>
      </c>
      <c r="Y531" s="58" t="n">
        <v>-0.0038</v>
      </c>
      <c r="Z531" s="57" t="n">
        <v>0</v>
      </c>
      <c r="AA531" s="57" t="n">
        <v>2020</v>
      </c>
      <c r="AB531" s="56" t="inlineStr">
        <is>
          <t>TRUE</t>
        </is>
      </c>
      <c r="AC531" s="56" t="inlineStr">
        <is>
          <t>TRUE</t>
        </is>
      </c>
      <c r="AD531" s="57" t="n">
        <v>36239.68</v>
      </c>
      <c r="AE531" s="57" t="n">
        <v>36546.79</v>
      </c>
      <c r="AF531" s="57" t="n">
        <v>0</v>
      </c>
      <c r="AG531" s="57" t="n">
        <v>0</v>
      </c>
      <c r="AH531" s="57" t="n">
        <v>0</v>
      </c>
    </row>
    <row r="532">
      <c r="A532" s="56" t="inlineStr">
        <is>
          <t>2026-06-17</t>
        </is>
      </c>
      <c r="B532" s="56" t="inlineStr">
        <is>
          <t>1658900</t>
        </is>
      </c>
      <c r="C532" s="56" t="inlineStr">
        <is>
          <t>DS.2024.1234 Pro Masters</t>
        </is>
      </c>
      <c r="D532" s="56" t="inlineStr">
        <is>
          <t>DW</t>
        </is>
      </c>
      <c r="E532" s="56" t="inlineStr">
        <is>
          <t>(Unassigned)</t>
        </is>
      </c>
      <c r="F532" s="56" t="inlineStr">
        <is>
          <t>Promasters Drywall and Painting (Brian Figueroa)</t>
        </is>
      </c>
      <c r="G532" s="56" t="inlineStr">
        <is>
          <t>ACTIVE</t>
        </is>
      </c>
      <c r="H532" s="57" t="n">
        <v>2590.45</v>
      </c>
      <c r="I532" s="57" t="n">
        <v>0</v>
      </c>
      <c r="J532" s="57" t="n">
        <v>2590.45</v>
      </c>
      <c r="K532" s="57" t="n">
        <v>2771.78</v>
      </c>
      <c r="L532" s="57" t="n">
        <v>0</v>
      </c>
      <c r="M532" s="57" t="n">
        <v>1898.89</v>
      </c>
      <c r="N532" s="58" t="n">
        <v>0</v>
      </c>
      <c r="O532" s="57" t="n">
        <v>0</v>
      </c>
      <c r="P532" s="57" t="n">
        <v>-2590.45</v>
      </c>
      <c r="Q532" s="57" t="n">
        <v>0</v>
      </c>
      <c r="R532" s="57" t="n">
        <v>2590.45</v>
      </c>
      <c r="S532" s="57" t="n">
        <v>0</v>
      </c>
      <c r="T532" s="57" t="n">
        <v>691.5599999999999</v>
      </c>
      <c r="U532" s="58" t="n">
        <v>0.267</v>
      </c>
      <c r="V532" s="57" t="n">
        <v>2590.45</v>
      </c>
      <c r="W532" s="58" t="n">
        <v>1</v>
      </c>
      <c r="X532" s="58" t="n">
        <v>0</v>
      </c>
      <c r="Y532" s="58" t="n">
        <v>0</v>
      </c>
      <c r="Z532" s="57" t="n">
        <v>0</v>
      </c>
      <c r="AA532" s="57" t="n">
        <v>-181.33</v>
      </c>
      <c r="AB532" s="56" t="inlineStr">
        <is>
          <t>FALSE</t>
        </is>
      </c>
      <c r="AC532" s="56" t="inlineStr">
        <is>
          <t>FALSE</t>
        </is>
      </c>
      <c r="AD532" s="57" t="n">
        <v>1898.89</v>
      </c>
      <c r="AE532" s="57" t="n">
        <v>0</v>
      </c>
      <c r="AF532" s="57" t="n">
        <v>0</v>
      </c>
      <c r="AG532" s="57" t="n">
        <v>0</v>
      </c>
      <c r="AH532" s="57" t="n">
        <v>0</v>
      </c>
    </row>
    <row r="533">
      <c r="A533" s="56" t="inlineStr">
        <is>
          <t>2026-06-17</t>
        </is>
      </c>
      <c r="B533" s="56" t="inlineStr">
        <is>
          <t>1607003</t>
        </is>
      </c>
      <c r="C533" s="56" t="inlineStr">
        <is>
          <t>MF.2024.928 Holliday Farms Assisted Living - Zionsville</t>
        </is>
      </c>
      <c r="D533" s="56" t="inlineStr">
        <is>
          <t>MF</t>
        </is>
      </c>
      <c r="E533" s="56" t="inlineStr">
        <is>
          <t>Ben Garza</t>
        </is>
      </c>
      <c r="F533" s="56" t="inlineStr">
        <is>
          <t>Avenue Construction, Inc.</t>
        </is>
      </c>
      <c r="G533" s="56" t="inlineStr">
        <is>
          <t>ACTIVE</t>
        </is>
      </c>
      <c r="H533" s="57" t="n">
        <v>2731383.75</v>
      </c>
      <c r="I533" s="57" t="n">
        <v>286258.75</v>
      </c>
      <c r="J533" s="57" t="n">
        <v>2731383.75</v>
      </c>
      <c r="K533" s="57" t="n">
        <v>2339017.44</v>
      </c>
      <c r="L533" s="57" t="n">
        <v>1915724.8</v>
      </c>
      <c r="M533" s="57" t="n">
        <v>1918484.8</v>
      </c>
      <c r="N533" s="58" t="n">
        <v>1.0014</v>
      </c>
      <c r="O533" s="57" t="n">
        <v>2735207.69</v>
      </c>
      <c r="P533" s="57" t="n">
        <v>3823.94</v>
      </c>
      <c r="Q533" s="57" t="n">
        <v>0</v>
      </c>
      <c r="R533" s="57" t="n">
        <v>0</v>
      </c>
      <c r="S533" s="57" t="n">
        <v>3823.94</v>
      </c>
      <c r="T533" s="57" t="n">
        <v>812898.95</v>
      </c>
      <c r="U533" s="58" t="n">
        <v>0.2976</v>
      </c>
      <c r="V533" s="57" t="n">
        <v>815658.95</v>
      </c>
      <c r="W533" s="58" t="n">
        <v>0.2986</v>
      </c>
      <c r="X533" s="58" t="n">
        <v>0.2986</v>
      </c>
      <c r="Y533" s="58" t="n">
        <v>0.001</v>
      </c>
      <c r="Z533" s="57" t="n">
        <v>0</v>
      </c>
      <c r="AA533" s="57" t="n">
        <v>392366.31</v>
      </c>
      <c r="AB533" s="56" t="inlineStr">
        <is>
          <t>TRUE</t>
        </is>
      </c>
      <c r="AC533" s="56" t="inlineStr">
        <is>
          <t>TRUE</t>
        </is>
      </c>
      <c r="AD533" s="57" t="n">
        <v>789959.62</v>
      </c>
      <c r="AE533" s="57" t="n">
        <v>1088864.1</v>
      </c>
      <c r="AF533" s="57" t="n">
        <v>38069.21</v>
      </c>
      <c r="AG533" s="57" t="n">
        <v>1591.87</v>
      </c>
      <c r="AH533" s="57" t="n">
        <v>0</v>
      </c>
    </row>
    <row r="534">
      <c r="A534" s="56" t="inlineStr">
        <is>
          <t>2026-06-17</t>
        </is>
      </c>
      <c r="B534" s="56" t="inlineStr">
        <is>
          <t>1577552</t>
        </is>
      </c>
      <c r="C534" s="56" t="inlineStr">
        <is>
          <t>DS.2023.1141 Latitude Apartments</t>
        </is>
      </c>
      <c r="D534" s="56" t="inlineStr">
        <is>
          <t>DW</t>
        </is>
      </c>
      <c r="E534" s="56" t="inlineStr">
        <is>
          <t>(Unassigned)</t>
        </is>
      </c>
      <c r="F534" s="56" t="inlineStr">
        <is>
          <t>Velocity Builders</t>
        </is>
      </c>
      <c r="G534" s="56" t="inlineStr">
        <is>
          <t>ACTIVE</t>
        </is>
      </c>
      <c r="H534" s="57" t="n">
        <v>844352.61</v>
      </c>
      <c r="I534" s="57" t="n">
        <v>0</v>
      </c>
      <c r="J534" s="57" t="n">
        <v>651215.03</v>
      </c>
      <c r="K534" s="57" t="n">
        <v>651215.03</v>
      </c>
      <c r="L534" s="57" t="n">
        <v>0</v>
      </c>
      <c r="M534" s="57" t="n">
        <v>346117.87</v>
      </c>
      <c r="N534" s="58" t="n">
        <v>0</v>
      </c>
      <c r="O534" s="57" t="n">
        <v>0</v>
      </c>
      <c r="P534" s="57" t="n">
        <v>-651215.03</v>
      </c>
      <c r="Q534" s="57" t="n">
        <v>0</v>
      </c>
      <c r="R534" s="57" t="n">
        <v>651215.03</v>
      </c>
      <c r="S534" s="57" t="n">
        <v>0</v>
      </c>
      <c r="T534" s="57" t="n">
        <v>305097.16</v>
      </c>
      <c r="U534" s="58" t="n">
        <v>0.4685</v>
      </c>
      <c r="V534" s="57" t="n">
        <v>844352.61</v>
      </c>
      <c r="W534" s="58" t="n">
        <v>1</v>
      </c>
      <c r="X534" s="58" t="n">
        <v>0</v>
      </c>
      <c r="Y534" s="58" t="n">
        <v>0</v>
      </c>
      <c r="Z534" s="57" t="n">
        <v>0</v>
      </c>
      <c r="AA534" s="57" t="n">
        <v>0</v>
      </c>
      <c r="AB534" s="56" t="inlineStr">
        <is>
          <t>FALSE</t>
        </is>
      </c>
      <c r="AC534" s="56" t="inlineStr">
        <is>
          <t>FALSE</t>
        </is>
      </c>
      <c r="AD534" s="57" t="n">
        <v>336198.25</v>
      </c>
      <c r="AE534" s="57" t="n">
        <v>9080</v>
      </c>
      <c r="AF534" s="57" t="n">
        <v>0</v>
      </c>
      <c r="AG534" s="57" t="n">
        <v>839.62</v>
      </c>
      <c r="AH534" s="57" t="n">
        <v>0</v>
      </c>
    </row>
    <row r="535">
      <c r="A535" s="56" t="inlineStr">
        <is>
          <t>2026-06-17</t>
        </is>
      </c>
      <c r="B535" s="56" t="inlineStr">
        <is>
          <t>1551637</t>
        </is>
      </c>
      <c r="C535" s="56" t="inlineStr">
        <is>
          <t>2023.847 Ireland Home</t>
        </is>
      </c>
      <c r="D535" s="56" t="inlineStr">
        <is>
          <t>TI</t>
        </is>
      </c>
      <c r="E535" s="56" t="inlineStr">
        <is>
          <t>Tommy Cohoat</t>
        </is>
      </c>
      <c r="F535" s="56" t="inlineStr">
        <is>
          <t>Bischoff Construction, LLC</t>
        </is>
      </c>
      <c r="G535" s="56" t="inlineStr">
        <is>
          <t>ACTIVE</t>
        </is>
      </c>
      <c r="H535" s="57" t="n">
        <v>52636.92</v>
      </c>
      <c r="I535" s="57" t="n">
        <v>19160</v>
      </c>
      <c r="J535" s="57" t="n">
        <v>52636.92</v>
      </c>
      <c r="K535" s="57" t="n">
        <v>52636.92</v>
      </c>
      <c r="L535" s="57" t="n">
        <v>36345</v>
      </c>
      <c r="M535" s="57" t="n">
        <v>40426.66</v>
      </c>
      <c r="N535" s="58" t="n">
        <v>1.1123</v>
      </c>
      <c r="O535" s="57" t="n">
        <v>58548.05</v>
      </c>
      <c r="P535" s="57" t="n">
        <v>5911.13</v>
      </c>
      <c r="Q535" s="57" t="n">
        <v>0</v>
      </c>
      <c r="R535" s="57" t="n">
        <v>0</v>
      </c>
      <c r="S535" s="57" t="n">
        <v>5911.13</v>
      </c>
      <c r="T535" s="57" t="n">
        <v>12210.26</v>
      </c>
      <c r="U535" s="58" t="n">
        <v>0.232</v>
      </c>
      <c r="V535" s="57" t="n">
        <v>16291.92</v>
      </c>
      <c r="W535" s="58" t="n">
        <v>0.3095</v>
      </c>
      <c r="X535" s="58" t="n">
        <v>0.3095</v>
      </c>
      <c r="Y535" s="58" t="n">
        <v>0.0775</v>
      </c>
      <c r="Z535" s="57" t="n">
        <v>0</v>
      </c>
      <c r="AA535" s="57" t="n">
        <v>0</v>
      </c>
      <c r="AB535" s="56" t="inlineStr">
        <is>
          <t>TRUE</t>
        </is>
      </c>
      <c r="AC535" s="56" t="inlineStr">
        <is>
          <t>TRUE</t>
        </is>
      </c>
      <c r="AD535" s="57" t="n">
        <v>9495.23</v>
      </c>
      <c r="AE535" s="57" t="n">
        <v>30781.43</v>
      </c>
      <c r="AF535" s="57" t="n">
        <v>0</v>
      </c>
      <c r="AG535" s="57" t="n">
        <v>0</v>
      </c>
      <c r="AH535" s="57" t="n">
        <v>150</v>
      </c>
    </row>
    <row r="536">
      <c r="A536" s="56" t="inlineStr">
        <is>
          <t>2026-06-17</t>
        </is>
      </c>
      <c r="B536" s="56" t="inlineStr">
        <is>
          <t>1539188</t>
        </is>
      </c>
      <c r="C536" s="56" t="inlineStr">
        <is>
          <t>2024.874 Noblesville HS Academic Addition &amp; Renovation</t>
        </is>
      </c>
      <c r="D536" s="56" t="inlineStr">
        <is>
          <t>TI</t>
        </is>
      </c>
      <c r="E536" s="56" t="inlineStr">
        <is>
          <t>Trevor Anderson</t>
        </is>
      </c>
      <c r="F536" s="56" t="inlineStr">
        <is>
          <t>The Peterson Company, LLC</t>
        </is>
      </c>
      <c r="G536" s="56" t="inlineStr">
        <is>
          <t>ACTIVE</t>
        </is>
      </c>
      <c r="H536" s="57" t="n">
        <v>154487</v>
      </c>
      <c r="I536" s="57" t="n">
        <v>-8530</v>
      </c>
      <c r="J536" s="57" t="n">
        <v>154487</v>
      </c>
      <c r="K536" s="57" t="n">
        <v>169451</v>
      </c>
      <c r="L536" s="57" t="n">
        <v>200934.57</v>
      </c>
      <c r="M536" s="57" t="n">
        <v>200934.57</v>
      </c>
      <c r="N536" s="58" t="n">
        <v>1</v>
      </c>
      <c r="O536" s="57" t="n">
        <v>154487</v>
      </c>
      <c r="P536" s="57" t="n">
        <v>0</v>
      </c>
      <c r="Q536" s="57" t="n">
        <v>0</v>
      </c>
      <c r="R536" s="57" t="n">
        <v>0</v>
      </c>
      <c r="S536" s="57" t="n">
        <v>0</v>
      </c>
      <c r="T536" s="57" t="n">
        <v>-46447.57</v>
      </c>
      <c r="U536" s="58" t="n">
        <v>-0.3007</v>
      </c>
      <c r="V536" s="57" t="n">
        <v>-46447.57</v>
      </c>
      <c r="W536" s="58" t="n">
        <v>-0.3007</v>
      </c>
      <c r="X536" s="58" t="n">
        <v>-0.3007</v>
      </c>
      <c r="Y536" s="58" t="n">
        <v>0</v>
      </c>
      <c r="Z536" s="57" t="n">
        <v>0</v>
      </c>
      <c r="AA536" s="57" t="n">
        <v>-14964</v>
      </c>
      <c r="AB536" s="56" t="inlineStr">
        <is>
          <t>TRUE</t>
        </is>
      </c>
      <c r="AC536" s="56" t="inlineStr">
        <is>
          <t>TRUE</t>
        </is>
      </c>
      <c r="AD536" s="57" t="n">
        <v>32984.37</v>
      </c>
      <c r="AE536" s="57" t="n">
        <v>148658.04</v>
      </c>
      <c r="AF536" s="57" t="n">
        <v>15305.47</v>
      </c>
      <c r="AG536" s="57" t="n">
        <v>604.03</v>
      </c>
      <c r="AH536" s="57" t="n">
        <v>3382.66</v>
      </c>
    </row>
    <row r="537">
      <c r="A537" s="56" t="inlineStr">
        <is>
          <t>2026-06-17</t>
        </is>
      </c>
      <c r="B537" s="56" t="inlineStr">
        <is>
          <t>1536145</t>
        </is>
      </c>
      <c r="C537" s="56" t="inlineStr">
        <is>
          <t>MF.2023.840 Paint at 804 14th Ave Nashville</t>
        </is>
      </c>
      <c r="D537" s="56" t="inlineStr">
        <is>
          <t>MF</t>
        </is>
      </c>
      <c r="E537" s="56" t="inlineStr">
        <is>
          <t>Kelden Tyson</t>
        </is>
      </c>
      <c r="F537" s="56" t="inlineStr">
        <is>
          <t>ZMX Inc.</t>
        </is>
      </c>
      <c r="G537" s="56" t="inlineStr">
        <is>
          <t>ACTIVE</t>
        </is>
      </c>
      <c r="H537" s="57" t="n">
        <v>280782.67</v>
      </c>
      <c r="I537" s="57" t="n">
        <v>24407.67</v>
      </c>
      <c r="J537" s="57" t="n">
        <v>280782.67</v>
      </c>
      <c r="K537" s="57" t="n">
        <v>300524.51</v>
      </c>
      <c r="L537" s="57" t="n">
        <v>228212.19</v>
      </c>
      <c r="M537" s="57" t="n">
        <v>230735.13</v>
      </c>
      <c r="N537" s="58" t="n">
        <v>1.0111</v>
      </c>
      <c r="O537" s="57" t="n">
        <v>283899.36</v>
      </c>
      <c r="P537" s="57" t="n">
        <v>3116.69</v>
      </c>
      <c r="Q537" s="57" t="n">
        <v>0</v>
      </c>
      <c r="R537" s="57" t="n">
        <v>0</v>
      </c>
      <c r="S537" s="57" t="n">
        <v>3116.69</v>
      </c>
      <c r="T537" s="57" t="n">
        <v>50047.54</v>
      </c>
      <c r="U537" s="58" t="n">
        <v>0.1782</v>
      </c>
      <c r="V537" s="57" t="n">
        <v>52570.48</v>
      </c>
      <c r="W537" s="58" t="n">
        <v>0.1872</v>
      </c>
      <c r="X537" s="58" t="n">
        <v>0.1872</v>
      </c>
      <c r="Y537" s="58" t="n">
        <v>0.008999999999999999</v>
      </c>
      <c r="Z537" s="57" t="n">
        <v>0</v>
      </c>
      <c r="AA537" s="57" t="n">
        <v>-19741.84</v>
      </c>
      <c r="AB537" s="56" t="inlineStr">
        <is>
          <t>TRUE</t>
        </is>
      </c>
      <c r="AC537" s="56" t="inlineStr">
        <is>
          <t>TRUE</t>
        </is>
      </c>
      <c r="AD537" s="57" t="n">
        <v>74531.21000000001</v>
      </c>
      <c r="AE537" s="57" t="n">
        <v>156203.92</v>
      </c>
      <c r="AF537" s="57" t="n">
        <v>0</v>
      </c>
      <c r="AG537" s="57" t="n">
        <v>0</v>
      </c>
      <c r="AH537" s="57" t="n">
        <v>0</v>
      </c>
    </row>
    <row r="538">
      <c r="A538" s="56" t="inlineStr">
        <is>
          <t>2026-06-17</t>
        </is>
      </c>
      <c r="B538" s="56" t="inlineStr">
        <is>
          <t>1464707</t>
        </is>
      </c>
      <c r="C538" s="56" t="inlineStr">
        <is>
          <t>2023.816 Upland Broad Ripple</t>
        </is>
      </c>
      <c r="D538" s="56" t="inlineStr">
        <is>
          <t>TI</t>
        </is>
      </c>
      <c r="E538" s="56" t="inlineStr">
        <is>
          <t>Tommy Cohoat</t>
        </is>
      </c>
      <c r="F538" s="56" t="inlineStr">
        <is>
          <t>Bischoff Construction, LLC</t>
        </is>
      </c>
      <c r="G538" s="56" t="inlineStr">
        <is>
          <t>ACTIVE</t>
        </is>
      </c>
      <c r="H538" s="57" t="n">
        <v>14450</v>
      </c>
      <c r="I538" s="57" t="n">
        <v>0</v>
      </c>
      <c r="J538" s="57" t="n">
        <v>14450</v>
      </c>
      <c r="K538" s="57" t="n">
        <v>14450</v>
      </c>
      <c r="L538" s="57" t="n">
        <v>6350</v>
      </c>
      <c r="M538" s="57" t="n">
        <v>11521.3</v>
      </c>
      <c r="N538" s="58" t="n">
        <v>1.8144</v>
      </c>
      <c r="O538" s="57" t="n">
        <v>26218.08</v>
      </c>
      <c r="P538" s="57" t="n">
        <v>11768.08</v>
      </c>
      <c r="Q538" s="57" t="n">
        <v>0</v>
      </c>
      <c r="R538" s="57" t="n">
        <v>0</v>
      </c>
      <c r="S538" s="57" t="n">
        <v>11768.08</v>
      </c>
      <c r="T538" s="57" t="n">
        <v>2928.7</v>
      </c>
      <c r="U538" s="58" t="n">
        <v>0.2027</v>
      </c>
      <c r="V538" s="57" t="n">
        <v>8100</v>
      </c>
      <c r="W538" s="58" t="n">
        <v>0.5606</v>
      </c>
      <c r="X538" s="58" t="n">
        <v>0.5606</v>
      </c>
      <c r="Y538" s="58" t="n">
        <v>0.3579</v>
      </c>
      <c r="Z538" s="57" t="n">
        <v>0</v>
      </c>
      <c r="AA538" s="57" t="n">
        <v>0</v>
      </c>
      <c r="AB538" s="56" t="inlineStr">
        <is>
          <t>TRUE</t>
        </is>
      </c>
      <c r="AC538" s="56" t="inlineStr">
        <is>
          <t>TRUE</t>
        </is>
      </c>
      <c r="AD538" s="57" t="n">
        <v>3026.04</v>
      </c>
      <c r="AE538" s="57" t="n">
        <v>8495.26</v>
      </c>
      <c r="AF538" s="57" t="n">
        <v>0</v>
      </c>
      <c r="AG538" s="57" t="n">
        <v>0</v>
      </c>
      <c r="AH538" s="57" t="n">
        <v>0</v>
      </c>
    </row>
    <row r="539">
      <c r="A539" s="56" t="inlineStr">
        <is>
          <t>2026-06-17</t>
        </is>
      </c>
      <c r="B539" s="56" t="inlineStr">
        <is>
          <t>1461734</t>
        </is>
      </c>
      <c r="C539" s="56" t="inlineStr">
        <is>
          <t>2023.839 Hamilton County National Guard Readiness Center</t>
        </is>
      </c>
      <c r="D539" s="56" t="inlineStr">
        <is>
          <t>TI</t>
        </is>
      </c>
      <c r="E539" s="56" t="inlineStr">
        <is>
          <t>Tommy Cohoat</t>
        </is>
      </c>
      <c r="F539" s="56" t="inlineStr">
        <is>
          <t>Patterson Horth, Inc.</t>
        </is>
      </c>
      <c r="G539" s="56" t="inlineStr">
        <is>
          <t>ACTIVE</t>
        </is>
      </c>
      <c r="H539" s="57" t="n">
        <v>1538998.61</v>
      </c>
      <c r="I539" s="57" t="n">
        <v>19111.61</v>
      </c>
      <c r="J539" s="57" t="n">
        <v>1538998.61</v>
      </c>
      <c r="K539" s="57" t="n">
        <v>1431787.62</v>
      </c>
      <c r="L539" s="57" t="n">
        <v>1340800</v>
      </c>
      <c r="M539" s="57" t="n">
        <v>1462377.28</v>
      </c>
      <c r="N539" s="58" t="n">
        <v>1.0907</v>
      </c>
      <c r="O539" s="57" t="n">
        <v>1678585.78</v>
      </c>
      <c r="P539" s="57" t="n">
        <v>139587.17</v>
      </c>
      <c r="Q539" s="57" t="n">
        <v>0</v>
      </c>
      <c r="R539" s="57" t="n">
        <v>0</v>
      </c>
      <c r="S539" s="57" t="n">
        <v>139587.17</v>
      </c>
      <c r="T539" s="57" t="n">
        <v>76621.33</v>
      </c>
      <c r="U539" s="58" t="n">
        <v>0.0498</v>
      </c>
      <c r="V539" s="57" t="n">
        <v>198198.61</v>
      </c>
      <c r="W539" s="58" t="n">
        <v>0.1288</v>
      </c>
      <c r="X539" s="58" t="n">
        <v>0.1288</v>
      </c>
      <c r="Y539" s="58" t="n">
        <v>0.079</v>
      </c>
      <c r="Z539" s="57" t="n">
        <v>0</v>
      </c>
      <c r="AA539" s="57" t="n">
        <v>107210.99</v>
      </c>
      <c r="AB539" s="56" t="inlineStr">
        <is>
          <t>TRUE</t>
        </is>
      </c>
      <c r="AC539" s="56" t="inlineStr">
        <is>
          <t>TRUE</t>
        </is>
      </c>
      <c r="AD539" s="57" t="n">
        <v>647215.3</v>
      </c>
      <c r="AE539" s="57" t="n">
        <v>724192.8199999999</v>
      </c>
      <c r="AF539" s="57" t="n">
        <v>76641.50999999999</v>
      </c>
      <c r="AG539" s="57" t="n">
        <v>1327.65</v>
      </c>
      <c r="AH539" s="57" t="n">
        <v>13000</v>
      </c>
    </row>
    <row r="540">
      <c r="A540" s="56" t="inlineStr">
        <is>
          <t>2026-06-17</t>
        </is>
      </c>
      <c r="B540" s="56" t="inlineStr">
        <is>
          <t>1423094</t>
        </is>
      </c>
      <c r="C540" s="56" t="inlineStr">
        <is>
          <t>2024.869 Prospect Lake Clean Water Center</t>
        </is>
      </c>
      <c r="D540" s="56" t="inlineStr">
        <is>
          <t>TI</t>
        </is>
      </c>
      <c r="E540" s="56" t="inlineStr">
        <is>
          <t>Cole Garriott</t>
        </is>
      </c>
      <c r="F540" s="56" t="inlineStr">
        <is>
          <t>Patterson Horth, Inc.</t>
        </is>
      </c>
      <c r="G540" s="56" t="inlineStr">
        <is>
          <t>ACTIVE</t>
        </is>
      </c>
      <c r="H540" s="57" t="n">
        <v>427542</v>
      </c>
      <c r="I540" s="57" t="n">
        <v>65378</v>
      </c>
      <c r="J540" s="57" t="n">
        <v>427542</v>
      </c>
      <c r="K540" s="57" t="n">
        <v>384787.8</v>
      </c>
      <c r="L540" s="57" t="n">
        <v>279568.91</v>
      </c>
      <c r="M540" s="57" t="n">
        <v>279568.91</v>
      </c>
      <c r="N540" s="58" t="n">
        <v>1</v>
      </c>
      <c r="O540" s="57" t="n">
        <v>427542</v>
      </c>
      <c r="P540" s="57" t="n">
        <v>0</v>
      </c>
      <c r="Q540" s="57" t="n">
        <v>0</v>
      </c>
      <c r="R540" s="57" t="n">
        <v>0</v>
      </c>
      <c r="S540" s="57" t="n">
        <v>0</v>
      </c>
      <c r="T540" s="57" t="n">
        <v>147973.09</v>
      </c>
      <c r="U540" s="58" t="n">
        <v>0.3461</v>
      </c>
      <c r="V540" s="57" t="n">
        <v>147973.09</v>
      </c>
      <c r="W540" s="58" t="n">
        <v>0.3461</v>
      </c>
      <c r="X540" s="58" t="n">
        <v>0.3461</v>
      </c>
      <c r="Y540" s="58" t="n">
        <v>0</v>
      </c>
      <c r="Z540" s="57" t="n">
        <v>0</v>
      </c>
      <c r="AA540" s="57" t="n">
        <v>42754.2</v>
      </c>
      <c r="AB540" s="56" t="inlineStr">
        <is>
          <t>TRUE</t>
        </is>
      </c>
      <c r="AC540" s="56" t="inlineStr">
        <is>
          <t>TRUE</t>
        </is>
      </c>
      <c r="AD540" s="57" t="n">
        <v>151344.28</v>
      </c>
      <c r="AE540" s="57" t="n">
        <v>102892.43</v>
      </c>
      <c r="AF540" s="57" t="n">
        <v>8592.4</v>
      </c>
      <c r="AG540" s="57" t="n">
        <v>16739.8</v>
      </c>
      <c r="AH540" s="57" t="n">
        <v>0</v>
      </c>
    </row>
    <row r="541">
      <c r="A541" s="56" t="inlineStr">
        <is>
          <t>2026-06-17</t>
        </is>
      </c>
      <c r="B541" s="56" t="inlineStr">
        <is>
          <t>1407590</t>
        </is>
      </c>
      <c r="C541" s="56" t="inlineStr">
        <is>
          <t>2023.795 Upland Brewery Clay Terrace</t>
        </is>
      </c>
      <c r="D541" s="56" t="inlineStr">
        <is>
          <t>TI</t>
        </is>
      </c>
      <c r="E541" s="56" t="inlineStr">
        <is>
          <t>Tommy Cohoat</t>
        </is>
      </c>
      <c r="F541" s="56" t="inlineStr">
        <is>
          <t>Bischoff Construction, LLC</t>
        </is>
      </c>
      <c r="G541" s="56" t="inlineStr">
        <is>
          <t>ACTIVE</t>
        </is>
      </c>
      <c r="H541" s="57" t="n">
        <v>101530</v>
      </c>
      <c r="I541" s="57" t="n">
        <v>23430</v>
      </c>
      <c r="J541" s="57" t="n">
        <v>101530</v>
      </c>
      <c r="K541" s="57" t="n">
        <v>101530</v>
      </c>
      <c r="L541" s="57" t="n">
        <v>41460</v>
      </c>
      <c r="M541" s="57" t="n">
        <v>52294.94</v>
      </c>
      <c r="N541" s="58" t="n">
        <v>1.2613</v>
      </c>
      <c r="O541" s="57" t="n">
        <v>128059.79</v>
      </c>
      <c r="P541" s="57" t="n">
        <v>26529.79</v>
      </c>
      <c r="Q541" s="57" t="n">
        <v>0</v>
      </c>
      <c r="R541" s="57" t="n">
        <v>0</v>
      </c>
      <c r="S541" s="57" t="n">
        <v>26529.79</v>
      </c>
      <c r="T541" s="57" t="n">
        <v>49235.06</v>
      </c>
      <c r="U541" s="58" t="n">
        <v>0.4849</v>
      </c>
      <c r="V541" s="57" t="n">
        <v>60070</v>
      </c>
      <c r="W541" s="58" t="n">
        <v>0.5916</v>
      </c>
      <c r="X541" s="58" t="n">
        <v>0.5916</v>
      </c>
      <c r="Y541" s="58" t="n">
        <v>0.1067</v>
      </c>
      <c r="Z541" s="57" t="n">
        <v>0</v>
      </c>
      <c r="AA541" s="57" t="n">
        <v>0</v>
      </c>
      <c r="AB541" s="56" t="inlineStr">
        <is>
          <t>TRUE</t>
        </is>
      </c>
      <c r="AC541" s="56" t="inlineStr">
        <is>
          <t>TRUE</t>
        </is>
      </c>
      <c r="AD541" s="57" t="n">
        <v>12950.36</v>
      </c>
      <c r="AE541" s="57" t="n">
        <v>39209.22</v>
      </c>
      <c r="AF541" s="57" t="n">
        <v>135.36</v>
      </c>
      <c r="AG541" s="57" t="n">
        <v>0</v>
      </c>
      <c r="AH541" s="57" t="n">
        <v>0</v>
      </c>
    </row>
    <row r="542">
      <c r="A542" s="56" t="inlineStr">
        <is>
          <t>2026-06-17</t>
        </is>
      </c>
      <c r="B542" s="56" t="inlineStr">
        <is>
          <t>1398846</t>
        </is>
      </c>
      <c r="C542" s="56" t="inlineStr">
        <is>
          <t>2023.843 Walmart Frederick</t>
        </is>
      </c>
      <c r="D542" s="56" t="inlineStr">
        <is>
          <t>TI</t>
        </is>
      </c>
      <c r="E542" s="56" t="inlineStr">
        <is>
          <t>Cole Garriott</t>
        </is>
      </c>
      <c r="F542" s="56" t="inlineStr">
        <is>
          <t>DEEM, LLC</t>
        </is>
      </c>
      <c r="G542" s="56" t="inlineStr">
        <is>
          <t>ACTIVE</t>
        </is>
      </c>
      <c r="H542" s="57" t="n">
        <v>2978233.94</v>
      </c>
      <c r="I542" s="57" t="n">
        <v>839835.9399999999</v>
      </c>
      <c r="J542" s="57" t="n">
        <v>2978233.94</v>
      </c>
      <c r="K542" s="57" t="n">
        <v>2978233.94</v>
      </c>
      <c r="L542" s="57" t="n">
        <v>1743437.53</v>
      </c>
      <c r="M542" s="57" t="n">
        <v>1743437.53</v>
      </c>
      <c r="N542" s="58" t="n">
        <v>1</v>
      </c>
      <c r="O542" s="57" t="n">
        <v>2978233.94</v>
      </c>
      <c r="P542" s="57" t="n">
        <v>0</v>
      </c>
      <c r="Q542" s="57" t="n">
        <v>0</v>
      </c>
      <c r="R542" s="57" t="n">
        <v>0</v>
      </c>
      <c r="S542" s="57" t="n">
        <v>0</v>
      </c>
      <c r="T542" s="57" t="n">
        <v>1234796.41</v>
      </c>
      <c r="U542" s="58" t="n">
        <v>0.4146</v>
      </c>
      <c r="V542" s="57" t="n">
        <v>1234796.41</v>
      </c>
      <c r="W542" s="58" t="n">
        <v>0.4146</v>
      </c>
      <c r="X542" s="58" t="n">
        <v>0.4146</v>
      </c>
      <c r="Y542" s="58" t="n">
        <v>0</v>
      </c>
      <c r="Z542" s="57" t="n">
        <v>0</v>
      </c>
      <c r="AA542" s="57" t="n">
        <v>0</v>
      </c>
      <c r="AB542" s="56" t="inlineStr">
        <is>
          <t>TRUE</t>
        </is>
      </c>
      <c r="AC542" s="56" t="inlineStr">
        <is>
          <t>TRUE</t>
        </is>
      </c>
      <c r="AD542" s="57" t="n">
        <v>560223.67</v>
      </c>
      <c r="AE542" s="57" t="n">
        <v>990690.8</v>
      </c>
      <c r="AF542" s="57" t="n">
        <v>123839.89</v>
      </c>
      <c r="AG542" s="57" t="n">
        <v>1595.56</v>
      </c>
      <c r="AH542" s="57" t="n">
        <v>67087.61</v>
      </c>
    </row>
    <row r="543">
      <c r="A543" s="56" t="inlineStr">
        <is>
          <t>2026-06-17</t>
        </is>
      </c>
      <c r="B543" s="56" t="inlineStr">
        <is>
          <t>1383434</t>
        </is>
      </c>
      <c r="C543" s="56" t="inlineStr">
        <is>
          <t>MF.2023.785 Drywall at 804 14th Ave Nashville</t>
        </is>
      </c>
      <c r="D543" s="56" t="inlineStr">
        <is>
          <t>MF</t>
        </is>
      </c>
      <c r="E543" s="56" t="inlineStr">
        <is>
          <t>Kelden Tyson</t>
        </is>
      </c>
      <c r="F543" s="56" t="inlineStr">
        <is>
          <t>ZMX Inc.</t>
        </is>
      </c>
      <c r="G543" s="56" t="inlineStr">
        <is>
          <t>ACTIVE</t>
        </is>
      </c>
      <c r="H543" s="57" t="n">
        <v>739513.88</v>
      </c>
      <c r="I543" s="57" t="n">
        <v>58163.88</v>
      </c>
      <c r="J543" s="57" t="n">
        <v>739513.88</v>
      </c>
      <c r="K543" s="57" t="n">
        <v>728866.98</v>
      </c>
      <c r="L543" s="57" t="n">
        <v>608078.16</v>
      </c>
      <c r="M543" s="57" t="n">
        <v>610601.1</v>
      </c>
      <c r="N543" s="58" t="n">
        <v>1.0041</v>
      </c>
      <c r="O543" s="57" t="n">
        <v>742545.89</v>
      </c>
      <c r="P543" s="57" t="n">
        <v>3032.01</v>
      </c>
      <c r="Q543" s="57" t="n">
        <v>-0</v>
      </c>
      <c r="R543" s="57" t="n">
        <v>0</v>
      </c>
      <c r="S543" s="57" t="n">
        <v>3032.01</v>
      </c>
      <c r="T543" s="57" t="n">
        <v>128912.78</v>
      </c>
      <c r="U543" s="58" t="n">
        <v>0.1743</v>
      </c>
      <c r="V543" s="57" t="n">
        <v>131435.72</v>
      </c>
      <c r="W543" s="58" t="n">
        <v>0.1777</v>
      </c>
      <c r="X543" s="58" t="n">
        <v>0.1777</v>
      </c>
      <c r="Y543" s="58" t="n">
        <v>0.0034</v>
      </c>
      <c r="Z543" s="57" t="n">
        <v>0</v>
      </c>
      <c r="AA543" s="57" t="n">
        <v>10646.9</v>
      </c>
      <c r="AB543" s="56" t="inlineStr">
        <is>
          <t>TRUE</t>
        </is>
      </c>
      <c r="AC543" s="56" t="inlineStr">
        <is>
          <t>TRUE</t>
        </is>
      </c>
      <c r="AD543" s="57" t="n">
        <v>321876.41</v>
      </c>
      <c r="AE543" s="57" t="n">
        <v>283597.41</v>
      </c>
      <c r="AF543" s="57" t="n">
        <v>4444.51</v>
      </c>
      <c r="AG543" s="57" t="n">
        <v>682.77</v>
      </c>
      <c r="AH543" s="57" t="n">
        <v>0</v>
      </c>
    </row>
    <row r="544">
      <c r="A544" s="56" t="inlineStr">
        <is>
          <t>2026-06-17</t>
        </is>
      </c>
      <c r="B544" s="56" t="inlineStr">
        <is>
          <t>1360035</t>
        </is>
      </c>
      <c r="C544" s="56" t="inlineStr">
        <is>
          <t>2023.776 Keefe Group TI</t>
        </is>
      </c>
      <c r="D544" s="56" t="inlineStr">
        <is>
          <t>TI</t>
        </is>
      </c>
      <c r="E544" s="56" t="inlineStr">
        <is>
          <t>Tommy Cohoat</t>
        </is>
      </c>
      <c r="F544" s="56" t="inlineStr">
        <is>
          <t>The Peterson Company, LLC</t>
        </is>
      </c>
      <c r="G544" s="56" t="inlineStr">
        <is>
          <t>ACTIVE</t>
        </is>
      </c>
      <c r="H544" s="57" t="n">
        <v>113525</v>
      </c>
      <c r="I544" s="57" t="n">
        <v>0</v>
      </c>
      <c r="J544" s="57" t="n">
        <v>113525</v>
      </c>
      <c r="K544" s="57" t="n">
        <v>113525</v>
      </c>
      <c r="L544" s="57" t="n">
        <v>92609.28</v>
      </c>
      <c r="M544" s="57" t="n">
        <v>92269.92999999999</v>
      </c>
      <c r="N544" s="58" t="n">
        <v>0.9963</v>
      </c>
      <c r="O544" s="57" t="n">
        <v>113104.96</v>
      </c>
      <c r="P544" s="57" t="n">
        <v>-420.04</v>
      </c>
      <c r="Q544" s="57" t="n">
        <v>-415.99</v>
      </c>
      <c r="R544" s="57" t="n">
        <v>420.04</v>
      </c>
      <c r="S544" s="57" t="n">
        <v>0</v>
      </c>
      <c r="T544" s="57" t="n">
        <v>21255.07</v>
      </c>
      <c r="U544" s="58" t="n">
        <v>0.1872</v>
      </c>
      <c r="V544" s="57" t="n">
        <v>20915.72</v>
      </c>
      <c r="W544" s="58" t="n">
        <v>0.1842</v>
      </c>
      <c r="X544" s="58" t="n">
        <v>0.1842</v>
      </c>
      <c r="Y544" s="58" t="n">
        <v>-0.003</v>
      </c>
      <c r="Z544" s="57" t="n">
        <v>0</v>
      </c>
      <c r="AA544" s="57" t="n">
        <v>0</v>
      </c>
      <c r="AB544" s="56" t="inlineStr">
        <is>
          <t>TRUE</t>
        </is>
      </c>
      <c r="AC544" s="56" t="inlineStr">
        <is>
          <t>TRUE</t>
        </is>
      </c>
      <c r="AD544" s="57" t="n">
        <v>44371.44</v>
      </c>
      <c r="AE544" s="57" t="n">
        <v>47369.42</v>
      </c>
      <c r="AF544" s="57" t="n">
        <v>0</v>
      </c>
      <c r="AG544" s="57" t="n">
        <v>0</v>
      </c>
      <c r="AH544" s="57" t="n">
        <v>529.0700000000001</v>
      </c>
    </row>
    <row r="545">
      <c r="A545" s="56" t="inlineStr">
        <is>
          <t>2026-06-17</t>
        </is>
      </c>
      <c r="B545" s="56" t="inlineStr">
        <is>
          <t>1303390</t>
        </is>
      </c>
      <c r="C545" s="56" t="inlineStr">
        <is>
          <t>MF.2024.875 Purdue Student Housing</t>
        </is>
      </c>
      <c r="D545" s="56" t="inlineStr">
        <is>
          <t>MF</t>
        </is>
      </c>
      <c r="E545" s="56" t="inlineStr">
        <is>
          <t>Kelden Tyson</t>
        </is>
      </c>
      <c r="F545" s="56" t="inlineStr">
        <is>
          <t>Marous Brothers Construction</t>
        </is>
      </c>
      <c r="G545" s="56" t="inlineStr">
        <is>
          <t>ACTIVE</t>
        </is>
      </c>
      <c r="H545" s="57" t="n">
        <v>6171928.99</v>
      </c>
      <c r="I545" s="57" t="n">
        <v>805433.99</v>
      </c>
      <c r="J545" s="57" t="n">
        <v>6171928.99</v>
      </c>
      <c r="K545" s="57" t="n">
        <v>6171928.99</v>
      </c>
      <c r="L545" s="57" t="n">
        <v>5187520.67</v>
      </c>
      <c r="M545" s="57" t="n">
        <v>5197619.98</v>
      </c>
      <c r="N545" s="58" t="n">
        <v>1.0019</v>
      </c>
      <c r="O545" s="57" t="n">
        <v>6183655.66</v>
      </c>
      <c r="P545" s="57" t="n">
        <v>11726.67</v>
      </c>
      <c r="Q545" s="57" t="n">
        <v>0</v>
      </c>
      <c r="R545" s="57" t="n">
        <v>0</v>
      </c>
      <c r="S545" s="57" t="n">
        <v>11726.67</v>
      </c>
      <c r="T545" s="57" t="n">
        <v>974309.01</v>
      </c>
      <c r="U545" s="58" t="n">
        <v>0.1579</v>
      </c>
      <c r="V545" s="57" t="n">
        <v>984408.3199999999</v>
      </c>
      <c r="W545" s="58" t="n">
        <v>0.1595</v>
      </c>
      <c r="X545" s="58" t="n">
        <v>0.1595</v>
      </c>
      <c r="Y545" s="58" t="n">
        <v>0.0016</v>
      </c>
      <c r="Z545" s="57" t="n">
        <v>0</v>
      </c>
      <c r="AA545" s="57" t="n">
        <v>0</v>
      </c>
      <c r="AB545" s="56" t="inlineStr">
        <is>
          <t>TRUE</t>
        </is>
      </c>
      <c r="AC545" s="56" t="inlineStr">
        <is>
          <t>TRUE</t>
        </is>
      </c>
      <c r="AD545" s="57" t="n">
        <v>2906173.58</v>
      </c>
      <c r="AE545" s="57" t="n">
        <v>2194665.19</v>
      </c>
      <c r="AF545" s="57" t="n">
        <v>59981.49</v>
      </c>
      <c r="AG545" s="57" t="n">
        <v>614.4400000000001</v>
      </c>
      <c r="AH545" s="57" t="n">
        <v>36185.28</v>
      </c>
    </row>
    <row r="546">
      <c r="A546" s="56" t="inlineStr">
        <is>
          <t>2026-06-17</t>
        </is>
      </c>
      <c r="B546" s="56" t="inlineStr">
        <is>
          <t>1161468</t>
        </is>
      </c>
      <c r="C546" s="56" t="inlineStr">
        <is>
          <t>2022.690 Klarity, Mind, &amp; Body</t>
        </is>
      </c>
      <c r="D546" s="56" t="inlineStr">
        <is>
          <t>TI</t>
        </is>
      </c>
      <c r="E546" s="56" t="inlineStr">
        <is>
          <t>Ted Wells</t>
        </is>
      </c>
      <c r="F546" s="56" t="inlineStr">
        <is>
          <t>EquiTeam LLC</t>
        </is>
      </c>
      <c r="G546" s="56" t="inlineStr">
        <is>
          <t>ACTIVE</t>
        </is>
      </c>
      <c r="H546" s="57" t="n">
        <v>66336.42</v>
      </c>
      <c r="I546" s="57" t="n">
        <v>6165</v>
      </c>
      <c r="J546" s="57" t="n">
        <v>66336.42999999999</v>
      </c>
      <c r="K546" s="57" t="n">
        <v>66336.42999999999</v>
      </c>
      <c r="L546" s="57" t="n">
        <v>42004.23</v>
      </c>
      <c r="M546" s="57" t="n">
        <v>36756.21</v>
      </c>
      <c r="N546" s="58" t="n">
        <v>0.8751</v>
      </c>
      <c r="O546" s="57" t="n">
        <v>58051</v>
      </c>
      <c r="P546" s="57" t="n">
        <v>-8285.43</v>
      </c>
      <c r="Q546" s="57" t="n">
        <v>-8288.09</v>
      </c>
      <c r="R546" s="57" t="n">
        <v>8285.43</v>
      </c>
      <c r="S546" s="57" t="n">
        <v>0</v>
      </c>
      <c r="T546" s="57" t="n">
        <v>29580.21</v>
      </c>
      <c r="U546" s="58" t="n">
        <v>0.4459</v>
      </c>
      <c r="V546" s="57" t="n">
        <v>24332.19</v>
      </c>
      <c r="W546" s="58" t="n">
        <v>0.3668</v>
      </c>
      <c r="X546" s="58" t="n">
        <v>0.3668</v>
      </c>
      <c r="Y546" s="58" t="n">
        <v>-0.0791</v>
      </c>
      <c r="Z546" s="57" t="n">
        <v>-0.01</v>
      </c>
      <c r="AA546" s="57" t="n">
        <v>0</v>
      </c>
      <c r="AB546" s="56" t="inlineStr">
        <is>
          <t>TRUE</t>
        </is>
      </c>
      <c r="AC546" s="56" t="inlineStr">
        <is>
          <t>TRUE</t>
        </is>
      </c>
      <c r="AD546" s="57" t="n">
        <v>12563.04</v>
      </c>
      <c r="AE546" s="57" t="n">
        <v>15408.3</v>
      </c>
      <c r="AF546" s="57" t="n">
        <v>0</v>
      </c>
      <c r="AG546" s="57" t="n">
        <v>0</v>
      </c>
      <c r="AH546" s="57" t="n">
        <v>8784.870000000001</v>
      </c>
    </row>
    <row r="547">
      <c r="A547" s="56" t="inlineStr">
        <is>
          <t>2026-06-17</t>
        </is>
      </c>
      <c r="B547" s="56" t="inlineStr">
        <is>
          <t>1151697</t>
        </is>
      </c>
      <c r="C547" s="56" t="inlineStr">
        <is>
          <t>2023.731 Park 133 - ITS - TI Tenant Buildout</t>
        </is>
      </c>
      <c r="D547" s="56" t="inlineStr">
        <is>
          <t>TI</t>
        </is>
      </c>
      <c r="E547" s="56" t="inlineStr">
        <is>
          <t>Tommy Cohoat</t>
        </is>
      </c>
      <c r="F547" s="56" t="inlineStr">
        <is>
          <t>The Peterson Company, LLC</t>
        </is>
      </c>
      <c r="G547" s="56" t="inlineStr">
        <is>
          <t>ACTIVE</t>
        </is>
      </c>
      <c r="H547" s="57" t="n">
        <v>759684</v>
      </c>
      <c r="I547" s="57" t="n">
        <v>40783</v>
      </c>
      <c r="J547" s="57" t="n">
        <v>759684</v>
      </c>
      <c r="K547" s="57" t="n">
        <v>759684</v>
      </c>
      <c r="L547" s="57" t="n">
        <v>406398</v>
      </c>
      <c r="M547" s="57" t="n">
        <v>409683.37</v>
      </c>
      <c r="N547" s="58" t="n">
        <v>1.0081</v>
      </c>
      <c r="O547" s="57" t="n">
        <v>765837.4399999999</v>
      </c>
      <c r="P547" s="57" t="n">
        <v>6153.44</v>
      </c>
      <c r="Q547" s="57" t="n">
        <v>0</v>
      </c>
      <c r="R547" s="57" t="n">
        <v>0</v>
      </c>
      <c r="S547" s="57" t="n">
        <v>6153.44</v>
      </c>
      <c r="T547" s="57" t="n">
        <v>350000.63</v>
      </c>
      <c r="U547" s="58" t="n">
        <v>0.4607</v>
      </c>
      <c r="V547" s="57" t="n">
        <v>353286</v>
      </c>
      <c r="W547" s="58" t="n">
        <v>0.465</v>
      </c>
      <c r="X547" s="58" t="n">
        <v>0.465</v>
      </c>
      <c r="Y547" s="58" t="n">
        <v>0.0043</v>
      </c>
      <c r="Z547" s="57" t="n">
        <v>0</v>
      </c>
      <c r="AA547" s="57" t="n">
        <v>0</v>
      </c>
      <c r="AB547" s="56" t="inlineStr">
        <is>
          <t>TRUE</t>
        </is>
      </c>
      <c r="AC547" s="56" t="inlineStr">
        <is>
          <t>TRUE</t>
        </is>
      </c>
      <c r="AD547" s="57" t="n">
        <v>236904.18</v>
      </c>
      <c r="AE547" s="57" t="n">
        <v>158592.82</v>
      </c>
      <c r="AF547" s="57" t="n">
        <v>9725.51</v>
      </c>
      <c r="AG547" s="57" t="n">
        <v>0</v>
      </c>
      <c r="AH547" s="57" t="n">
        <v>4460.86</v>
      </c>
    </row>
    <row r="548">
      <c r="A548" s="56" t="inlineStr">
        <is>
          <t>2026-06-17</t>
        </is>
      </c>
      <c r="B548" s="56" t="inlineStr">
        <is>
          <t>1138743</t>
        </is>
      </c>
      <c r="C548" s="56" t="inlineStr">
        <is>
          <t>2022.654 Upland Brewery Northside</t>
        </is>
      </c>
      <c r="D548" s="56" t="inlineStr">
        <is>
          <t>TI</t>
        </is>
      </c>
      <c r="E548" s="56" t="inlineStr">
        <is>
          <t>Tommy Cohoat</t>
        </is>
      </c>
      <c r="F548" s="56" t="inlineStr">
        <is>
          <t>Seven Four Construction</t>
        </is>
      </c>
      <c r="G548" s="56" t="inlineStr">
        <is>
          <t>ACTIVE</t>
        </is>
      </c>
      <c r="H548" s="57" t="n">
        <v>175860.53</v>
      </c>
      <c r="I548" s="57" t="n">
        <v>74360.53</v>
      </c>
      <c r="J548" s="57" t="n">
        <v>175860.53</v>
      </c>
      <c r="K548" s="57" t="n">
        <v>175860.53</v>
      </c>
      <c r="L548" s="57" t="n">
        <v>139299.39</v>
      </c>
      <c r="M548" s="57" t="n">
        <v>137342.59</v>
      </c>
      <c r="N548" s="58" t="n">
        <v>0.986</v>
      </c>
      <c r="O548" s="57" t="n">
        <v>173398.48</v>
      </c>
      <c r="P548" s="57" t="n">
        <v>-2462.05</v>
      </c>
      <c r="Q548" s="57" t="n">
        <v>-2470.39</v>
      </c>
      <c r="R548" s="57" t="n">
        <v>2462.05</v>
      </c>
      <c r="S548" s="57" t="n">
        <v>0</v>
      </c>
      <c r="T548" s="57" t="n">
        <v>38517.94</v>
      </c>
      <c r="U548" s="58" t="n">
        <v>0.219</v>
      </c>
      <c r="V548" s="57" t="n">
        <v>36561.14</v>
      </c>
      <c r="W548" s="58" t="n">
        <v>0.2079</v>
      </c>
      <c r="X548" s="58" t="n">
        <v>0.2079</v>
      </c>
      <c r="Y548" s="58" t="n">
        <v>-0.0111</v>
      </c>
      <c r="Z548" s="57" t="n">
        <v>0</v>
      </c>
      <c r="AA548" s="57" t="n">
        <v>0</v>
      </c>
      <c r="AB548" s="56" t="inlineStr">
        <is>
          <t>TRUE</t>
        </is>
      </c>
      <c r="AC548" s="56" t="inlineStr">
        <is>
          <t>TRUE</t>
        </is>
      </c>
      <c r="AD548" s="57" t="n">
        <v>24968.8</v>
      </c>
      <c r="AE548" s="57" t="n">
        <v>70509.19</v>
      </c>
      <c r="AF548" s="57" t="n">
        <v>0</v>
      </c>
      <c r="AG548" s="57" t="n">
        <v>0</v>
      </c>
      <c r="AH548" s="57" t="n">
        <v>41864.6</v>
      </c>
    </row>
    <row r="549">
      <c r="A549" s="56" t="inlineStr">
        <is>
          <t>2026-06-17</t>
        </is>
      </c>
      <c r="B549" s="56" t="inlineStr">
        <is>
          <t>1138684</t>
        </is>
      </c>
      <c r="C549" s="56" t="inlineStr">
        <is>
          <t>MDG Office at Rucker</t>
        </is>
      </c>
      <c r="D549" s="56" t="inlineStr">
        <is>
          <t>UN</t>
        </is>
      </c>
      <c r="E549" s="56" t="inlineStr">
        <is>
          <t>(Unassigned)</t>
        </is>
      </c>
      <c r="F549" s="56" t="inlineStr">
        <is>
          <t>MDG New Office</t>
        </is>
      </c>
      <c r="G549" s="56" t="inlineStr">
        <is>
          <t>ACTIVE</t>
        </is>
      </c>
      <c r="H549" s="57" t="n">
        <v>731215.63</v>
      </c>
      <c r="I549" s="57" t="n">
        <v>216183</v>
      </c>
      <c r="J549" s="57" t="n">
        <v>664658.63</v>
      </c>
      <c r="K549" s="57" t="n">
        <v>664658.63</v>
      </c>
      <c r="L549" s="57" t="n">
        <v>600</v>
      </c>
      <c r="M549" s="57" t="n">
        <v>888658.79</v>
      </c>
      <c r="N549" s="58" t="n">
        <v>1481.098</v>
      </c>
      <c r="O549" s="57" t="n">
        <v>1083002007.16</v>
      </c>
      <c r="P549" s="57" t="n">
        <v>1082337348.53</v>
      </c>
      <c r="Q549" s="57" t="n">
        <v>66557</v>
      </c>
      <c r="R549" s="57" t="n">
        <v>0</v>
      </c>
      <c r="S549" s="57" t="n">
        <v>1082337348.53</v>
      </c>
      <c r="T549" s="57" t="n">
        <v>-224000.16</v>
      </c>
      <c r="U549" s="58" t="n">
        <v>-0.337</v>
      </c>
      <c r="V549" s="57" t="n">
        <v>730615.63</v>
      </c>
      <c r="W549" s="58" t="n">
        <v>0.9992</v>
      </c>
      <c r="X549" s="58" t="n">
        <v>0.9992</v>
      </c>
      <c r="Y549" s="58" t="n">
        <v>1.3362</v>
      </c>
      <c r="Z549" s="57" t="n">
        <v>0</v>
      </c>
      <c r="AA549" s="57" t="n">
        <v>0</v>
      </c>
      <c r="AB549" s="56" t="inlineStr">
        <is>
          <t>TRUE</t>
        </is>
      </c>
      <c r="AC549" s="56" t="inlineStr">
        <is>
          <t>FALSE</t>
        </is>
      </c>
      <c r="AD549" s="57" t="n">
        <v>498429.27</v>
      </c>
      <c r="AE549" s="57" t="n">
        <v>225166.08</v>
      </c>
      <c r="AF549" s="57" t="n">
        <v>14836.01</v>
      </c>
      <c r="AG549" s="57" t="n">
        <v>0</v>
      </c>
      <c r="AH549" s="57" t="n">
        <v>150227.43</v>
      </c>
    </row>
    <row r="550">
      <c r="A550" s="56" t="inlineStr">
        <is>
          <t>2026-06-17</t>
        </is>
      </c>
      <c r="B550" s="56" t="inlineStr">
        <is>
          <t>1138659</t>
        </is>
      </c>
      <c r="C550" s="56" t="inlineStr">
        <is>
          <t>2022.625 Walmart 7611</t>
        </is>
      </c>
      <c r="D550" s="56" t="inlineStr">
        <is>
          <t>TI</t>
        </is>
      </c>
      <c r="E550" s="56" t="inlineStr">
        <is>
          <t>Cole Garriott</t>
        </is>
      </c>
      <c r="F550" s="56" t="inlineStr">
        <is>
          <t>Massa Multimedia Architecture (MMA)</t>
        </is>
      </c>
      <c r="G550" s="56" t="inlineStr">
        <is>
          <t>ACTIVE</t>
        </is>
      </c>
      <c r="H550" s="57" t="n">
        <v>983441</v>
      </c>
      <c r="I550" s="57" t="n">
        <v>306770</v>
      </c>
      <c r="J550" s="57" t="n">
        <v>982141</v>
      </c>
      <c r="K550" s="57" t="n">
        <v>982141</v>
      </c>
      <c r="L550" s="57" t="n">
        <v>717571.28</v>
      </c>
      <c r="M550" s="57" t="n">
        <v>717571.28</v>
      </c>
      <c r="N550" s="58" t="n">
        <v>1</v>
      </c>
      <c r="O550" s="57" t="n">
        <v>983441</v>
      </c>
      <c r="P550" s="57" t="n">
        <v>1300</v>
      </c>
      <c r="Q550" s="57" t="n">
        <v>1300</v>
      </c>
      <c r="R550" s="57" t="n">
        <v>0</v>
      </c>
      <c r="S550" s="57" t="n">
        <v>1300</v>
      </c>
      <c r="T550" s="57" t="n">
        <v>264569.72</v>
      </c>
      <c r="U550" s="58" t="n">
        <v>0.2694</v>
      </c>
      <c r="V550" s="57" t="n">
        <v>265869.72</v>
      </c>
      <c r="W550" s="58" t="n">
        <v>0.2703</v>
      </c>
      <c r="X550" s="58" t="n">
        <v>0.2703</v>
      </c>
      <c r="Y550" s="58" t="n">
        <v>0.001</v>
      </c>
      <c r="Z550" s="57" t="n">
        <v>0</v>
      </c>
      <c r="AA550" s="57" t="n">
        <v>0</v>
      </c>
      <c r="AB550" s="56" t="inlineStr">
        <is>
          <t>TRUE</t>
        </is>
      </c>
      <c r="AC550" s="56" t="inlineStr">
        <is>
          <t>TRUE</t>
        </is>
      </c>
      <c r="AD550" s="57" t="n">
        <v>261572.78</v>
      </c>
      <c r="AE550" s="57" t="n">
        <v>345654.05</v>
      </c>
      <c r="AF550" s="57" t="n">
        <v>35486.11</v>
      </c>
      <c r="AG550" s="57" t="n">
        <v>228.17</v>
      </c>
      <c r="AH550" s="57" t="n">
        <v>74630.17</v>
      </c>
    </row>
    <row r="551">
      <c r="A551" s="56" t="inlineStr">
        <is>
          <t>2026-06-17</t>
        </is>
      </c>
      <c r="B551" s="56" t="inlineStr">
        <is>
          <t>1138651</t>
        </is>
      </c>
      <c r="C551" s="56" t="inlineStr">
        <is>
          <t>2022.617 The Junction Phase II</t>
        </is>
      </c>
      <c r="D551" s="56" t="inlineStr">
        <is>
          <t>TI</t>
        </is>
      </c>
      <c r="E551" s="56" t="inlineStr">
        <is>
          <t>Ted Wells</t>
        </is>
      </c>
      <c r="F551" s="56" t="inlineStr">
        <is>
          <t>EquiTeam LLC</t>
        </is>
      </c>
      <c r="G551" s="56" t="inlineStr">
        <is>
          <t>ACTIVE</t>
        </is>
      </c>
      <c r="H551" s="57" t="n">
        <v>304058.89</v>
      </c>
      <c r="I551" s="57" t="n">
        <v>46226.67</v>
      </c>
      <c r="J551" s="57" t="n">
        <v>304058.89</v>
      </c>
      <c r="K551" s="57" t="n">
        <v>304058.89</v>
      </c>
      <c r="L551" s="57" t="n">
        <v>185366</v>
      </c>
      <c r="M551" s="57" t="n">
        <v>185366.13</v>
      </c>
      <c r="N551" s="58" t="n">
        <v>1</v>
      </c>
      <c r="O551" s="57" t="n">
        <v>304058.89</v>
      </c>
      <c r="P551" s="57" t="n">
        <v>0</v>
      </c>
      <c r="Q551" s="57" t="n">
        <v>0</v>
      </c>
      <c r="R551" s="57" t="n">
        <v>0</v>
      </c>
      <c r="S551" s="57" t="n">
        <v>0</v>
      </c>
      <c r="T551" s="57" t="n">
        <v>118692.76</v>
      </c>
      <c r="U551" s="58" t="n">
        <v>0.3904</v>
      </c>
      <c r="V551" s="57" t="n">
        <v>118692.89</v>
      </c>
      <c r="W551" s="58" t="n">
        <v>0.3904</v>
      </c>
      <c r="X551" s="58" t="n">
        <v>0.3904</v>
      </c>
      <c r="Y551" s="58" t="n">
        <v>0</v>
      </c>
      <c r="Z551" s="57" t="n">
        <v>0</v>
      </c>
      <c r="AA551" s="57" t="n">
        <v>0</v>
      </c>
      <c r="AB551" s="56" t="inlineStr">
        <is>
          <t>TRUE</t>
        </is>
      </c>
      <c r="AC551" s="56" t="inlineStr">
        <is>
          <t>TRUE</t>
        </is>
      </c>
      <c r="AD551" s="57" t="n">
        <v>135311.59</v>
      </c>
      <c r="AE551" s="57" t="n">
        <v>6490</v>
      </c>
      <c r="AF551" s="57" t="n">
        <v>2011.45</v>
      </c>
      <c r="AG551" s="57" t="n">
        <v>0</v>
      </c>
      <c r="AH551" s="57" t="n">
        <v>41553.09</v>
      </c>
    </row>
    <row r="552">
      <c r="A552" s="56" t="inlineStr">
        <is>
          <t>2026-06-17</t>
        </is>
      </c>
      <c r="B552" s="56" t="inlineStr">
        <is>
          <t>1138649</t>
        </is>
      </c>
      <c r="C552" s="56" t="inlineStr">
        <is>
          <t>2022.610 222 E. Ohio St.</t>
        </is>
      </c>
      <c r="D552" s="56" t="inlineStr">
        <is>
          <t>UN</t>
        </is>
      </c>
      <c r="E552" s="56" t="inlineStr">
        <is>
          <t>Ted Wells</t>
        </is>
      </c>
      <c r="F552" s="56" t="inlineStr">
        <is>
          <t>Midwest Design Group - Misc</t>
        </is>
      </c>
      <c r="G552" s="56" t="inlineStr">
        <is>
          <t>ACTIVE</t>
        </is>
      </c>
      <c r="H552" s="57" t="n">
        <v>1</v>
      </c>
      <c r="I552" s="57" t="n">
        <v>0</v>
      </c>
      <c r="J552" s="57" t="n">
        <v>0</v>
      </c>
      <c r="K552" s="57" t="n">
        <v>0</v>
      </c>
      <c r="L552" s="57" t="n">
        <v>180</v>
      </c>
      <c r="M552" s="57" t="n">
        <v>79341.07000000001</v>
      </c>
      <c r="N552" s="58" t="n">
        <v>440.7837</v>
      </c>
      <c r="O552" s="57" t="n">
        <v>440.78</v>
      </c>
      <c r="P552" s="57" t="n">
        <v>440.78</v>
      </c>
      <c r="Q552" s="57" t="n">
        <v>1</v>
      </c>
      <c r="R552" s="57" t="n">
        <v>0</v>
      </c>
      <c r="S552" s="57" t="n">
        <v>440.78</v>
      </c>
      <c r="T552" s="57" t="n">
        <v>-79341.07000000001</v>
      </c>
      <c r="U552" s="58" t="n">
        <v>0</v>
      </c>
      <c r="V552" s="57" t="n">
        <v>-1</v>
      </c>
      <c r="W552" s="58" t="n">
        <v>-1</v>
      </c>
      <c r="X552" s="58" t="n">
        <v>-179</v>
      </c>
      <c r="Y552" s="58" t="n">
        <v>0</v>
      </c>
      <c r="Z552" s="57" t="n">
        <v>0</v>
      </c>
      <c r="AA552" s="57" t="n">
        <v>0</v>
      </c>
      <c r="AB552" s="56" t="inlineStr">
        <is>
          <t>TRUE</t>
        </is>
      </c>
      <c r="AC552" s="56" t="inlineStr">
        <is>
          <t>FALSE</t>
        </is>
      </c>
      <c r="AD552" s="57" t="n">
        <v>32469.43</v>
      </c>
      <c r="AE552" s="57" t="n">
        <v>8202.58</v>
      </c>
      <c r="AF552" s="57" t="n">
        <v>7210.5</v>
      </c>
      <c r="AG552" s="57" t="n">
        <v>175.29</v>
      </c>
      <c r="AH552" s="57" t="n">
        <v>31283.27</v>
      </c>
    </row>
    <row r="553">
      <c r="A553" s="56" t="inlineStr">
        <is>
          <t>2026-06-17</t>
        </is>
      </c>
      <c r="B553" s="56" t="inlineStr">
        <is>
          <t>1138478</t>
        </is>
      </c>
      <c r="C553" s="56" t="inlineStr">
        <is>
          <t>2022.639 Radial TI - Avon Building 2</t>
        </is>
      </c>
      <c r="D553" s="56" t="inlineStr">
        <is>
          <t>TI</t>
        </is>
      </c>
      <c r="E553" s="56" t="inlineStr">
        <is>
          <t>Tommy Cohoat</t>
        </is>
      </c>
      <c r="F553" s="56" t="inlineStr">
        <is>
          <t>The Peterson Company, LLC</t>
        </is>
      </c>
      <c r="G553" s="56" t="inlineStr">
        <is>
          <t>ACTIVE</t>
        </is>
      </c>
      <c r="H553" s="57" t="n">
        <v>758779</v>
      </c>
      <c r="I553" s="57" t="n">
        <v>2028</v>
      </c>
      <c r="J553" s="57" t="n">
        <v>758779</v>
      </c>
      <c r="K553" s="57" t="n">
        <v>758779</v>
      </c>
      <c r="L553" s="57" t="n">
        <v>440538.37</v>
      </c>
      <c r="M553" s="57" t="n">
        <v>514221.33</v>
      </c>
      <c r="N553" s="58" t="n">
        <v>1.1673</v>
      </c>
      <c r="O553" s="57" t="n">
        <v>885722.73</v>
      </c>
      <c r="P553" s="57" t="n">
        <v>126943.73</v>
      </c>
      <c r="Q553" s="57" t="n">
        <v>0</v>
      </c>
      <c r="R553" s="57" t="n">
        <v>0</v>
      </c>
      <c r="S553" s="57" t="n">
        <v>126943.73</v>
      </c>
      <c r="T553" s="57" t="n">
        <v>244557.67</v>
      </c>
      <c r="U553" s="58" t="n">
        <v>0.3223</v>
      </c>
      <c r="V553" s="57" t="n">
        <v>318240.63</v>
      </c>
      <c r="W553" s="58" t="n">
        <v>0.4194</v>
      </c>
      <c r="X553" s="58" t="n">
        <v>0.4194</v>
      </c>
      <c r="Y553" s="58" t="n">
        <v>0.09710000000000001</v>
      </c>
      <c r="Z553" s="57" t="n">
        <v>0</v>
      </c>
      <c r="AA553" s="57" t="n">
        <v>0</v>
      </c>
      <c r="AB553" s="56" t="inlineStr">
        <is>
          <t>TRUE</t>
        </is>
      </c>
      <c r="AC553" s="56" t="inlineStr">
        <is>
          <t>TRUE</t>
        </is>
      </c>
      <c r="AD553" s="57" t="n">
        <v>321575.66</v>
      </c>
      <c r="AE553" s="57" t="n">
        <v>149187.96</v>
      </c>
      <c r="AF553" s="57" t="n">
        <v>25629.71</v>
      </c>
      <c r="AG553" s="57" t="n">
        <v>0</v>
      </c>
      <c r="AH553" s="57" t="n">
        <v>17828</v>
      </c>
    </row>
    <row r="555">
      <c r="A555" s="54" t="inlineStr">
        <is>
          <t>tAR   —   QuickBooks Online — A/R aging   —   as of 2026-06-17</t>
        </is>
      </c>
    </row>
    <row r="556">
      <c r="A556" s="55" t="inlineStr">
        <is>
          <t>Customer</t>
        </is>
      </c>
      <c r="B556" s="55" t="inlineStr">
        <is>
          <t>Bucket</t>
        </is>
      </c>
      <c r="C556" s="55" t="inlineStr">
        <is>
          <t>Amount</t>
        </is>
      </c>
      <c r="D556" s="55" t="inlineStr">
        <is>
          <t>IsRetainage</t>
        </is>
      </c>
      <c r="E556" s="55" t="inlineStr">
        <is>
          <t>AsOfDate</t>
        </is>
      </c>
    </row>
    <row r="557">
      <c r="A557" s="56" t="inlineStr">
        <is>
          <t>ACS-Affiliated Construction Services, Inc.</t>
        </is>
      </c>
      <c r="B557" s="56" t="inlineStr">
        <is>
          <t>Current</t>
        </is>
      </c>
      <c r="C557" s="57" t="n">
        <v>45416.23</v>
      </c>
      <c r="D557" s="56" t="inlineStr">
        <is>
          <t>FALSE</t>
        </is>
      </c>
      <c r="E557" s="56" t="inlineStr">
        <is>
          <t>2026-06-17</t>
        </is>
      </c>
    </row>
    <row r="558">
      <c r="A558" s="56" t="inlineStr">
        <is>
          <t>ACS-Affiliated Construction Services, Inc.</t>
        </is>
      </c>
      <c r="B558" s="56" t="inlineStr">
        <is>
          <t>1-30</t>
        </is>
      </c>
      <c r="C558" s="57" t="n">
        <v>36620.15</v>
      </c>
      <c r="D558" s="56" t="inlineStr">
        <is>
          <t>FALSE</t>
        </is>
      </c>
      <c r="E558" s="56" t="inlineStr">
        <is>
          <t>2026-06-17</t>
        </is>
      </c>
    </row>
    <row r="559">
      <c r="A559" s="56" t="inlineStr">
        <is>
          <t>ACS-Affiliated Construction Services, Inc.</t>
        </is>
      </c>
      <c r="B559" s="56" t="inlineStr">
        <is>
          <t>31-60</t>
        </is>
      </c>
      <c r="C559" s="57" t="n">
        <v>72880.67</v>
      </c>
      <c r="D559" s="56" t="inlineStr">
        <is>
          <t>FALSE</t>
        </is>
      </c>
      <c r="E559" s="56" t="inlineStr">
        <is>
          <t>2026-06-17</t>
        </is>
      </c>
    </row>
    <row r="560">
      <c r="A560" s="56" t="inlineStr">
        <is>
          <t>ACS-Affiliated Construction Services, Inc.</t>
        </is>
      </c>
      <c r="B560" s="56" t="inlineStr">
        <is>
          <t>91+</t>
        </is>
      </c>
      <c r="C560" s="57" t="n">
        <v>144737.82</v>
      </c>
      <c r="D560" s="56" t="inlineStr">
        <is>
          <t>FALSE</t>
        </is>
      </c>
      <c r="E560" s="56" t="inlineStr">
        <is>
          <t>2026-06-17</t>
        </is>
      </c>
    </row>
    <row r="561">
      <c r="A561" s="56" t="inlineStr">
        <is>
          <t>Arbor Homes</t>
        </is>
      </c>
      <c r="B561" s="56" t="inlineStr">
        <is>
          <t>Current</t>
        </is>
      </c>
      <c r="C561" s="57" t="n">
        <v>112439.58</v>
      </c>
      <c r="D561" s="56" t="inlineStr">
        <is>
          <t>FALSE</t>
        </is>
      </c>
      <c r="E561" s="56" t="inlineStr">
        <is>
          <t>2026-06-17</t>
        </is>
      </c>
    </row>
    <row r="562">
      <c r="A562" s="56" t="inlineStr">
        <is>
          <t>Arbor Homes</t>
        </is>
      </c>
      <c r="B562" s="56" t="inlineStr">
        <is>
          <t>61-90</t>
        </is>
      </c>
      <c r="C562" s="57" t="n">
        <v>20386.58</v>
      </c>
      <c r="D562" s="56" t="inlineStr">
        <is>
          <t>FALSE</t>
        </is>
      </c>
      <c r="E562" s="56" t="inlineStr">
        <is>
          <t>2026-06-17</t>
        </is>
      </c>
    </row>
    <row r="563">
      <c r="A563" s="56" t="inlineStr">
        <is>
          <t>Arbor Homes</t>
        </is>
      </c>
      <c r="B563" s="56" t="inlineStr">
        <is>
          <t>91+</t>
        </is>
      </c>
      <c r="C563" s="57" t="n">
        <v>-12094.76</v>
      </c>
      <c r="D563" s="56" t="inlineStr">
        <is>
          <t>FALSE</t>
        </is>
      </c>
      <c r="E563" s="56" t="inlineStr">
        <is>
          <t>2026-06-17</t>
        </is>
      </c>
    </row>
    <row r="564">
      <c r="A564" s="56" t="inlineStr">
        <is>
          <t>ARCO Design/Build</t>
        </is>
      </c>
      <c r="B564" s="56" t="inlineStr">
        <is>
          <t>Current</t>
        </is>
      </c>
      <c r="C564" s="57" t="n">
        <v>385369.33</v>
      </c>
      <c r="D564" s="56" t="inlineStr">
        <is>
          <t>FALSE</t>
        </is>
      </c>
      <c r="E564" s="56" t="inlineStr">
        <is>
          <t>2026-06-17</t>
        </is>
      </c>
    </row>
    <row r="565">
      <c r="A565" s="56" t="inlineStr">
        <is>
          <t>ARCO Design/Build</t>
        </is>
      </c>
      <c r="B565" s="56" t="inlineStr">
        <is>
          <t>1-30</t>
        </is>
      </c>
      <c r="C565" s="57" t="n">
        <v>26117.77</v>
      </c>
      <c r="D565" s="56" t="inlineStr">
        <is>
          <t>FALSE</t>
        </is>
      </c>
      <c r="E565" s="56" t="inlineStr">
        <is>
          <t>2026-06-17</t>
        </is>
      </c>
    </row>
    <row r="566">
      <c r="A566" s="56" t="inlineStr">
        <is>
          <t>ARCO Design/Build</t>
        </is>
      </c>
      <c r="B566" s="56" t="inlineStr">
        <is>
          <t>31-60</t>
        </is>
      </c>
      <c r="C566" s="57" t="n">
        <v>73818</v>
      </c>
      <c r="D566" s="56" t="inlineStr">
        <is>
          <t>FALSE</t>
        </is>
      </c>
      <c r="E566" s="56" t="inlineStr">
        <is>
          <t>2026-06-17</t>
        </is>
      </c>
    </row>
    <row r="567">
      <c r="A567" s="56" t="inlineStr">
        <is>
          <t>ARCO Design/Build</t>
        </is>
      </c>
      <c r="B567" s="56" t="inlineStr">
        <is>
          <t>91+</t>
        </is>
      </c>
      <c r="C567" s="57" t="n">
        <v>22752</v>
      </c>
      <c r="D567" s="56" t="inlineStr">
        <is>
          <t>FALSE</t>
        </is>
      </c>
      <c r="E567" s="56" t="inlineStr">
        <is>
          <t>2026-06-17</t>
        </is>
      </c>
    </row>
    <row r="568">
      <c r="A568" s="56" t="inlineStr">
        <is>
          <t>Avenue Construction, Inc.</t>
        </is>
      </c>
      <c r="B568" s="56" t="inlineStr">
        <is>
          <t>Current</t>
        </is>
      </c>
      <c r="C568" s="57" t="n">
        <v>387512.38</v>
      </c>
      <c r="D568" s="56" t="inlineStr">
        <is>
          <t>FALSE</t>
        </is>
      </c>
      <c r="E568" s="56" t="inlineStr">
        <is>
          <t>2026-06-17</t>
        </is>
      </c>
    </row>
    <row r="569">
      <c r="A569" s="56" t="inlineStr">
        <is>
          <t>Avenue Construction, Inc.</t>
        </is>
      </c>
      <c r="B569" s="56" t="inlineStr">
        <is>
          <t>31-60</t>
        </is>
      </c>
      <c r="C569" s="57" t="n">
        <v>66047.2</v>
      </c>
      <c r="D569" s="56" t="inlineStr">
        <is>
          <t>FALSE</t>
        </is>
      </c>
      <c r="E569" s="56" t="inlineStr">
        <is>
          <t>2026-06-17</t>
        </is>
      </c>
    </row>
    <row r="570">
      <c r="A570" s="56" t="inlineStr">
        <is>
          <t>Becknell Industries</t>
        </is>
      </c>
      <c r="B570" s="56" t="inlineStr">
        <is>
          <t>Current</t>
        </is>
      </c>
      <c r="C570" s="57" t="n">
        <v>13100</v>
      </c>
      <c r="D570" s="56" t="inlineStr">
        <is>
          <t>FALSE</t>
        </is>
      </c>
      <c r="E570" s="56" t="inlineStr">
        <is>
          <t>2026-06-17</t>
        </is>
      </c>
    </row>
    <row r="571">
      <c r="A571" s="56" t="inlineStr">
        <is>
          <t>Becknell Industries</t>
        </is>
      </c>
      <c r="B571" s="56" t="inlineStr">
        <is>
          <t>91+</t>
        </is>
      </c>
      <c r="C571" s="57" t="n">
        <v>2500</v>
      </c>
      <c r="D571" s="56" t="inlineStr">
        <is>
          <t>FALSE</t>
        </is>
      </c>
      <c r="E571" s="56" t="inlineStr">
        <is>
          <t>2026-06-17</t>
        </is>
      </c>
    </row>
    <row r="572">
      <c r="A572" s="56" t="inlineStr">
        <is>
          <t>Big Dawg Drywall</t>
        </is>
      </c>
      <c r="B572" s="56" t="inlineStr">
        <is>
          <t>1-30</t>
        </is>
      </c>
      <c r="C572" s="57" t="n">
        <v>5928.42</v>
      </c>
      <c r="D572" s="56" t="inlineStr">
        <is>
          <t>FALSE</t>
        </is>
      </c>
      <c r="E572" s="56" t="inlineStr">
        <is>
          <t>2026-06-17</t>
        </is>
      </c>
    </row>
    <row r="573">
      <c r="A573" s="56" t="inlineStr">
        <is>
          <t>Big Dawg Drywall</t>
        </is>
      </c>
      <c r="B573" s="56" t="inlineStr">
        <is>
          <t>91+</t>
        </is>
      </c>
      <c r="C573" s="57" t="n">
        <v>7365.93</v>
      </c>
      <c r="D573" s="56" t="inlineStr">
        <is>
          <t>FALSE</t>
        </is>
      </c>
      <c r="E573" s="56" t="inlineStr">
        <is>
          <t>2026-06-17</t>
        </is>
      </c>
    </row>
    <row r="574">
      <c r="A574" s="56" t="inlineStr">
        <is>
          <t>Bischoff Construction, LLC</t>
        </is>
      </c>
      <c r="B574" s="56" t="inlineStr">
        <is>
          <t>Current</t>
        </is>
      </c>
      <c r="C574" s="57" t="n">
        <v>4020</v>
      </c>
      <c r="D574" s="56" t="inlineStr">
        <is>
          <t>FALSE</t>
        </is>
      </c>
      <c r="E574" s="56" t="inlineStr">
        <is>
          <t>2026-06-17</t>
        </is>
      </c>
    </row>
    <row r="575">
      <c r="A575" s="56" t="inlineStr">
        <is>
          <t>BW Facility Management, LLC</t>
        </is>
      </c>
      <c r="B575" s="56" t="inlineStr">
        <is>
          <t>Current</t>
        </is>
      </c>
      <c r="C575" s="57" t="n">
        <v>34444.01</v>
      </c>
      <c r="D575" s="56" t="inlineStr">
        <is>
          <t>FALSE</t>
        </is>
      </c>
      <c r="E575" s="56" t="inlineStr">
        <is>
          <t>2026-06-17</t>
        </is>
      </c>
    </row>
    <row r="576">
      <c r="A576" s="56" t="inlineStr">
        <is>
          <t>Cargo Loop, LLC</t>
        </is>
      </c>
      <c r="B576" s="56" t="inlineStr">
        <is>
          <t>Current</t>
        </is>
      </c>
      <c r="C576" s="57" t="n">
        <v>10417</v>
      </c>
      <c r="D576" s="56" t="inlineStr">
        <is>
          <t>FALSE</t>
        </is>
      </c>
      <c r="E576" s="56" t="inlineStr">
        <is>
          <t>2026-06-17</t>
        </is>
      </c>
    </row>
    <row r="577">
      <c r="A577" s="56" t="inlineStr">
        <is>
          <t>Centric Projects, LLC</t>
        </is>
      </c>
      <c r="B577" s="56" t="inlineStr">
        <is>
          <t>Current</t>
        </is>
      </c>
      <c r="C577" s="57" t="n">
        <v>174505.69</v>
      </c>
      <c r="D577" s="56" t="inlineStr">
        <is>
          <t>FALSE</t>
        </is>
      </c>
      <c r="E577" s="56" t="inlineStr">
        <is>
          <t>2026-06-17</t>
        </is>
      </c>
    </row>
    <row r="578">
      <c r="A578" s="56" t="inlineStr">
        <is>
          <t>Centric Projects, LLC</t>
        </is>
      </c>
      <c r="B578" s="56" t="inlineStr">
        <is>
          <t>1-30</t>
        </is>
      </c>
      <c r="C578" s="57" t="n">
        <v>77705.72</v>
      </c>
      <c r="D578" s="56" t="inlineStr">
        <is>
          <t>FALSE</t>
        </is>
      </c>
      <c r="E578" s="56" t="inlineStr">
        <is>
          <t>2026-06-17</t>
        </is>
      </c>
    </row>
    <row r="579">
      <c r="A579" s="56" t="inlineStr">
        <is>
          <t>Clark Construction</t>
        </is>
      </c>
      <c r="B579" s="56" t="inlineStr">
        <is>
          <t>Current</t>
        </is>
      </c>
      <c r="C579" s="57" t="n">
        <v>889172</v>
      </c>
      <c r="D579" s="56" t="inlineStr">
        <is>
          <t>FALSE</t>
        </is>
      </c>
      <c r="E579" s="56" t="inlineStr">
        <is>
          <t>2026-06-17</t>
        </is>
      </c>
    </row>
    <row r="580">
      <c r="A580" s="56" t="inlineStr">
        <is>
          <t>Clark Construction</t>
        </is>
      </c>
      <c r="B580" s="56" t="inlineStr">
        <is>
          <t>1-30</t>
        </is>
      </c>
      <c r="C580" s="57" t="n">
        <v>129947</v>
      </c>
      <c r="D580" s="56" t="inlineStr">
        <is>
          <t>FALSE</t>
        </is>
      </c>
      <c r="E580" s="56" t="inlineStr">
        <is>
          <t>2026-06-17</t>
        </is>
      </c>
    </row>
    <row r="581">
      <c r="A581" s="56" t="inlineStr">
        <is>
          <t>Community Drywall</t>
        </is>
      </c>
      <c r="B581" s="56" t="inlineStr">
        <is>
          <t>91+</t>
        </is>
      </c>
      <c r="C581" s="57" t="n">
        <v>13844.41</v>
      </c>
      <c r="D581" s="56" t="inlineStr">
        <is>
          <t>FALSE</t>
        </is>
      </c>
      <c r="E581" s="56" t="inlineStr">
        <is>
          <t>2026-06-17</t>
        </is>
      </c>
    </row>
    <row r="582">
      <c r="A582" s="56" t="inlineStr">
        <is>
          <t>Compass Commercial Construction Group</t>
        </is>
      </c>
      <c r="B582" s="56" t="inlineStr">
        <is>
          <t>Current</t>
        </is>
      </c>
      <c r="C582" s="57" t="n">
        <v>352621.67</v>
      </c>
      <c r="D582" s="56" t="inlineStr">
        <is>
          <t>FALSE</t>
        </is>
      </c>
      <c r="E582" s="56" t="inlineStr">
        <is>
          <t>2026-06-17</t>
        </is>
      </c>
    </row>
    <row r="583">
      <c r="A583" s="56" t="inlineStr">
        <is>
          <t>Compass Commercial Construction Group</t>
        </is>
      </c>
      <c r="B583" s="56" t="inlineStr">
        <is>
          <t>31-60</t>
        </is>
      </c>
      <c r="C583" s="57" t="n">
        <v>68841.53999999999</v>
      </c>
      <c r="D583" s="56" t="inlineStr">
        <is>
          <t>FALSE</t>
        </is>
      </c>
      <c r="E583" s="56" t="inlineStr">
        <is>
          <t>2026-06-17</t>
        </is>
      </c>
    </row>
    <row r="584">
      <c r="A584" s="56" t="inlineStr">
        <is>
          <t>Convivio Italian Artisan Cuisine (SPIGA Noblesville)</t>
        </is>
      </c>
      <c r="B584" s="56" t="inlineStr">
        <is>
          <t>Current</t>
        </is>
      </c>
      <c r="C584" s="57" t="n">
        <v>2555.2</v>
      </c>
      <c r="D584" s="56" t="inlineStr">
        <is>
          <t>FALSE</t>
        </is>
      </c>
      <c r="E584" s="56" t="inlineStr">
        <is>
          <t>2026-06-17</t>
        </is>
      </c>
    </row>
    <row r="585">
      <c r="A585" s="56" t="inlineStr">
        <is>
          <t>Cornerstone Flooring</t>
        </is>
      </c>
      <c r="B585" s="56" t="inlineStr">
        <is>
          <t>61-90</t>
        </is>
      </c>
      <c r="C585" s="57" t="n">
        <v>7500</v>
      </c>
      <c r="D585" s="56" t="inlineStr">
        <is>
          <t>FALSE</t>
        </is>
      </c>
      <c r="E585" s="56" t="inlineStr">
        <is>
          <t>2026-06-17</t>
        </is>
      </c>
    </row>
    <row r="586">
      <c r="A586" s="56" t="inlineStr">
        <is>
          <t>County Prestress &amp; Precast, LLC</t>
        </is>
      </c>
      <c r="B586" s="56" t="inlineStr">
        <is>
          <t>Current</t>
        </is>
      </c>
      <c r="C586" s="57" t="n">
        <v>30500</v>
      </c>
      <c r="D586" s="56" t="inlineStr">
        <is>
          <t>FALSE</t>
        </is>
      </c>
      <c r="E586" s="56" t="inlineStr">
        <is>
          <t>2026-06-17</t>
        </is>
      </c>
    </row>
    <row r="587">
      <c r="A587" s="56" t="inlineStr">
        <is>
          <t>County Prestress &amp; Precast, LLC</t>
        </is>
      </c>
      <c r="B587" s="56" t="inlineStr">
        <is>
          <t>31-60</t>
        </is>
      </c>
      <c r="C587" s="57" t="n">
        <v>22000</v>
      </c>
      <c r="D587" s="56" t="inlineStr">
        <is>
          <t>FALSE</t>
        </is>
      </c>
      <c r="E587" s="56" t="inlineStr">
        <is>
          <t>2026-06-17</t>
        </is>
      </c>
    </row>
    <row r="588">
      <c r="A588" s="56" t="inlineStr">
        <is>
          <t>Daniel T Swanson</t>
        </is>
      </c>
      <c r="B588" s="56" t="inlineStr">
        <is>
          <t>1-30</t>
        </is>
      </c>
      <c r="C588" s="57" t="n">
        <v>16000</v>
      </c>
      <c r="D588" s="56" t="inlineStr">
        <is>
          <t>FALSE</t>
        </is>
      </c>
      <c r="E588" s="56" t="inlineStr">
        <is>
          <t>2026-06-17</t>
        </is>
      </c>
    </row>
    <row r="589">
      <c r="A589" s="56" t="inlineStr">
        <is>
          <t>DEEM, LLC</t>
        </is>
      </c>
      <c r="B589" s="56" t="inlineStr">
        <is>
          <t>Current</t>
        </is>
      </c>
      <c r="C589" s="57" t="n">
        <v>61895.38</v>
      </c>
      <c r="D589" s="56" t="inlineStr">
        <is>
          <t>FALSE</t>
        </is>
      </c>
      <c r="E589" s="56" t="inlineStr">
        <is>
          <t>2026-06-17</t>
        </is>
      </c>
    </row>
    <row r="590">
      <c r="A590" s="56" t="inlineStr">
        <is>
          <t>DEEM, LLC</t>
        </is>
      </c>
      <c r="B590" s="56" t="inlineStr">
        <is>
          <t>1-30</t>
        </is>
      </c>
      <c r="C590" s="57" t="n">
        <v>2000</v>
      </c>
      <c r="D590" s="56" t="inlineStr">
        <is>
          <t>FALSE</t>
        </is>
      </c>
      <c r="E590" s="56" t="inlineStr">
        <is>
          <t>2026-06-17</t>
        </is>
      </c>
    </row>
    <row r="591">
      <c r="A591" s="56" t="inlineStr">
        <is>
          <t>DEEM, LLC</t>
        </is>
      </c>
      <c r="B591" s="56" t="inlineStr">
        <is>
          <t>31-60</t>
        </is>
      </c>
      <c r="C591" s="57" t="n">
        <v>4225.5</v>
      </c>
      <c r="D591" s="56" t="inlineStr">
        <is>
          <t>FALSE</t>
        </is>
      </c>
      <c r="E591" s="56" t="inlineStr">
        <is>
          <t>2026-06-17</t>
        </is>
      </c>
    </row>
    <row r="592">
      <c r="A592" s="56" t="inlineStr">
        <is>
          <t>DEEM, LLC</t>
        </is>
      </c>
      <c r="B592" s="56" t="inlineStr">
        <is>
          <t>61-90</t>
        </is>
      </c>
      <c r="C592" s="57" t="n">
        <v>28757.01</v>
      </c>
      <c r="D592" s="56" t="inlineStr">
        <is>
          <t>FALSE</t>
        </is>
      </c>
      <c r="E592" s="56" t="inlineStr">
        <is>
          <t>2026-06-17</t>
        </is>
      </c>
    </row>
    <row r="593">
      <c r="A593" s="56" t="inlineStr">
        <is>
          <t>DEEM, LLC</t>
        </is>
      </c>
      <c r="B593" s="56" t="inlineStr">
        <is>
          <t>91+</t>
        </is>
      </c>
      <c r="C593" s="57" t="n">
        <v>5000.03</v>
      </c>
      <c r="D593" s="56" t="inlineStr">
        <is>
          <t>FALSE</t>
        </is>
      </c>
      <c r="E593" s="56" t="inlineStr">
        <is>
          <t>2026-06-17</t>
        </is>
      </c>
    </row>
    <row r="594">
      <c r="A594" s="56" t="inlineStr">
        <is>
          <t>Diaz Gutter and Drywall, LLC</t>
        </is>
      </c>
      <c r="B594" s="56" t="inlineStr">
        <is>
          <t>91+</t>
        </is>
      </c>
      <c r="C594" s="57" t="n">
        <v>2399.42</v>
      </c>
      <c r="D594" s="56" t="inlineStr">
        <is>
          <t>FALSE</t>
        </is>
      </c>
      <c r="E594" s="56" t="inlineStr">
        <is>
          <t>2026-06-17</t>
        </is>
      </c>
    </row>
    <row r="595">
      <c r="A595" s="56" t="inlineStr">
        <is>
          <t>DLR Group</t>
        </is>
      </c>
      <c r="B595" s="56" t="inlineStr">
        <is>
          <t>31-60</t>
        </is>
      </c>
      <c r="C595" s="57" t="n">
        <v>4500</v>
      </c>
      <c r="D595" s="56" t="inlineStr">
        <is>
          <t>FALSE</t>
        </is>
      </c>
      <c r="E595" s="56" t="inlineStr">
        <is>
          <t>2026-06-17</t>
        </is>
      </c>
    </row>
    <row r="596">
      <c r="A596" s="56" t="inlineStr">
        <is>
          <t>Enviro-Max</t>
        </is>
      </c>
      <c r="B596" s="56" t="inlineStr">
        <is>
          <t>61-90</t>
        </is>
      </c>
      <c r="C596" s="57" t="n">
        <v>3500</v>
      </c>
      <c r="D596" s="56" t="inlineStr">
        <is>
          <t>FALSE</t>
        </is>
      </c>
      <c r="E596" s="56" t="inlineStr">
        <is>
          <t>2026-06-17</t>
        </is>
      </c>
    </row>
    <row r="597">
      <c r="A597" s="56" t="inlineStr">
        <is>
          <t>Flores Drywall and Remodeling LLC</t>
        </is>
      </c>
      <c r="B597" s="56" t="inlineStr">
        <is>
          <t>Current</t>
        </is>
      </c>
      <c r="C597" s="57" t="n">
        <v>91048.89999999999</v>
      </c>
      <c r="D597" s="56" t="inlineStr">
        <is>
          <t>FALSE</t>
        </is>
      </c>
      <c r="E597" s="56" t="inlineStr">
        <is>
          <t>2026-06-17</t>
        </is>
      </c>
    </row>
    <row r="598">
      <c r="A598" s="56" t="inlineStr">
        <is>
          <t>Flores Drywall and Remodeling LLC</t>
        </is>
      </c>
      <c r="B598" s="56" t="inlineStr">
        <is>
          <t>1-30</t>
        </is>
      </c>
      <c r="C598" s="57" t="n">
        <v>15112.12</v>
      </c>
      <c r="D598" s="56" t="inlineStr">
        <is>
          <t>FALSE</t>
        </is>
      </c>
      <c r="E598" s="56" t="inlineStr">
        <is>
          <t>2026-06-17</t>
        </is>
      </c>
    </row>
    <row r="599">
      <c r="A599" s="56" t="inlineStr">
        <is>
          <t>Forge Construction, LLC</t>
        </is>
      </c>
      <c r="B599" s="56" t="inlineStr">
        <is>
          <t>Current</t>
        </is>
      </c>
      <c r="C599" s="57" t="n">
        <v>3600</v>
      </c>
      <c r="D599" s="56" t="inlineStr">
        <is>
          <t>FALSE</t>
        </is>
      </c>
      <c r="E599" s="56" t="inlineStr">
        <is>
          <t>2026-06-17</t>
        </is>
      </c>
    </row>
    <row r="600">
      <c r="A600" s="56" t="inlineStr">
        <is>
          <t>Garmong Construction Services</t>
        </is>
      </c>
      <c r="B600" s="56" t="inlineStr">
        <is>
          <t>Current</t>
        </is>
      </c>
      <c r="C600" s="57" t="n">
        <v>141648.31</v>
      </c>
      <c r="D600" s="56" t="inlineStr">
        <is>
          <t>FALSE</t>
        </is>
      </c>
      <c r="E600" s="56" t="inlineStr">
        <is>
          <t>2026-06-17</t>
        </is>
      </c>
    </row>
    <row r="601">
      <c r="A601" s="56" t="inlineStr">
        <is>
          <t>Garmong Construction Services</t>
        </is>
      </c>
      <c r="B601" s="56" t="inlineStr">
        <is>
          <t>1-30</t>
        </is>
      </c>
      <c r="C601" s="57" t="n">
        <v>236453.93</v>
      </c>
      <c r="D601" s="56" t="inlineStr">
        <is>
          <t>FALSE</t>
        </is>
      </c>
      <c r="E601" s="56" t="inlineStr">
        <is>
          <t>2026-06-17</t>
        </is>
      </c>
    </row>
    <row r="602">
      <c r="A602" s="56" t="inlineStr">
        <is>
          <t>GSI - Gregory Scott Inabnit LLC</t>
        </is>
      </c>
      <c r="B602" s="56" t="inlineStr">
        <is>
          <t>91+</t>
        </is>
      </c>
      <c r="C602" s="57" t="n">
        <v>52867.87</v>
      </c>
      <c r="D602" s="56" t="inlineStr">
        <is>
          <t>FALSE</t>
        </is>
      </c>
      <c r="E602" s="56" t="inlineStr">
        <is>
          <t>2026-06-17</t>
        </is>
      </c>
    </row>
    <row r="603">
      <c r="A603" s="56" t="inlineStr">
        <is>
          <t>Holladay Construction Group</t>
        </is>
      </c>
      <c r="B603" s="56" t="inlineStr">
        <is>
          <t>Current</t>
        </is>
      </c>
      <c r="C603" s="57" t="n">
        <v>202650.67</v>
      </c>
      <c r="D603" s="56" t="inlineStr">
        <is>
          <t>FALSE</t>
        </is>
      </c>
      <c r="E603" s="56" t="inlineStr">
        <is>
          <t>2026-06-17</t>
        </is>
      </c>
    </row>
    <row r="604">
      <c r="A604" s="56" t="inlineStr">
        <is>
          <t>Holladay Construction Group</t>
        </is>
      </c>
      <c r="B604" s="56" t="inlineStr">
        <is>
          <t>1-30</t>
        </is>
      </c>
      <c r="C604" s="57" t="n">
        <v>82260</v>
      </c>
      <c r="D604" s="56" t="inlineStr">
        <is>
          <t>FALSE</t>
        </is>
      </c>
      <c r="E604" s="56" t="inlineStr">
        <is>
          <t>2026-06-17</t>
        </is>
      </c>
    </row>
    <row r="605">
      <c r="A605" s="56" t="inlineStr">
        <is>
          <t>Indianapolis Fire Department</t>
        </is>
      </c>
      <c r="B605" s="56" t="inlineStr">
        <is>
          <t>91+</t>
        </is>
      </c>
      <c r="C605" s="57" t="n">
        <v>768.35</v>
      </c>
      <c r="D605" s="56" t="inlineStr">
        <is>
          <t>FALSE</t>
        </is>
      </c>
      <c r="E605" s="56" t="inlineStr">
        <is>
          <t>2026-06-17</t>
        </is>
      </c>
    </row>
    <row r="606">
      <c r="A606" s="56" t="inlineStr">
        <is>
          <t>Indiana Steel Fabricating</t>
        </is>
      </c>
      <c r="B606" s="56" t="inlineStr">
        <is>
          <t>Current</t>
        </is>
      </c>
      <c r="C606" s="57" t="n">
        <v>8000</v>
      </c>
      <c r="D606" s="56" t="inlineStr">
        <is>
          <t>FALSE</t>
        </is>
      </c>
      <c r="E606" s="56" t="inlineStr">
        <is>
          <t>2026-06-17</t>
        </is>
      </c>
    </row>
    <row r="607">
      <c r="A607" s="56" t="inlineStr">
        <is>
          <t>J.C. Hart Company, Inc.</t>
        </is>
      </c>
      <c r="B607" s="56" t="inlineStr">
        <is>
          <t>Current</t>
        </is>
      </c>
      <c r="C607" s="57" t="n">
        <v>96132.92</v>
      </c>
      <c r="D607" s="56" t="inlineStr">
        <is>
          <t>FALSE</t>
        </is>
      </c>
      <c r="E607" s="56" t="inlineStr">
        <is>
          <t>2026-06-17</t>
        </is>
      </c>
    </row>
    <row r="608">
      <c r="A608" s="56" t="inlineStr">
        <is>
          <t>J.C. Hart Company, Inc.</t>
        </is>
      </c>
      <c r="B608" s="56" t="inlineStr">
        <is>
          <t>1-30</t>
        </is>
      </c>
      <c r="C608" s="57" t="n">
        <v>63353.47</v>
      </c>
      <c r="D608" s="56" t="inlineStr">
        <is>
          <t>FALSE</t>
        </is>
      </c>
      <c r="E608" s="56" t="inlineStr">
        <is>
          <t>2026-06-17</t>
        </is>
      </c>
    </row>
    <row r="609">
      <c r="A609" s="56" t="inlineStr">
        <is>
          <t>JRA Architecture, LLC</t>
        </is>
      </c>
      <c r="B609" s="56" t="inlineStr">
        <is>
          <t>1-30</t>
        </is>
      </c>
      <c r="C609" s="57" t="n">
        <v>6000</v>
      </c>
      <c r="D609" s="56" t="inlineStr">
        <is>
          <t>FALSE</t>
        </is>
      </c>
      <c r="E609" s="56" t="inlineStr">
        <is>
          <t>2026-06-17</t>
        </is>
      </c>
    </row>
    <row r="610">
      <c r="A610" s="56" t="inlineStr">
        <is>
          <t>Kjt General Construction</t>
        </is>
      </c>
      <c r="B610" s="56" t="inlineStr">
        <is>
          <t>61-90</t>
        </is>
      </c>
      <c r="C610" s="57" t="n">
        <v>2072.89</v>
      </c>
      <c r="D610" s="56" t="inlineStr">
        <is>
          <t>FALSE</t>
        </is>
      </c>
      <c r="E610" s="56" t="inlineStr">
        <is>
          <t>2026-06-17</t>
        </is>
      </c>
    </row>
    <row r="611">
      <c r="A611" s="56" t="inlineStr">
        <is>
          <t>Kjt General Construction</t>
        </is>
      </c>
      <c r="B611" s="56" t="inlineStr">
        <is>
          <t>91+</t>
        </is>
      </c>
      <c r="C611" s="57" t="n">
        <v>26152.31</v>
      </c>
      <c r="D611" s="56" t="inlineStr">
        <is>
          <t>FALSE</t>
        </is>
      </c>
      <c r="E611" s="56" t="inlineStr">
        <is>
          <t>2026-06-17</t>
        </is>
      </c>
    </row>
    <row r="612">
      <c r="A612" s="56" t="inlineStr">
        <is>
          <t>Lauth Group, Inc.</t>
        </is>
      </c>
      <c r="B612" s="56" t="inlineStr">
        <is>
          <t>91+</t>
        </is>
      </c>
      <c r="C612" s="57" t="n">
        <v>5000</v>
      </c>
      <c r="D612" s="56" t="inlineStr">
        <is>
          <t>FALSE</t>
        </is>
      </c>
      <c r="E612" s="56" t="inlineStr">
        <is>
          <t>2026-06-17</t>
        </is>
      </c>
    </row>
    <row r="613">
      <c r="A613" s="56" t="inlineStr">
        <is>
          <t>Marous Brothers Construction</t>
        </is>
      </c>
      <c r="B613" s="56" t="inlineStr">
        <is>
          <t>Current</t>
        </is>
      </c>
      <c r="C613" s="57" t="n">
        <v>119746.42</v>
      </c>
      <c r="D613" s="56" t="inlineStr">
        <is>
          <t>FALSE</t>
        </is>
      </c>
      <c r="E613" s="56" t="inlineStr">
        <is>
          <t>2026-06-17</t>
        </is>
      </c>
    </row>
    <row r="614">
      <c r="A614" s="56" t="inlineStr">
        <is>
          <t>Marous Brothers Construction</t>
        </is>
      </c>
      <c r="B614" s="56" t="inlineStr">
        <is>
          <t>1-30</t>
        </is>
      </c>
      <c r="C614" s="57" t="n">
        <v>435716.98</v>
      </c>
      <c r="D614" s="56" t="inlineStr">
        <is>
          <t>FALSE</t>
        </is>
      </c>
      <c r="E614" s="56" t="inlineStr">
        <is>
          <t>2026-06-17</t>
        </is>
      </c>
    </row>
    <row r="615">
      <c r="A615" s="56" t="inlineStr">
        <is>
          <t>Marous Brothers Construction</t>
        </is>
      </c>
      <c r="B615" s="56" t="inlineStr">
        <is>
          <t>31-60</t>
        </is>
      </c>
      <c r="C615" s="57" t="n">
        <v>0.01</v>
      </c>
      <c r="D615" s="56" t="inlineStr">
        <is>
          <t>FALSE</t>
        </is>
      </c>
      <c r="E615" s="56" t="inlineStr">
        <is>
          <t>2026-06-17</t>
        </is>
      </c>
    </row>
    <row r="616">
      <c r="A616" s="56" t="inlineStr">
        <is>
          <t>MDG Holdings, LLC</t>
        </is>
      </c>
      <c r="B616" s="56" t="inlineStr">
        <is>
          <t>91+</t>
        </is>
      </c>
      <c r="C616" s="57" t="n">
        <v>4708.82</v>
      </c>
      <c r="D616" s="56" t="inlineStr">
        <is>
          <t>FALSE</t>
        </is>
      </c>
      <c r="E616" s="56" t="inlineStr">
        <is>
          <t>2026-06-17</t>
        </is>
      </c>
    </row>
    <row r="617">
      <c r="A617" s="56" t="inlineStr">
        <is>
          <t>Meyer Najem</t>
        </is>
      </c>
      <c r="B617" s="56" t="inlineStr">
        <is>
          <t>Current</t>
        </is>
      </c>
      <c r="C617" s="57" t="n">
        <v>6267.5</v>
      </c>
      <c r="D617" s="56" t="inlineStr">
        <is>
          <t>FALSE</t>
        </is>
      </c>
      <c r="E617" s="56" t="inlineStr">
        <is>
          <t>2026-06-17</t>
        </is>
      </c>
    </row>
    <row r="618">
      <c r="A618" s="56" t="inlineStr">
        <is>
          <t>Meyer Najem</t>
        </is>
      </c>
      <c r="B618" s="56" t="inlineStr">
        <is>
          <t>61-90</t>
        </is>
      </c>
      <c r="C618" s="57" t="n">
        <v>26925.21</v>
      </c>
      <c r="D618" s="56" t="inlineStr">
        <is>
          <t>FALSE</t>
        </is>
      </c>
      <c r="E618" s="56" t="inlineStr">
        <is>
          <t>2026-06-17</t>
        </is>
      </c>
    </row>
    <row r="619">
      <c r="A619" s="56" t="inlineStr">
        <is>
          <t>Meyer Najem</t>
        </is>
      </c>
      <c r="B619" s="56" t="inlineStr">
        <is>
          <t>91+</t>
        </is>
      </c>
      <c r="C619" s="57" t="n">
        <v>188023.46</v>
      </c>
      <c r="D619" s="56" t="inlineStr">
        <is>
          <t>FALSE</t>
        </is>
      </c>
      <c r="E619" s="56" t="inlineStr">
        <is>
          <t>2026-06-17</t>
        </is>
      </c>
    </row>
    <row r="620">
      <c r="A620" s="56" t="inlineStr">
        <is>
          <t>Michael Valentine</t>
        </is>
      </c>
      <c r="B620" s="56" t="inlineStr">
        <is>
          <t>91+</t>
        </is>
      </c>
      <c r="C620" s="57" t="n">
        <v>12430.13</v>
      </c>
      <c r="D620" s="56" t="inlineStr">
        <is>
          <t>FALSE</t>
        </is>
      </c>
      <c r="E620" s="56" t="inlineStr">
        <is>
          <t>2026-06-17</t>
        </is>
      </c>
    </row>
    <row r="621">
      <c r="A621" s="56" t="inlineStr">
        <is>
          <t>MILHAUS Construction</t>
        </is>
      </c>
      <c r="B621" s="56" t="inlineStr">
        <is>
          <t>Current</t>
        </is>
      </c>
      <c r="C621" s="57" t="n">
        <v>509895</v>
      </c>
      <c r="D621" s="56" t="inlineStr">
        <is>
          <t>FALSE</t>
        </is>
      </c>
      <c r="E621" s="56" t="inlineStr">
        <is>
          <t>2026-06-17</t>
        </is>
      </c>
    </row>
    <row r="622">
      <c r="A622" s="56" t="inlineStr">
        <is>
          <t>MILHAUS Construction</t>
        </is>
      </c>
      <c r="B622" s="56" t="inlineStr">
        <is>
          <t>1-30</t>
        </is>
      </c>
      <c r="C622" s="57" t="n">
        <v>206955</v>
      </c>
      <c r="D622" s="56" t="inlineStr">
        <is>
          <t>FALSE</t>
        </is>
      </c>
      <c r="E622" s="56" t="inlineStr">
        <is>
          <t>2026-06-17</t>
        </is>
      </c>
    </row>
    <row r="623">
      <c r="A623" s="56" t="inlineStr">
        <is>
          <t>MILHAUS Construction</t>
        </is>
      </c>
      <c r="B623" s="56" t="inlineStr">
        <is>
          <t>31-60</t>
        </is>
      </c>
      <c r="C623" s="57" t="n">
        <v>510367.5</v>
      </c>
      <c r="D623" s="56" t="inlineStr">
        <is>
          <t>FALSE</t>
        </is>
      </c>
      <c r="E623" s="56" t="inlineStr">
        <is>
          <t>2026-06-17</t>
        </is>
      </c>
    </row>
    <row r="624">
      <c r="A624" s="56" t="inlineStr">
        <is>
          <t>MILHAUS Construction</t>
        </is>
      </c>
      <c r="B624" s="56" t="inlineStr">
        <is>
          <t>61-90</t>
        </is>
      </c>
      <c r="C624" s="57" t="n">
        <v>256635</v>
      </c>
      <c r="D624" s="56" t="inlineStr">
        <is>
          <t>FALSE</t>
        </is>
      </c>
      <c r="E624" s="56" t="inlineStr">
        <is>
          <t>2026-06-17</t>
        </is>
      </c>
    </row>
    <row r="625">
      <c r="A625" s="56" t="inlineStr">
        <is>
          <t>Mitsch Design</t>
        </is>
      </c>
      <c r="B625" s="56" t="inlineStr">
        <is>
          <t>91+</t>
        </is>
      </c>
      <c r="C625" s="57" t="n">
        <v>19000</v>
      </c>
      <c r="D625" s="56" t="inlineStr">
        <is>
          <t>FALSE</t>
        </is>
      </c>
      <c r="E625" s="56" t="inlineStr">
        <is>
          <t>2026-06-17</t>
        </is>
      </c>
    </row>
    <row r="626">
      <c r="A626" s="56" t="inlineStr">
        <is>
          <t>Novo Development Group, LLC</t>
        </is>
      </c>
      <c r="B626" s="56" t="inlineStr">
        <is>
          <t>Current</t>
        </is>
      </c>
      <c r="C626" s="57" t="n">
        <v>60165.16</v>
      </c>
      <c r="D626" s="56" t="inlineStr">
        <is>
          <t>FALSE</t>
        </is>
      </c>
      <c r="E626" s="56" t="inlineStr">
        <is>
          <t>2026-06-17</t>
        </is>
      </c>
    </row>
    <row r="627">
      <c r="A627" s="56" t="inlineStr">
        <is>
          <t>Novo Development Group, LLC</t>
        </is>
      </c>
      <c r="B627" s="56" t="inlineStr">
        <is>
          <t>31-60</t>
        </is>
      </c>
      <c r="C627" s="57" t="n">
        <v>-1973.34</v>
      </c>
      <c r="D627" s="56" t="inlineStr">
        <is>
          <t>FALSE</t>
        </is>
      </c>
      <c r="E627" s="56" t="inlineStr">
        <is>
          <t>2026-06-17</t>
        </is>
      </c>
    </row>
    <row r="628">
      <c r="A628" s="56" t="inlineStr">
        <is>
          <t>Old Town Construction</t>
        </is>
      </c>
      <c r="B628" s="56" t="inlineStr">
        <is>
          <t>Current</t>
        </is>
      </c>
      <c r="C628" s="57" t="n">
        <v>352057.58</v>
      </c>
      <c r="D628" s="56" t="inlineStr">
        <is>
          <t>FALSE</t>
        </is>
      </c>
      <c r="E628" s="56" t="inlineStr">
        <is>
          <t>2026-06-17</t>
        </is>
      </c>
    </row>
    <row r="629">
      <c r="A629" s="56" t="inlineStr">
        <is>
          <t>Old Town Construction</t>
        </is>
      </c>
      <c r="B629" s="56" t="inlineStr">
        <is>
          <t>31-60</t>
        </is>
      </c>
      <c r="C629" s="57" t="n">
        <v>407993.89</v>
      </c>
      <c r="D629" s="56" t="inlineStr">
        <is>
          <t>FALSE</t>
        </is>
      </c>
      <c r="E629" s="56" t="inlineStr">
        <is>
          <t>2026-06-17</t>
        </is>
      </c>
    </row>
    <row r="630">
      <c r="A630" s="56" t="inlineStr">
        <is>
          <t>Patch Development</t>
        </is>
      </c>
      <c r="B630" s="56" t="inlineStr">
        <is>
          <t>Current</t>
        </is>
      </c>
      <c r="C630" s="57" t="n">
        <v>15211.87</v>
      </c>
      <c r="D630" s="56" t="inlineStr">
        <is>
          <t>FALSE</t>
        </is>
      </c>
      <c r="E630" s="56" t="inlineStr">
        <is>
          <t>2026-06-17</t>
        </is>
      </c>
    </row>
    <row r="631">
      <c r="A631" s="56" t="inlineStr">
        <is>
          <t>Patch Development</t>
        </is>
      </c>
      <c r="B631" s="56" t="inlineStr">
        <is>
          <t>1-30</t>
        </is>
      </c>
      <c r="C631" s="57" t="n">
        <v>44532.3</v>
      </c>
      <c r="D631" s="56" t="inlineStr">
        <is>
          <t>FALSE</t>
        </is>
      </c>
      <c r="E631" s="56" t="inlineStr">
        <is>
          <t>2026-06-17</t>
        </is>
      </c>
    </row>
    <row r="632">
      <c r="A632" s="56" t="inlineStr">
        <is>
          <t>Patch Development</t>
        </is>
      </c>
      <c r="B632" s="56" t="inlineStr">
        <is>
          <t>31-60</t>
        </is>
      </c>
      <c r="C632" s="57" t="n">
        <v>1350</v>
      </c>
      <c r="D632" s="56" t="inlineStr">
        <is>
          <t>FALSE</t>
        </is>
      </c>
      <c r="E632" s="56" t="inlineStr">
        <is>
          <t>2026-06-17</t>
        </is>
      </c>
    </row>
    <row r="633">
      <c r="A633" s="56" t="inlineStr">
        <is>
          <t>Patch Development</t>
        </is>
      </c>
      <c r="B633" s="56" t="inlineStr">
        <is>
          <t>91+</t>
        </is>
      </c>
      <c r="C633" s="57" t="n">
        <v>39000</v>
      </c>
      <c r="D633" s="56" t="inlineStr">
        <is>
          <t>FALSE</t>
        </is>
      </c>
      <c r="E633" s="56" t="inlineStr">
        <is>
          <t>2026-06-17</t>
        </is>
      </c>
    </row>
    <row r="634">
      <c r="A634" s="56" t="inlineStr">
        <is>
          <t>Patterson Horth, Inc.</t>
        </is>
      </c>
      <c r="B634" s="56" t="inlineStr">
        <is>
          <t>91+</t>
        </is>
      </c>
      <c r="C634" s="57" t="n">
        <v>143724.99</v>
      </c>
      <c r="D634" s="56" t="inlineStr">
        <is>
          <t>FALSE</t>
        </is>
      </c>
      <c r="E634" s="56" t="inlineStr">
        <is>
          <t>2026-06-17</t>
        </is>
      </c>
    </row>
    <row r="635">
      <c r="A635" s="56" t="inlineStr">
        <is>
          <t>Precision Dry Wall</t>
        </is>
      </c>
      <c r="B635" s="56" t="inlineStr">
        <is>
          <t>Current</t>
        </is>
      </c>
      <c r="C635" s="57" t="n">
        <v>26295.22</v>
      </c>
      <c r="D635" s="56" t="inlineStr">
        <is>
          <t>FALSE</t>
        </is>
      </c>
      <c r="E635" s="56" t="inlineStr">
        <is>
          <t>2026-06-17</t>
        </is>
      </c>
    </row>
    <row r="636">
      <c r="A636" s="56" t="inlineStr">
        <is>
          <t>Precision Dry Wall</t>
        </is>
      </c>
      <c r="B636" s="56" t="inlineStr">
        <is>
          <t>1-30</t>
        </is>
      </c>
      <c r="C636" s="57" t="n">
        <v>16327.53</v>
      </c>
      <c r="D636" s="56" t="inlineStr">
        <is>
          <t>FALSE</t>
        </is>
      </c>
      <c r="E636" s="56" t="inlineStr">
        <is>
          <t>2026-06-17</t>
        </is>
      </c>
    </row>
    <row r="637">
      <c r="A637" s="56" t="inlineStr">
        <is>
          <t>Priority Constructors</t>
        </is>
      </c>
      <c r="B637" s="56" t="inlineStr">
        <is>
          <t>91+</t>
        </is>
      </c>
      <c r="C637" s="57" t="n">
        <v>720.0599999999999</v>
      </c>
      <c r="D637" s="56" t="inlineStr">
        <is>
          <t>FALSE</t>
        </is>
      </c>
      <c r="E637" s="56" t="inlineStr">
        <is>
          <t>2026-06-17</t>
        </is>
      </c>
    </row>
    <row r="638">
      <c r="A638" s="56" t="inlineStr">
        <is>
          <t>Pro Fix Drywaller, LLC</t>
        </is>
      </c>
      <c r="B638" s="56" t="inlineStr">
        <is>
          <t>91+</t>
        </is>
      </c>
      <c r="C638" s="57" t="n">
        <v>22972.34</v>
      </c>
      <c r="D638" s="56" t="inlineStr">
        <is>
          <t>FALSE</t>
        </is>
      </c>
      <c r="E638" s="56" t="inlineStr">
        <is>
          <t>2026-06-17</t>
        </is>
      </c>
    </row>
    <row r="639">
      <c r="A639" s="56" t="inlineStr">
        <is>
          <t>Shiel Sexton</t>
        </is>
      </c>
      <c r="B639" s="56" t="inlineStr">
        <is>
          <t>Current</t>
        </is>
      </c>
      <c r="C639" s="57" t="n">
        <v>24028.81</v>
      </c>
      <c r="D639" s="56" t="inlineStr">
        <is>
          <t>FALSE</t>
        </is>
      </c>
      <c r="E639" s="56" t="inlineStr">
        <is>
          <t>2026-06-17</t>
        </is>
      </c>
    </row>
    <row r="640">
      <c r="A640" s="56" t="inlineStr">
        <is>
          <t>Shiel Sexton</t>
        </is>
      </c>
      <c r="B640" s="56" t="inlineStr">
        <is>
          <t>31-60</t>
        </is>
      </c>
      <c r="C640" s="57" t="n">
        <v>248464.3</v>
      </c>
      <c r="D640" s="56" t="inlineStr">
        <is>
          <t>FALSE</t>
        </is>
      </c>
      <c r="E640" s="56" t="inlineStr">
        <is>
          <t>2026-06-17</t>
        </is>
      </c>
    </row>
    <row r="641">
      <c r="A641" s="56" t="inlineStr">
        <is>
          <t>Skender Construction of Indiana LLC</t>
        </is>
      </c>
      <c r="B641" s="56" t="inlineStr">
        <is>
          <t>Current</t>
        </is>
      </c>
      <c r="C641" s="57" t="n">
        <v>647564.65</v>
      </c>
      <c r="D641" s="56" t="inlineStr">
        <is>
          <t>FALSE</t>
        </is>
      </c>
      <c r="E641" s="56" t="inlineStr">
        <is>
          <t>2026-06-17</t>
        </is>
      </c>
    </row>
    <row r="642">
      <c r="A642" s="56" t="inlineStr">
        <is>
          <t>Skender Construction of Indiana LLC</t>
        </is>
      </c>
      <c r="B642" s="56" t="inlineStr">
        <is>
          <t>1-30</t>
        </is>
      </c>
      <c r="C642" s="57" t="n">
        <v>708983.51</v>
      </c>
      <c r="D642" s="56" t="inlineStr">
        <is>
          <t>FALSE</t>
        </is>
      </c>
      <c r="E642" s="56" t="inlineStr">
        <is>
          <t>2026-06-17</t>
        </is>
      </c>
    </row>
    <row r="643">
      <c r="A643" s="56" t="inlineStr">
        <is>
          <t>Skender Construction of Indiana LLC</t>
        </is>
      </c>
      <c r="B643" s="56" t="inlineStr">
        <is>
          <t>31-60</t>
        </is>
      </c>
      <c r="C643" s="57" t="n">
        <v>134622.54</v>
      </c>
      <c r="D643" s="56" t="inlineStr">
        <is>
          <t>FALSE</t>
        </is>
      </c>
      <c r="E643" s="56" t="inlineStr">
        <is>
          <t>2026-06-17</t>
        </is>
      </c>
    </row>
    <row r="644">
      <c r="A644" s="56" t="inlineStr">
        <is>
          <t>Skender Construction of Indiana LLC</t>
        </is>
      </c>
      <c r="B644" s="56" t="inlineStr">
        <is>
          <t>61-90</t>
        </is>
      </c>
      <c r="C644" s="57" t="n">
        <v>111708.94</v>
      </c>
      <c r="D644" s="56" t="inlineStr">
        <is>
          <t>FALSE</t>
        </is>
      </c>
      <c r="E644" s="56" t="inlineStr">
        <is>
          <t>2026-06-17</t>
        </is>
      </c>
    </row>
    <row r="645">
      <c r="A645" s="56" t="inlineStr">
        <is>
          <t>Skender Construction of Indiana LLC</t>
        </is>
      </c>
      <c r="B645" s="56" t="inlineStr">
        <is>
          <t>91+</t>
        </is>
      </c>
      <c r="C645" s="57" t="n">
        <v>46273.32</v>
      </c>
      <c r="D645" s="56" t="inlineStr">
        <is>
          <t>FALSE</t>
        </is>
      </c>
      <c r="E645" s="56" t="inlineStr">
        <is>
          <t>2026-06-17</t>
        </is>
      </c>
    </row>
    <row r="646">
      <c r="A646" s="56" t="inlineStr">
        <is>
          <t>Stenz Corp</t>
        </is>
      </c>
      <c r="B646" s="56" t="inlineStr">
        <is>
          <t>Current</t>
        </is>
      </c>
      <c r="C646" s="57" t="n">
        <v>9190.370000000001</v>
      </c>
      <c r="D646" s="56" t="inlineStr">
        <is>
          <t>FALSE</t>
        </is>
      </c>
      <c r="E646" s="56" t="inlineStr">
        <is>
          <t>2026-06-17</t>
        </is>
      </c>
    </row>
    <row r="647">
      <c r="A647" s="56" t="inlineStr">
        <is>
          <t>Stenz Corp</t>
        </is>
      </c>
      <c r="B647" s="56" t="inlineStr">
        <is>
          <t>1-30</t>
        </is>
      </c>
      <c r="C647" s="57" t="n">
        <v>9000</v>
      </c>
      <c r="D647" s="56" t="inlineStr">
        <is>
          <t>FALSE</t>
        </is>
      </c>
      <c r="E647" s="56" t="inlineStr">
        <is>
          <t>2026-06-17</t>
        </is>
      </c>
    </row>
    <row r="648">
      <c r="A648" s="56" t="inlineStr">
        <is>
          <t>Stenz Corp</t>
        </is>
      </c>
      <c r="B648" s="56" t="inlineStr">
        <is>
          <t>31-60</t>
        </is>
      </c>
      <c r="C648" s="57" t="n">
        <v>36934.63</v>
      </c>
      <c r="D648" s="56" t="inlineStr">
        <is>
          <t>FALSE</t>
        </is>
      </c>
      <c r="E648" s="56" t="inlineStr">
        <is>
          <t>2026-06-17</t>
        </is>
      </c>
    </row>
    <row r="649">
      <c r="A649" s="56" t="inlineStr">
        <is>
          <t>Stenz Corp</t>
        </is>
      </c>
      <c r="B649" s="56" t="inlineStr">
        <is>
          <t>61-90</t>
        </is>
      </c>
      <c r="C649" s="57" t="n">
        <v>18000</v>
      </c>
      <c r="D649" s="56" t="inlineStr">
        <is>
          <t>FALSE</t>
        </is>
      </c>
      <c r="E649" s="56" t="inlineStr">
        <is>
          <t>2026-06-17</t>
        </is>
      </c>
    </row>
    <row r="650">
      <c r="A650" s="56" t="inlineStr">
        <is>
          <t>The ACTS Collaborative, LLC</t>
        </is>
      </c>
      <c r="B650" s="56" t="inlineStr">
        <is>
          <t>Current</t>
        </is>
      </c>
      <c r="C650" s="57" t="n">
        <v>28129.5</v>
      </c>
      <c r="D650" s="56" t="inlineStr">
        <is>
          <t>FALSE</t>
        </is>
      </c>
      <c r="E650" s="56" t="inlineStr">
        <is>
          <t>2026-06-17</t>
        </is>
      </c>
    </row>
    <row r="651">
      <c r="A651" s="56" t="inlineStr">
        <is>
          <t>The Home Depot, Inc.</t>
        </is>
      </c>
      <c r="B651" s="56" t="inlineStr">
        <is>
          <t>91+</t>
        </is>
      </c>
      <c r="C651" s="57" t="n">
        <v>585.54</v>
      </c>
      <c r="D651" s="56" t="inlineStr">
        <is>
          <t>FALSE</t>
        </is>
      </c>
      <c r="E651" s="56" t="inlineStr">
        <is>
          <t>2026-06-17</t>
        </is>
      </c>
    </row>
    <row r="652">
      <c r="A652" s="56" t="inlineStr">
        <is>
          <t>The Peterson Company, LLC</t>
        </is>
      </c>
      <c r="B652" s="56" t="inlineStr">
        <is>
          <t>Current</t>
        </is>
      </c>
      <c r="C652" s="57" t="n">
        <v>1164329.53</v>
      </c>
      <c r="D652" s="56" t="inlineStr">
        <is>
          <t>FALSE</t>
        </is>
      </c>
      <c r="E652" s="56" t="inlineStr">
        <is>
          <t>2026-06-17</t>
        </is>
      </c>
    </row>
    <row r="653">
      <c r="A653" s="56" t="inlineStr">
        <is>
          <t>The Peterson Company, LLC</t>
        </is>
      </c>
      <c r="B653" s="56" t="inlineStr">
        <is>
          <t>1-30</t>
        </is>
      </c>
      <c r="C653" s="57" t="n">
        <v>54936.18</v>
      </c>
      <c r="D653" s="56" t="inlineStr">
        <is>
          <t>FALSE</t>
        </is>
      </c>
      <c r="E653" s="56" t="inlineStr">
        <is>
          <t>2026-06-17</t>
        </is>
      </c>
    </row>
    <row r="654">
      <c r="A654" s="56" t="inlineStr">
        <is>
          <t>The Peterson Company, LLC</t>
        </is>
      </c>
      <c r="B654" s="56" t="inlineStr">
        <is>
          <t>31-60</t>
        </is>
      </c>
      <c r="C654" s="57" t="n">
        <v>702311.21</v>
      </c>
      <c r="D654" s="56" t="inlineStr">
        <is>
          <t>FALSE</t>
        </is>
      </c>
      <c r="E654" s="56" t="inlineStr">
        <is>
          <t>2026-06-17</t>
        </is>
      </c>
    </row>
    <row r="655">
      <c r="A655" s="56" t="inlineStr">
        <is>
          <t>Thompson Thrift Construction</t>
        </is>
      </c>
      <c r="B655" s="56" t="inlineStr">
        <is>
          <t>Current</t>
        </is>
      </c>
      <c r="C655" s="57" t="n">
        <v>569642.4</v>
      </c>
      <c r="D655" s="56" t="inlineStr">
        <is>
          <t>FALSE</t>
        </is>
      </c>
      <c r="E655" s="56" t="inlineStr">
        <is>
          <t>2026-06-17</t>
        </is>
      </c>
    </row>
    <row r="656">
      <c r="A656" s="56" t="inlineStr">
        <is>
          <t>Thompson Thrift Construction</t>
        </is>
      </c>
      <c r="B656" s="56" t="inlineStr">
        <is>
          <t>1-30</t>
        </is>
      </c>
      <c r="C656" s="57" t="n">
        <v>571623.75</v>
      </c>
      <c r="D656" s="56" t="inlineStr">
        <is>
          <t>FALSE</t>
        </is>
      </c>
      <c r="E656" s="56" t="inlineStr">
        <is>
          <t>2026-06-17</t>
        </is>
      </c>
    </row>
    <row r="657">
      <c r="A657" s="56" t="inlineStr">
        <is>
          <t>Thompson Thrift Construction</t>
        </is>
      </c>
      <c r="B657" s="56" t="inlineStr">
        <is>
          <t>91+</t>
        </is>
      </c>
      <c r="C657" s="57" t="n">
        <v>51060</v>
      </c>
      <c r="D657" s="56" t="inlineStr">
        <is>
          <t>FALSE</t>
        </is>
      </c>
      <c r="E657" s="56" t="inlineStr">
        <is>
          <t>2026-06-17</t>
        </is>
      </c>
    </row>
    <row r="658">
      <c r="A658" s="56" t="inlineStr">
        <is>
          <t>Total Drywall Solutions Inc</t>
        </is>
      </c>
      <c r="B658" s="56" t="inlineStr">
        <is>
          <t>91+</t>
        </is>
      </c>
      <c r="C658" s="57" t="n">
        <v>4485.21</v>
      </c>
      <c r="D658" s="56" t="inlineStr">
        <is>
          <t>FALSE</t>
        </is>
      </c>
      <c r="E658" s="56" t="inlineStr">
        <is>
          <t>2026-06-17</t>
        </is>
      </c>
    </row>
    <row r="659">
      <c r="A659" s="56" t="inlineStr">
        <is>
          <t>Yaggi's White Glove Delivery, LLC</t>
        </is>
      </c>
      <c r="B659" s="56" t="inlineStr">
        <is>
          <t>91+</t>
        </is>
      </c>
      <c r="C659" s="57" t="n">
        <v>18935.33</v>
      </c>
      <c r="D659" s="56" t="inlineStr">
        <is>
          <t>FALSE</t>
        </is>
      </c>
      <c r="E659" s="56" t="inlineStr">
        <is>
          <t>2026-06-17</t>
        </is>
      </c>
    </row>
    <row r="660">
      <c r="A660" s="56" t="inlineStr">
        <is>
          <t>ZMX Inc.</t>
        </is>
      </c>
      <c r="B660" s="56" t="inlineStr">
        <is>
          <t>91+</t>
        </is>
      </c>
      <c r="C660" s="57" t="n">
        <v>10646.9</v>
      </c>
      <c r="D660" s="56" t="inlineStr">
        <is>
          <t>FALSE</t>
        </is>
      </c>
      <c r="E660" s="56" t="inlineStr">
        <is>
          <t>2026-06-17</t>
        </is>
      </c>
    </row>
    <row r="661">
      <c r="A661" s="56" t="inlineStr">
        <is>
          <t>(Retainage Receivable)</t>
        </is>
      </c>
      <c r="B661" s="56" t="inlineStr">
        <is>
          <t>Retainage</t>
        </is>
      </c>
      <c r="C661" s="57" t="n">
        <v>3136194.46</v>
      </c>
      <c r="D661" s="56" t="inlineStr">
        <is>
          <t>TRUE</t>
        </is>
      </c>
      <c r="E661" s="56" t="inlineStr">
        <is>
          <t>2026-06-17</t>
        </is>
      </c>
    </row>
    <row r="663">
      <c r="A663" s="54" t="inlineStr">
        <is>
          <t>tAP   —   QuickBooks Online — A/P aging   —   as of 2026-06-17</t>
        </is>
      </c>
    </row>
    <row r="664">
      <c r="A664" s="55" t="inlineStr">
        <is>
          <t>Vendor</t>
        </is>
      </c>
      <c r="B664" s="55" t="inlineStr">
        <is>
          <t>Bucket</t>
        </is>
      </c>
      <c r="C664" s="55" t="inlineStr">
        <is>
          <t>Amount</t>
        </is>
      </c>
      <c r="D664" s="55" t="inlineStr">
        <is>
          <t>AsOfDate</t>
        </is>
      </c>
    </row>
    <row r="665">
      <c r="A665" s="56" t="inlineStr">
        <is>
          <t>4BRO Construction LLC</t>
        </is>
      </c>
      <c r="B665" s="56" t="inlineStr">
        <is>
          <t>Current</t>
        </is>
      </c>
      <c r="C665" s="57" t="n">
        <v>8825.790000000001</v>
      </c>
      <c r="D665" s="56" t="inlineStr">
        <is>
          <t>2026-06-17</t>
        </is>
      </c>
    </row>
    <row r="666">
      <c r="A666" s="56" t="inlineStr">
        <is>
          <t>6twenty-six inc</t>
        </is>
      </c>
      <c r="B666" s="56" t="inlineStr">
        <is>
          <t>Current</t>
        </is>
      </c>
      <c r="C666" s="57" t="n">
        <v>1337.5</v>
      </c>
      <c r="D666" s="56" t="inlineStr">
        <is>
          <t>2026-06-17</t>
        </is>
      </c>
    </row>
    <row r="667">
      <c r="A667" s="56" t="inlineStr">
        <is>
          <t>7R Lawn Solutions, LLC</t>
        </is>
      </c>
      <c r="B667" s="56" t="inlineStr">
        <is>
          <t>1-30</t>
        </is>
      </c>
      <c r="C667" s="57" t="n">
        <v>836</v>
      </c>
      <c r="D667" s="56" t="inlineStr">
        <is>
          <t>2026-06-17</t>
        </is>
      </c>
    </row>
    <row r="668">
      <c r="A668" s="56" t="inlineStr">
        <is>
          <t>84 Lumber</t>
        </is>
      </c>
      <c r="B668" s="56" t="inlineStr">
        <is>
          <t>91+</t>
        </is>
      </c>
      <c r="C668" s="57" t="n">
        <v>-1222.78</v>
      </c>
      <c r="D668" s="56" t="inlineStr">
        <is>
          <t>2026-06-17</t>
        </is>
      </c>
    </row>
    <row r="669">
      <c r="A669" s="56" t="inlineStr">
        <is>
          <t>ABC Supply Interiors, Inc. (L&amp;W)</t>
        </is>
      </c>
      <c r="B669" s="56" t="inlineStr">
        <is>
          <t>Current</t>
        </is>
      </c>
      <c r="C669" s="57" t="n">
        <v>18002.12</v>
      </c>
      <c r="D669" s="56" t="inlineStr">
        <is>
          <t>2026-06-17</t>
        </is>
      </c>
    </row>
    <row r="670">
      <c r="A670" s="56" t="inlineStr">
        <is>
          <t>ABC Supply Interiors, Inc. (L&amp;W)</t>
        </is>
      </c>
      <c r="B670" s="56" t="inlineStr">
        <is>
          <t>91+</t>
        </is>
      </c>
      <c r="C670" s="57" t="n">
        <v>-3711.8</v>
      </c>
      <c r="D670" s="56" t="inlineStr">
        <is>
          <t>2026-06-17</t>
        </is>
      </c>
    </row>
    <row r="671">
      <c r="A671" s="56" t="inlineStr">
        <is>
          <t>ABM Parking Services</t>
        </is>
      </c>
      <c r="B671" s="56" t="inlineStr">
        <is>
          <t>Current</t>
        </is>
      </c>
      <c r="C671" s="57" t="n">
        <v>180</v>
      </c>
      <c r="D671" s="56" t="inlineStr">
        <is>
          <t>2026-06-17</t>
        </is>
      </c>
    </row>
    <row r="672">
      <c r="A672" s="56" t="inlineStr">
        <is>
          <t>ADL Design &amp; Construction LLC</t>
        </is>
      </c>
      <c r="B672" s="56" t="inlineStr">
        <is>
          <t>91+</t>
        </is>
      </c>
      <c r="C672" s="57" t="n">
        <v>6316.5</v>
      </c>
      <c r="D672" s="56" t="inlineStr">
        <is>
          <t>2026-06-17</t>
        </is>
      </c>
    </row>
    <row r="673">
      <c r="A673" s="56" t="inlineStr">
        <is>
          <t>Alejandro Gonzalez-Rubio</t>
        </is>
      </c>
      <c r="B673" s="56" t="inlineStr">
        <is>
          <t>Current</t>
        </is>
      </c>
      <c r="C673" s="57" t="n">
        <v>1650</v>
      </c>
      <c r="D673" s="56" t="inlineStr">
        <is>
          <t>2026-06-17</t>
        </is>
      </c>
    </row>
    <row r="674">
      <c r="A674" s="56" t="inlineStr">
        <is>
          <t>ARC Document Solutions, LLC</t>
        </is>
      </c>
      <c r="B674" s="56" t="inlineStr">
        <is>
          <t>Current</t>
        </is>
      </c>
      <c r="C674" s="57" t="n">
        <v>259.57</v>
      </c>
      <c r="D674" s="56" t="inlineStr">
        <is>
          <t>2026-06-17</t>
        </is>
      </c>
    </row>
    <row r="675">
      <c r="A675" s="56" t="inlineStr">
        <is>
          <t>Armstrong World Industries, Inc.</t>
        </is>
      </c>
      <c r="B675" s="56" t="inlineStr">
        <is>
          <t>91+</t>
        </is>
      </c>
      <c r="C675" s="57" t="n">
        <v>-150.69</v>
      </c>
      <c r="D675" s="56" t="inlineStr">
        <is>
          <t>2026-06-17</t>
        </is>
      </c>
    </row>
    <row r="676">
      <c r="A676" s="56" t="inlineStr">
        <is>
          <t>AZS General Construction Corp</t>
        </is>
      </c>
      <c r="B676" s="56" t="inlineStr">
        <is>
          <t>Current</t>
        </is>
      </c>
      <c r="C676" s="57" t="n">
        <v>39860.36</v>
      </c>
      <c r="D676" s="56" t="inlineStr">
        <is>
          <t>2026-06-17</t>
        </is>
      </c>
    </row>
    <row r="677">
      <c r="A677" s="56" t="inlineStr">
        <is>
          <t>AZS General Construction Corp</t>
        </is>
      </c>
      <c r="B677" s="56" t="inlineStr">
        <is>
          <t>1-30</t>
        </is>
      </c>
      <c r="C677" s="57" t="n">
        <v>6800</v>
      </c>
      <c r="D677" s="56" t="inlineStr">
        <is>
          <t>2026-06-17</t>
        </is>
      </c>
    </row>
    <row r="678">
      <c r="A678" s="56" t="inlineStr">
        <is>
          <t>AZS General Construction Corp</t>
        </is>
      </c>
      <c r="B678" s="56" t="inlineStr">
        <is>
          <t>31-60</t>
        </is>
      </c>
      <c r="C678" s="57" t="n">
        <v>6663.8</v>
      </c>
      <c r="D678" s="56" t="inlineStr">
        <is>
          <t>2026-06-17</t>
        </is>
      </c>
    </row>
    <row r="679">
      <c r="A679" s="56" t="inlineStr">
        <is>
          <t>AZS General Construction Corp</t>
        </is>
      </c>
      <c r="B679" s="56" t="inlineStr">
        <is>
          <t>61-90</t>
        </is>
      </c>
      <c r="C679" s="57" t="n">
        <v>2568.19</v>
      </c>
      <c r="D679" s="56" t="inlineStr">
        <is>
          <t>2026-06-17</t>
        </is>
      </c>
    </row>
    <row r="680">
      <c r="A680" s="56" t="inlineStr">
        <is>
          <t>AZS General Construction Corp</t>
        </is>
      </c>
      <c r="B680" s="56" t="inlineStr">
        <is>
          <t>91+</t>
        </is>
      </c>
      <c r="C680" s="57" t="n">
        <v>7604.3</v>
      </c>
      <c r="D680" s="56" t="inlineStr">
        <is>
          <t>2026-06-17</t>
        </is>
      </c>
    </row>
    <row r="681">
      <c r="A681" s="56" t="inlineStr">
        <is>
          <t>BA Construction Remodeling LLC</t>
        </is>
      </c>
      <c r="B681" s="56" t="inlineStr">
        <is>
          <t>Current</t>
        </is>
      </c>
      <c r="C681" s="57" t="n">
        <v>12443</v>
      </c>
      <c r="D681" s="56" t="inlineStr">
        <is>
          <t>2026-06-17</t>
        </is>
      </c>
    </row>
    <row r="682">
      <c r="A682" s="56" t="inlineStr">
        <is>
          <t>Barahona Painting LLC</t>
        </is>
      </c>
      <c r="B682" s="56" t="inlineStr">
        <is>
          <t>Current</t>
        </is>
      </c>
      <c r="C682" s="57" t="n">
        <v>10397.46</v>
      </c>
      <c r="D682" s="56" t="inlineStr">
        <is>
          <t>2026-06-17</t>
        </is>
      </c>
    </row>
    <row r="683">
      <c r="A683" s="56" t="inlineStr">
        <is>
          <t>Best Way of Indiana, Inc.</t>
        </is>
      </c>
      <c r="B683" s="56" t="inlineStr">
        <is>
          <t>Current</t>
        </is>
      </c>
      <c r="C683" s="57" t="n">
        <v>2408.11</v>
      </c>
      <c r="D683" s="56" t="inlineStr">
        <is>
          <t>2026-06-17</t>
        </is>
      </c>
    </row>
    <row r="684">
      <c r="A684" s="56" t="inlineStr">
        <is>
          <t>Bro's Drywall LLC</t>
        </is>
      </c>
      <c r="B684" s="56" t="inlineStr">
        <is>
          <t>Current</t>
        </is>
      </c>
      <c r="C684" s="57" t="n">
        <v>7732</v>
      </c>
      <c r="D684" s="56" t="inlineStr">
        <is>
          <t>2026-06-17</t>
        </is>
      </c>
    </row>
    <row r="685">
      <c r="A685" s="56" t="inlineStr">
        <is>
          <t>Bro's Drywall LLC</t>
        </is>
      </c>
      <c r="B685" s="56" t="inlineStr">
        <is>
          <t>31-60</t>
        </is>
      </c>
      <c r="C685" s="57" t="n">
        <v>48</v>
      </c>
      <c r="D685" s="56" t="inlineStr">
        <is>
          <t>2026-06-17</t>
        </is>
      </c>
    </row>
    <row r="686">
      <c r="A686" s="56" t="inlineStr">
        <is>
          <t>Bro's Drywall LLC</t>
        </is>
      </c>
      <c r="B686" s="56" t="inlineStr">
        <is>
          <t>91+</t>
        </is>
      </c>
      <c r="C686" s="57" t="n">
        <v>24</v>
      </c>
      <c r="D686" s="56" t="inlineStr">
        <is>
          <t>2026-06-17</t>
        </is>
      </c>
    </row>
    <row r="687">
      <c r="A687" s="56" t="inlineStr">
        <is>
          <t>Brother's Carpentry (Gustavo Gutierrez)</t>
        </is>
      </c>
      <c r="B687" s="56" t="inlineStr">
        <is>
          <t>Current</t>
        </is>
      </c>
      <c r="C687" s="57" t="n">
        <v>145.05</v>
      </c>
      <c r="D687" s="56" t="inlineStr">
        <is>
          <t>2026-06-17</t>
        </is>
      </c>
    </row>
    <row r="688">
      <c r="A688" s="56" t="inlineStr">
        <is>
          <t>Brother's Carpentry (Gustavo Gutierrez)</t>
        </is>
      </c>
      <c r="B688" s="56" t="inlineStr">
        <is>
          <t>91+</t>
        </is>
      </c>
      <c r="C688" s="57" t="n">
        <v>652</v>
      </c>
      <c r="D688" s="56" t="inlineStr">
        <is>
          <t>2026-06-17</t>
        </is>
      </c>
    </row>
    <row r="689">
      <c r="A689" s="56" t="inlineStr">
        <is>
          <t>Browning Chapman, LLC</t>
        </is>
      </c>
      <c r="B689" s="56" t="inlineStr">
        <is>
          <t>Current</t>
        </is>
      </c>
      <c r="C689" s="57" t="n">
        <v>2550</v>
      </c>
      <c r="D689" s="56" t="inlineStr">
        <is>
          <t>2026-06-17</t>
        </is>
      </c>
    </row>
    <row r="690">
      <c r="A690" s="56" t="inlineStr">
        <is>
          <t>Castillo (Victor) Drywall &amp; Scrap LLC</t>
        </is>
      </c>
      <c r="B690" s="56" t="inlineStr">
        <is>
          <t>Current</t>
        </is>
      </c>
      <c r="C690" s="57" t="n">
        <v>2471.9</v>
      </c>
      <c r="D690" s="56" t="inlineStr">
        <is>
          <t>2026-06-17</t>
        </is>
      </c>
    </row>
    <row r="691">
      <c r="A691" s="56" t="inlineStr">
        <is>
          <t>C&amp;C Martinez Drywall LLC</t>
        </is>
      </c>
      <c r="B691" s="56" t="inlineStr">
        <is>
          <t>Current</t>
        </is>
      </c>
      <c r="C691" s="57" t="n">
        <v>38293.86</v>
      </c>
      <c r="D691" s="56" t="inlineStr">
        <is>
          <t>2026-06-17</t>
        </is>
      </c>
    </row>
    <row r="692">
      <c r="A692" s="56" t="inlineStr">
        <is>
          <t>C&amp;C Martinez Drywall LLC</t>
        </is>
      </c>
      <c r="B692" s="56" t="inlineStr">
        <is>
          <t>61-90</t>
        </is>
      </c>
      <c r="C692" s="57" t="n">
        <v>3310.96</v>
      </c>
      <c r="D692" s="56" t="inlineStr">
        <is>
          <t>2026-06-17</t>
        </is>
      </c>
    </row>
    <row r="693">
      <c r="A693" s="56" t="inlineStr">
        <is>
          <t>C&amp;C Martinez Drywall LLC</t>
        </is>
      </c>
      <c r="B693" s="56" t="inlineStr">
        <is>
          <t>91+</t>
        </is>
      </c>
      <c r="C693" s="57" t="n">
        <v>1305.46</v>
      </c>
      <c r="D693" s="56" t="inlineStr">
        <is>
          <t>2026-06-17</t>
        </is>
      </c>
    </row>
    <row r="694">
      <c r="A694" s="56" t="inlineStr">
        <is>
          <t>Central Indiana Hardware (CIH)</t>
        </is>
      </c>
      <c r="B694" s="56" t="inlineStr">
        <is>
          <t>Current</t>
        </is>
      </c>
      <c r="C694" s="57" t="n">
        <v>2952.13</v>
      </c>
      <c r="D694" s="56" t="inlineStr">
        <is>
          <t>2026-06-17</t>
        </is>
      </c>
    </row>
    <row r="695">
      <c r="A695" s="56" t="inlineStr">
        <is>
          <t>Cherokee Building Materials, Inc. (GMS)</t>
        </is>
      </c>
      <c r="B695" s="56" t="inlineStr">
        <is>
          <t>91+</t>
        </is>
      </c>
      <c r="C695" s="57" t="n">
        <v>-627.67</v>
      </c>
      <c r="D695" s="56" t="inlineStr">
        <is>
          <t>2026-06-17</t>
        </is>
      </c>
    </row>
    <row r="696">
      <c r="A696" s="56" t="inlineStr">
        <is>
          <t>Chris Taylor</t>
        </is>
      </c>
      <c r="B696" s="56" t="inlineStr">
        <is>
          <t>Current</t>
        </is>
      </c>
      <c r="C696" s="57" t="n">
        <v>250</v>
      </c>
      <c r="D696" s="56" t="inlineStr">
        <is>
          <t>2026-06-17</t>
        </is>
      </c>
    </row>
    <row r="697">
      <c r="A697" s="56" t="inlineStr">
        <is>
          <t>Concentra</t>
        </is>
      </c>
      <c r="B697" s="56" t="inlineStr">
        <is>
          <t>61-90</t>
        </is>
      </c>
      <c r="C697" s="57" t="n">
        <v>125</v>
      </c>
      <c r="D697" s="56" t="inlineStr">
        <is>
          <t>2026-06-17</t>
        </is>
      </c>
    </row>
    <row r="698">
      <c r="A698" s="56" t="inlineStr">
        <is>
          <t>Construction Specialties, Inc.</t>
        </is>
      </c>
      <c r="B698" s="56" t="inlineStr">
        <is>
          <t>Current</t>
        </is>
      </c>
      <c r="C698" s="57" t="n">
        <v>2754.18</v>
      </c>
      <c r="D698" s="56" t="inlineStr">
        <is>
          <t>2026-06-17</t>
        </is>
      </c>
    </row>
    <row r="699">
      <c r="A699" s="56" t="inlineStr">
        <is>
          <t>CraneWorks | CW Intermediate Holdco, LLC</t>
        </is>
      </c>
      <c r="B699" s="56" t="inlineStr">
        <is>
          <t>Current</t>
        </is>
      </c>
      <c r="C699" s="57" t="n">
        <v>789.4</v>
      </c>
      <c r="D699" s="56" t="inlineStr">
        <is>
          <t>2026-06-17</t>
        </is>
      </c>
    </row>
    <row r="700">
      <c r="A700" s="56" t="inlineStr">
        <is>
          <t>Deem</t>
        </is>
      </c>
      <c r="B700" s="56" t="inlineStr">
        <is>
          <t>Current</t>
        </is>
      </c>
      <c r="C700" s="57" t="n">
        <v>3325</v>
      </c>
      <c r="D700" s="56" t="inlineStr">
        <is>
          <t>2026-06-17</t>
        </is>
      </c>
    </row>
    <row r="701">
      <c r="A701" s="56" t="inlineStr">
        <is>
          <t>DIVISION 7 MTLS</t>
        </is>
      </c>
      <c r="B701" s="56" t="inlineStr">
        <is>
          <t>Current</t>
        </is>
      </c>
      <c r="C701" s="57" t="n">
        <v>1525.82</v>
      </c>
      <c r="D701" s="56" t="inlineStr">
        <is>
          <t>2026-06-17</t>
        </is>
      </c>
    </row>
    <row r="702">
      <c r="A702" s="56" t="inlineStr">
        <is>
          <t>Enterprise Rent a Car</t>
        </is>
      </c>
      <c r="B702" s="56" t="inlineStr">
        <is>
          <t>Current</t>
        </is>
      </c>
      <c r="C702" s="57" t="n">
        <v>227.01</v>
      </c>
      <c r="D702" s="56" t="inlineStr">
        <is>
          <t>2026-06-17</t>
        </is>
      </c>
    </row>
    <row r="703">
      <c r="A703" s="56" t="inlineStr">
        <is>
          <t>Escot Painting LLC</t>
        </is>
      </c>
      <c r="B703" s="56" t="inlineStr">
        <is>
          <t>61-90</t>
        </is>
      </c>
      <c r="C703" s="57" t="n">
        <v>7700</v>
      </c>
      <c r="D703" s="56" t="inlineStr">
        <is>
          <t>2026-06-17</t>
        </is>
      </c>
    </row>
    <row r="704">
      <c r="A704" s="56" t="inlineStr">
        <is>
          <t>Foundation Building Materials (FBM)</t>
        </is>
      </c>
      <c r="B704" s="56" t="inlineStr">
        <is>
          <t>Current</t>
        </is>
      </c>
      <c r="C704" s="57" t="n">
        <v>832567.5600000001</v>
      </c>
      <c r="D704" s="56" t="inlineStr">
        <is>
          <t>2026-06-17</t>
        </is>
      </c>
    </row>
    <row r="705">
      <c r="A705" s="56" t="inlineStr">
        <is>
          <t>Foundation Building Materials (FBM)</t>
        </is>
      </c>
      <c r="B705" s="56" t="inlineStr">
        <is>
          <t>31-60</t>
        </is>
      </c>
      <c r="C705" s="57" t="n">
        <v>-620.9400000000001</v>
      </c>
      <c r="D705" s="56" t="inlineStr">
        <is>
          <t>2026-06-17</t>
        </is>
      </c>
    </row>
    <row r="706">
      <c r="A706" s="56" t="inlineStr">
        <is>
          <t>Foundation Building Materials (FBM)</t>
        </is>
      </c>
      <c r="B706" s="56" t="inlineStr">
        <is>
          <t>91+</t>
        </is>
      </c>
      <c r="C706" s="57" t="n">
        <v>-2979.13</v>
      </c>
      <c r="D706" s="56" t="inlineStr">
        <is>
          <t>2026-06-17</t>
        </is>
      </c>
    </row>
    <row r="707">
      <c r="A707" s="56" t="inlineStr">
        <is>
          <t>Garners Towing &amp; Transport</t>
        </is>
      </c>
      <c r="B707" s="56" t="inlineStr">
        <is>
          <t>61-90</t>
        </is>
      </c>
      <c r="C707" s="57" t="n">
        <v>312.5</v>
      </c>
      <c r="D707" s="56" t="inlineStr">
        <is>
          <t>2026-06-17</t>
        </is>
      </c>
    </row>
    <row r="708">
      <c r="A708" s="56" t="inlineStr">
        <is>
          <t>Garza Towing LLC</t>
        </is>
      </c>
      <c r="B708" s="56" t="inlineStr">
        <is>
          <t>1-30</t>
        </is>
      </c>
      <c r="C708" s="57" t="n">
        <v>875</v>
      </c>
      <c r="D708" s="56" t="inlineStr">
        <is>
          <t>2026-06-17</t>
        </is>
      </c>
    </row>
    <row r="709">
      <c r="A709" s="56" t="inlineStr">
        <is>
          <t>Gauge Telematics, Inc</t>
        </is>
      </c>
      <c r="B709" s="56" t="inlineStr">
        <is>
          <t>Current</t>
        </is>
      </c>
      <c r="C709" s="57" t="n">
        <v>345</v>
      </c>
      <c r="D709" s="56" t="inlineStr">
        <is>
          <t>2026-06-17</t>
        </is>
      </c>
    </row>
    <row r="710">
      <c r="A710" s="56" t="inlineStr">
        <is>
          <t>GTO Drywall &amp; Metal Framing LLC</t>
        </is>
      </c>
      <c r="B710" s="56" t="inlineStr">
        <is>
          <t>Current</t>
        </is>
      </c>
      <c r="C710" s="57" t="n">
        <v>3325.4</v>
      </c>
      <c r="D710" s="56" t="inlineStr">
        <is>
          <t>2026-06-17</t>
        </is>
      </c>
    </row>
    <row r="711">
      <c r="A711" s="56" t="inlineStr">
        <is>
          <t>GTO Drywall &amp; Metal Framing LLC</t>
        </is>
      </c>
      <c r="B711" s="56" t="inlineStr">
        <is>
          <t>1-30</t>
        </is>
      </c>
      <c r="C711" s="57" t="n">
        <v>6089.4</v>
      </c>
      <c r="D711" s="56" t="inlineStr">
        <is>
          <t>2026-06-17</t>
        </is>
      </c>
    </row>
    <row r="712">
      <c r="A712" s="56" t="inlineStr">
        <is>
          <t>GTZ Builders, LLC (Paulo)</t>
        </is>
      </c>
      <c r="B712" s="56" t="inlineStr">
        <is>
          <t>Current</t>
        </is>
      </c>
      <c r="C712" s="57" t="n">
        <v>30842.4</v>
      </c>
      <c r="D712" s="56" t="inlineStr">
        <is>
          <t>2026-06-17</t>
        </is>
      </c>
    </row>
    <row r="713">
      <c r="A713" s="56" t="inlineStr">
        <is>
          <t>Haines, Jones, &amp; Cadbury, LLC</t>
        </is>
      </c>
      <c r="B713" s="56" t="inlineStr">
        <is>
          <t>Current</t>
        </is>
      </c>
      <c r="C713" s="57" t="n">
        <v>18675.29</v>
      </c>
      <c r="D713" s="56" t="inlineStr">
        <is>
          <t>2026-06-17</t>
        </is>
      </c>
    </row>
    <row r="714">
      <c r="A714" s="56" t="inlineStr">
        <is>
          <t>Hilti</t>
        </is>
      </c>
      <c r="B714" s="56" t="inlineStr">
        <is>
          <t>Current</t>
        </is>
      </c>
      <c r="C714" s="57" t="n">
        <v>2689.56</v>
      </c>
      <c r="D714" s="56" t="inlineStr">
        <is>
          <t>2026-06-17</t>
        </is>
      </c>
    </row>
    <row r="715">
      <c r="A715" s="56" t="inlineStr">
        <is>
          <t>Home Depot</t>
        </is>
      </c>
      <c r="B715" s="56" t="inlineStr">
        <is>
          <t>Current</t>
        </is>
      </c>
      <c r="C715" s="57" t="n">
        <v>71539.66</v>
      </c>
      <c r="D715" s="56" t="inlineStr">
        <is>
          <t>2026-06-17</t>
        </is>
      </c>
    </row>
    <row r="716">
      <c r="A716" s="56" t="inlineStr">
        <is>
          <t>Home Depot (HD Pro)</t>
        </is>
      </c>
      <c r="B716" s="56" t="inlineStr">
        <is>
          <t>Current</t>
        </is>
      </c>
      <c r="C716" s="57" t="n">
        <v>739119.02</v>
      </c>
      <c r="D716" s="56" t="inlineStr">
        <is>
          <t>2026-06-17</t>
        </is>
      </c>
    </row>
    <row r="717">
      <c r="A717" s="56" t="inlineStr">
        <is>
          <t>Indianapolis Propane Exchange LLC</t>
        </is>
      </c>
      <c r="B717" s="56" t="inlineStr">
        <is>
          <t>Current</t>
        </is>
      </c>
      <c r="C717" s="57" t="n">
        <v>583.14</v>
      </c>
      <c r="D717" s="56" t="inlineStr">
        <is>
          <t>2026-06-17</t>
        </is>
      </c>
    </row>
    <row r="718">
      <c r="A718" s="56" t="inlineStr">
        <is>
          <t>Indy Crush Brothers, LLC (Indy Crusher)</t>
        </is>
      </c>
      <c r="B718" s="56" t="inlineStr">
        <is>
          <t>91+</t>
        </is>
      </c>
      <c r="C718" s="57" t="n">
        <v>10.8</v>
      </c>
      <c r="D718" s="56" t="inlineStr">
        <is>
          <t>2026-06-17</t>
        </is>
      </c>
    </row>
    <row r="719">
      <c r="A719" s="56" t="inlineStr">
        <is>
          <t>Indy Pro Painters Services, LLC</t>
        </is>
      </c>
      <c r="B719" s="56" t="inlineStr">
        <is>
          <t>Current</t>
        </is>
      </c>
      <c r="C719" s="57" t="n">
        <v>11669.8</v>
      </c>
      <c r="D719" s="56" t="inlineStr">
        <is>
          <t>2026-06-17</t>
        </is>
      </c>
    </row>
    <row r="720">
      <c r="A720" s="56" t="inlineStr">
        <is>
          <t>Indy Pro Painters Services, LLC</t>
        </is>
      </c>
      <c r="B720" s="56" t="inlineStr">
        <is>
          <t>31-60</t>
        </is>
      </c>
      <c r="C720" s="57" t="n">
        <v>1800</v>
      </c>
      <c r="D720" s="56" t="inlineStr">
        <is>
          <t>2026-06-17</t>
        </is>
      </c>
    </row>
    <row r="721">
      <c r="A721" s="56" t="inlineStr">
        <is>
          <t>Indy Pro Painters Services, LLC</t>
        </is>
      </c>
      <c r="B721" s="56" t="inlineStr">
        <is>
          <t>61-90</t>
        </is>
      </c>
      <c r="C721" s="57" t="n">
        <v>3822.5</v>
      </c>
      <c r="D721" s="56" t="inlineStr">
        <is>
          <t>2026-06-17</t>
        </is>
      </c>
    </row>
    <row r="722">
      <c r="A722" s="56" t="inlineStr">
        <is>
          <t>Indy Pro Painters Services, LLC</t>
        </is>
      </c>
      <c r="B722" s="56" t="inlineStr">
        <is>
          <t>91+</t>
        </is>
      </c>
      <c r="C722" s="57" t="n">
        <v>9740</v>
      </c>
      <c r="D722" s="56" t="inlineStr">
        <is>
          <t>2026-06-17</t>
        </is>
      </c>
    </row>
    <row r="723">
      <c r="A723" s="56" t="inlineStr">
        <is>
          <t>Interior Product Supply (IPS) GMS Co (Cherokee BM)</t>
        </is>
      </c>
      <c r="B723" s="56" t="inlineStr">
        <is>
          <t>Current</t>
        </is>
      </c>
      <c r="C723" s="57" t="n">
        <v>9710.52</v>
      </c>
      <c r="D723" s="56" t="inlineStr">
        <is>
          <t>2026-06-17</t>
        </is>
      </c>
    </row>
    <row r="724">
      <c r="A724" s="56" t="inlineStr">
        <is>
          <t>Interior Supply Inc (ISI)</t>
        </is>
      </c>
      <c r="B724" s="56" t="inlineStr">
        <is>
          <t>Current</t>
        </is>
      </c>
      <c r="C724" s="57" t="n">
        <v>129139.47</v>
      </c>
      <c r="D724" s="56" t="inlineStr">
        <is>
          <t>2026-06-17</t>
        </is>
      </c>
    </row>
    <row r="725">
      <c r="A725" s="56" t="inlineStr">
        <is>
          <t>Interior Supply Inc (ISI)</t>
        </is>
      </c>
      <c r="B725" s="56" t="inlineStr">
        <is>
          <t>31-60</t>
        </is>
      </c>
      <c r="C725" s="57" t="n">
        <v>13.37</v>
      </c>
      <c r="D725" s="56" t="inlineStr">
        <is>
          <t>2026-06-17</t>
        </is>
      </c>
    </row>
    <row r="726">
      <c r="A726" s="56" t="inlineStr">
        <is>
          <t>Internal Drywall Division</t>
        </is>
      </c>
      <c r="B726" s="56" t="inlineStr">
        <is>
          <t>Current</t>
        </is>
      </c>
      <c r="C726" s="57" t="n">
        <v>113560.43</v>
      </c>
      <c r="D726" s="56" t="inlineStr">
        <is>
          <t>2026-06-17</t>
        </is>
      </c>
    </row>
    <row r="727">
      <c r="A727" s="56" t="inlineStr">
        <is>
          <t>Iracheta Drywall LLC</t>
        </is>
      </c>
      <c r="B727" s="56" t="inlineStr">
        <is>
          <t>Current</t>
        </is>
      </c>
      <c r="C727" s="57" t="n">
        <v>25249.02</v>
      </c>
      <c r="D727" s="56" t="inlineStr">
        <is>
          <t>2026-06-17</t>
        </is>
      </c>
    </row>
    <row r="728">
      <c r="A728" s="56" t="inlineStr">
        <is>
          <t>Iracheta Drywall LLC</t>
        </is>
      </c>
      <c r="B728" s="56" t="inlineStr">
        <is>
          <t>91+</t>
        </is>
      </c>
      <c r="C728" s="57" t="n">
        <v>1972.98</v>
      </c>
      <c r="D728" s="56" t="inlineStr">
        <is>
          <t>2026-06-17</t>
        </is>
      </c>
    </row>
    <row r="729">
      <c r="A729" s="56" t="inlineStr">
        <is>
          <t>JC Drywall LLC (JCD)</t>
        </is>
      </c>
      <c r="B729" s="56" t="inlineStr">
        <is>
          <t>Current</t>
        </is>
      </c>
      <c r="C729" s="57" t="n">
        <v>70</v>
      </c>
      <c r="D729" s="56" t="inlineStr">
        <is>
          <t>2026-06-17</t>
        </is>
      </c>
    </row>
    <row r="730">
      <c r="A730" s="56" t="inlineStr">
        <is>
          <t>JC Drywall LLC (JCD)</t>
        </is>
      </c>
      <c r="B730" s="56" t="inlineStr">
        <is>
          <t>91+</t>
        </is>
      </c>
      <c r="C730" s="57" t="n">
        <v>3077.1</v>
      </c>
      <c r="D730" s="56" t="inlineStr">
        <is>
          <t>2026-06-17</t>
        </is>
      </c>
    </row>
    <row r="731">
      <c r="A731" s="56" t="inlineStr">
        <is>
          <t>Jordan Birge</t>
        </is>
      </c>
      <c r="B731" s="56" t="inlineStr">
        <is>
          <t>Current</t>
        </is>
      </c>
      <c r="C731" s="57" t="n">
        <v>2764.19</v>
      </c>
      <c r="D731" s="56" t="inlineStr">
        <is>
          <t>2026-06-17</t>
        </is>
      </c>
    </row>
    <row r="732">
      <c r="A732" s="56" t="inlineStr">
        <is>
          <t>Jose Antonio Gallegos Alvarez</t>
        </is>
      </c>
      <c r="B732" s="56" t="inlineStr">
        <is>
          <t>Current</t>
        </is>
      </c>
      <c r="C732" s="57" t="n">
        <v>54757.04</v>
      </c>
      <c r="D732" s="56" t="inlineStr">
        <is>
          <t>2026-06-17</t>
        </is>
      </c>
    </row>
    <row r="733">
      <c r="A733" s="56" t="inlineStr">
        <is>
          <t>Jose Antonio Gallegos Alvarez</t>
        </is>
      </c>
      <c r="B733" s="56" t="inlineStr">
        <is>
          <t>1-30</t>
        </is>
      </c>
      <c r="C733" s="57" t="n">
        <v>1260</v>
      </c>
      <c r="D733" s="56" t="inlineStr">
        <is>
          <t>2026-06-17</t>
        </is>
      </c>
    </row>
    <row r="734">
      <c r="A734" s="56" t="inlineStr">
        <is>
          <t>Jose Antonio Gallegos Alvarez</t>
        </is>
      </c>
      <c r="B734" s="56" t="inlineStr">
        <is>
          <t>31-60</t>
        </is>
      </c>
      <c r="C734" s="57" t="n">
        <v>1962.2</v>
      </c>
      <c r="D734" s="56" t="inlineStr">
        <is>
          <t>2026-06-17</t>
        </is>
      </c>
    </row>
    <row r="735">
      <c r="A735" s="56" t="inlineStr">
        <is>
          <t>Jose Antonio Gallegos Alvarez</t>
        </is>
      </c>
      <c r="B735" s="56" t="inlineStr">
        <is>
          <t>61-90</t>
        </is>
      </c>
      <c r="C735" s="57" t="n">
        <v>6076.3</v>
      </c>
      <c r="D735" s="56" t="inlineStr">
        <is>
          <t>2026-06-17</t>
        </is>
      </c>
    </row>
    <row r="736">
      <c r="A736" s="56" t="inlineStr">
        <is>
          <t>Jose Antonio Gallegos Alvarez</t>
        </is>
      </c>
      <c r="B736" s="56" t="inlineStr">
        <is>
          <t>91+</t>
        </is>
      </c>
      <c r="C736" s="57" t="n">
        <v>7185.34</v>
      </c>
      <c r="D736" s="56" t="inlineStr">
        <is>
          <t>2026-06-17</t>
        </is>
      </c>
    </row>
    <row r="737">
      <c r="A737" s="56" t="inlineStr">
        <is>
          <t>JR Woodworks and Custom Cabinets LLC</t>
        </is>
      </c>
      <c r="B737" s="56" t="inlineStr">
        <is>
          <t>Current</t>
        </is>
      </c>
      <c r="C737" s="57" t="n">
        <v>6010</v>
      </c>
      <c r="D737" s="56" t="inlineStr">
        <is>
          <t>2026-06-17</t>
        </is>
      </c>
    </row>
    <row r="738">
      <c r="A738" s="56" t="inlineStr">
        <is>
          <t>JR Woodworks and Custom Cabinets LLC</t>
        </is>
      </c>
      <c r="B738" s="56" t="inlineStr">
        <is>
          <t>1-30</t>
        </is>
      </c>
      <c r="C738" s="57" t="n">
        <v>3890</v>
      </c>
      <c r="D738" s="56" t="inlineStr">
        <is>
          <t>2026-06-17</t>
        </is>
      </c>
    </row>
    <row r="739">
      <c r="A739" s="56" t="inlineStr">
        <is>
          <t>Julio Juarez (Expenses)</t>
        </is>
      </c>
      <c r="B739" s="56" t="inlineStr">
        <is>
          <t>Current</t>
        </is>
      </c>
      <c r="C739" s="57" t="n">
        <v>400</v>
      </c>
      <c r="D739" s="56" t="inlineStr">
        <is>
          <t>2026-06-17</t>
        </is>
      </c>
    </row>
    <row r="740">
      <c r="A740" s="56" t="inlineStr">
        <is>
          <t>Kelley Bros Hardware Corp</t>
        </is>
      </c>
      <c r="B740" s="56" t="inlineStr">
        <is>
          <t>91+</t>
        </is>
      </c>
      <c r="C740" s="57" t="n">
        <v>-369.15</v>
      </c>
      <c r="D740" s="56" t="inlineStr">
        <is>
          <t>2026-06-17</t>
        </is>
      </c>
    </row>
    <row r="741">
      <c r="A741" s="56" t="inlineStr">
        <is>
          <t>Kjt General Construction LLC (V)</t>
        </is>
      </c>
      <c r="B741" s="56" t="inlineStr">
        <is>
          <t>Current</t>
        </is>
      </c>
      <c r="C741" s="57" t="n">
        <v>8971.91</v>
      </c>
      <c r="D741" s="56" t="inlineStr">
        <is>
          <t>2026-06-17</t>
        </is>
      </c>
    </row>
    <row r="742">
      <c r="A742" s="56" t="inlineStr">
        <is>
          <t>Lanmor Services</t>
        </is>
      </c>
      <c r="B742" s="56" t="inlineStr">
        <is>
          <t>Current</t>
        </is>
      </c>
      <c r="C742" s="57" t="n">
        <v>2945.15</v>
      </c>
      <c r="D742" s="56" t="inlineStr">
        <is>
          <t>2026-06-17</t>
        </is>
      </c>
    </row>
    <row r="743">
      <c r="A743" s="56" t="inlineStr">
        <is>
          <t>LH Industrial</t>
        </is>
      </c>
      <c r="B743" s="56" t="inlineStr">
        <is>
          <t>Current</t>
        </is>
      </c>
      <c r="C743" s="57" t="n">
        <v>20346.53</v>
      </c>
      <c r="D743" s="56" t="inlineStr">
        <is>
          <t>2026-06-17</t>
        </is>
      </c>
    </row>
    <row r="744">
      <c r="A744" s="56" t="inlineStr">
        <is>
          <t>LH Industrial</t>
        </is>
      </c>
      <c r="B744" s="56" t="inlineStr">
        <is>
          <t>61-90</t>
        </is>
      </c>
      <c r="C744" s="57" t="n">
        <v>-117.52</v>
      </c>
      <c r="D744" s="56" t="inlineStr">
        <is>
          <t>2026-06-17</t>
        </is>
      </c>
    </row>
    <row r="745">
      <c r="A745" s="56" t="inlineStr">
        <is>
          <t>Lion's Construction LLC</t>
        </is>
      </c>
      <c r="B745" s="56" t="inlineStr">
        <is>
          <t>Current</t>
        </is>
      </c>
      <c r="C745" s="57" t="n">
        <v>3942.55</v>
      </c>
      <c r="D745" s="56" t="inlineStr">
        <is>
          <t>2026-06-17</t>
        </is>
      </c>
    </row>
    <row r="746">
      <c r="A746" s="56" t="inlineStr">
        <is>
          <t>Lion's Construction LLC</t>
        </is>
      </c>
      <c r="B746" s="56" t="inlineStr">
        <is>
          <t>91+</t>
        </is>
      </c>
      <c r="C746" s="57" t="n">
        <v>617.1</v>
      </c>
      <c r="D746" s="56" t="inlineStr">
        <is>
          <t>2026-06-17</t>
        </is>
      </c>
    </row>
    <row r="747">
      <c r="A747" s="56" t="inlineStr">
        <is>
          <t>LL Herrera LLC</t>
        </is>
      </c>
      <c r="B747" s="56" t="inlineStr">
        <is>
          <t>Current</t>
        </is>
      </c>
      <c r="C747" s="57" t="n">
        <v>3056.61</v>
      </c>
      <c r="D747" s="56" t="inlineStr">
        <is>
          <t>2026-06-17</t>
        </is>
      </c>
    </row>
    <row r="748">
      <c r="A748" s="56" t="inlineStr">
        <is>
          <t>Lot Construction, LLC (Omar)</t>
        </is>
      </c>
      <c r="B748" s="56" t="inlineStr">
        <is>
          <t>Current</t>
        </is>
      </c>
      <c r="C748" s="57" t="n">
        <v>1858.7</v>
      </c>
      <c r="D748" s="56" t="inlineStr">
        <is>
          <t>2026-06-17</t>
        </is>
      </c>
    </row>
    <row r="749">
      <c r="A749" s="56" t="inlineStr">
        <is>
          <t>Lot Construction, LLC (Omar)</t>
        </is>
      </c>
      <c r="B749" s="56" t="inlineStr">
        <is>
          <t>31-60</t>
        </is>
      </c>
      <c r="C749" s="57" t="n">
        <v>1293.6</v>
      </c>
      <c r="D749" s="56" t="inlineStr">
        <is>
          <t>2026-06-17</t>
        </is>
      </c>
    </row>
    <row r="750">
      <c r="A750" s="56" t="inlineStr">
        <is>
          <t>Lowe's</t>
        </is>
      </c>
      <c r="B750" s="56" t="inlineStr">
        <is>
          <t>Current</t>
        </is>
      </c>
      <c r="C750" s="57" t="n">
        <v>303594.49</v>
      </c>
      <c r="D750" s="56" t="inlineStr">
        <is>
          <t>2026-06-17</t>
        </is>
      </c>
    </row>
    <row r="751">
      <c r="A751" s="56" t="inlineStr">
        <is>
          <t>Lowe's</t>
        </is>
      </c>
      <c r="B751" s="56" t="inlineStr">
        <is>
          <t>1-30</t>
        </is>
      </c>
      <c r="C751" s="57" t="n">
        <v>14199.9</v>
      </c>
      <c r="D751" s="56" t="inlineStr">
        <is>
          <t>2026-06-17</t>
        </is>
      </c>
    </row>
    <row r="752">
      <c r="A752" s="56" t="inlineStr">
        <is>
          <t>Lowe's</t>
        </is>
      </c>
      <c r="B752" s="56" t="inlineStr">
        <is>
          <t>31-60</t>
        </is>
      </c>
      <c r="C752" s="57" t="n">
        <v>20320.44</v>
      </c>
      <c r="D752" s="56" t="inlineStr">
        <is>
          <t>2026-06-17</t>
        </is>
      </c>
    </row>
    <row r="753">
      <c r="A753" s="56" t="inlineStr">
        <is>
          <t>Lowe's</t>
        </is>
      </c>
      <c r="B753" s="56" t="inlineStr">
        <is>
          <t>91+</t>
        </is>
      </c>
      <c r="C753" s="57" t="n">
        <v>76.41</v>
      </c>
      <c r="D753" s="56" t="inlineStr">
        <is>
          <t>2026-06-17</t>
        </is>
      </c>
    </row>
    <row r="754">
      <c r="A754" s="56" t="inlineStr">
        <is>
          <t>Luis Ruiz (Expenses)</t>
        </is>
      </c>
      <c r="B754" s="56" t="inlineStr">
        <is>
          <t>1-30</t>
        </is>
      </c>
      <c r="C754" s="57" t="n">
        <v>100</v>
      </c>
      <c r="D754" s="56" t="inlineStr">
        <is>
          <t>2026-06-17</t>
        </is>
      </c>
    </row>
    <row r="755">
      <c r="A755" s="56" t="inlineStr">
        <is>
          <t>MacAllister Rentals (R)</t>
        </is>
      </c>
      <c r="B755" s="56" t="inlineStr">
        <is>
          <t>Current</t>
        </is>
      </c>
      <c r="C755" s="57" t="n">
        <v>47500.09</v>
      </c>
      <c r="D755" s="56" t="inlineStr">
        <is>
          <t>2026-06-17</t>
        </is>
      </c>
    </row>
    <row r="756">
      <c r="A756" s="56" t="inlineStr">
        <is>
          <t>MacAllister Rentals (R)</t>
        </is>
      </c>
      <c r="B756" s="56" t="inlineStr">
        <is>
          <t>91+</t>
        </is>
      </c>
      <c r="C756" s="57" t="n">
        <v>-133.75</v>
      </c>
      <c r="D756" s="56" t="inlineStr">
        <is>
          <t>2026-06-17</t>
        </is>
      </c>
    </row>
    <row r="757">
      <c r="A757" s="56" t="inlineStr">
        <is>
          <t>Mariona Construction LLC</t>
        </is>
      </c>
      <c r="B757" s="56" t="inlineStr">
        <is>
          <t>Current</t>
        </is>
      </c>
      <c r="C757" s="57" t="n">
        <v>5328.35</v>
      </c>
      <c r="D757" s="56" t="inlineStr">
        <is>
          <t>2026-06-17</t>
        </is>
      </c>
    </row>
    <row r="758">
      <c r="A758" s="56" t="inlineStr">
        <is>
          <t>Mendoza Construction LLC (V)</t>
        </is>
      </c>
      <c r="B758" s="56" t="inlineStr">
        <is>
          <t>Current</t>
        </is>
      </c>
      <c r="C758" s="57" t="n">
        <v>146738.27</v>
      </c>
      <c r="D758" s="56" t="inlineStr">
        <is>
          <t>2026-06-17</t>
        </is>
      </c>
    </row>
    <row r="759">
      <c r="A759" s="56" t="inlineStr">
        <is>
          <t>Mendoza Construction LLC (V)</t>
        </is>
      </c>
      <c r="B759" s="56" t="inlineStr">
        <is>
          <t>1-30</t>
        </is>
      </c>
      <c r="C759" s="57" t="n">
        <v>3000</v>
      </c>
      <c r="D759" s="56" t="inlineStr">
        <is>
          <t>2026-06-17</t>
        </is>
      </c>
    </row>
    <row r="760">
      <c r="A760" s="56" t="inlineStr">
        <is>
          <t>Mendoza Construction LLC (V)</t>
        </is>
      </c>
      <c r="B760" s="56" t="inlineStr">
        <is>
          <t>31-60</t>
        </is>
      </c>
      <c r="C760" s="57" t="n">
        <v>3736.5</v>
      </c>
      <c r="D760" s="56" t="inlineStr">
        <is>
          <t>2026-06-17</t>
        </is>
      </c>
    </row>
    <row r="761">
      <c r="A761" s="56" t="inlineStr">
        <is>
          <t>Mendoza Construction LLC (V)</t>
        </is>
      </c>
      <c r="B761" s="56" t="inlineStr">
        <is>
          <t>91+</t>
        </is>
      </c>
      <c r="C761" s="57" t="n">
        <v>9485.379999999999</v>
      </c>
      <c r="D761" s="56" t="inlineStr">
        <is>
          <t>2026-06-17</t>
        </is>
      </c>
    </row>
    <row r="762">
      <c r="A762" s="56" t="inlineStr">
        <is>
          <t>Mendoza Innovations, LLC</t>
        </is>
      </c>
      <c r="B762" s="56" t="inlineStr">
        <is>
          <t>1-30</t>
        </is>
      </c>
      <c r="C762" s="57" t="n">
        <v>46637.84</v>
      </c>
      <c r="D762" s="56" t="inlineStr">
        <is>
          <t>2026-06-17</t>
        </is>
      </c>
    </row>
    <row r="763">
      <c r="A763" s="56" t="inlineStr">
        <is>
          <t>Mirabito Energy Products</t>
        </is>
      </c>
      <c r="B763" s="56" t="inlineStr">
        <is>
          <t>Current</t>
        </is>
      </c>
      <c r="C763" s="57" t="n">
        <v>110.13</v>
      </c>
      <c r="D763" s="56" t="inlineStr">
        <is>
          <t>2026-06-17</t>
        </is>
      </c>
    </row>
    <row r="764">
      <c r="A764" s="56" t="inlineStr">
        <is>
          <t>Mirabito Energy Products</t>
        </is>
      </c>
      <c r="B764" s="56" t="inlineStr">
        <is>
          <t>1-30</t>
        </is>
      </c>
      <c r="C764" s="57" t="n">
        <v>100.84</v>
      </c>
      <c r="D764" s="56" t="inlineStr">
        <is>
          <t>2026-06-17</t>
        </is>
      </c>
    </row>
    <row r="765">
      <c r="A765" s="56" t="inlineStr">
        <is>
          <t>Miracle Painting LLC - Jose Otoya</t>
        </is>
      </c>
      <c r="B765" s="56" t="inlineStr">
        <is>
          <t>Current</t>
        </is>
      </c>
      <c r="C765" s="57" t="n">
        <v>3054.15</v>
      </c>
      <c r="D765" s="56" t="inlineStr">
        <is>
          <t>2026-06-17</t>
        </is>
      </c>
    </row>
    <row r="766">
      <c r="A766" s="56" t="inlineStr">
        <is>
          <t>Nemix Painting &amp; Construction LLC</t>
        </is>
      </c>
      <c r="B766" s="56" t="inlineStr">
        <is>
          <t>Current</t>
        </is>
      </c>
      <c r="C766" s="57" t="n">
        <v>60338.96</v>
      </c>
      <c r="D766" s="56" t="inlineStr">
        <is>
          <t>2026-06-17</t>
        </is>
      </c>
    </row>
    <row r="767">
      <c r="A767" s="56" t="inlineStr">
        <is>
          <t>Nemix Painting &amp; Construction LLC</t>
        </is>
      </c>
      <c r="B767" s="56" t="inlineStr">
        <is>
          <t>1-30</t>
        </is>
      </c>
      <c r="C767" s="57" t="n">
        <v>1985.5</v>
      </c>
      <c r="D767" s="56" t="inlineStr">
        <is>
          <t>2026-06-17</t>
        </is>
      </c>
    </row>
    <row r="768">
      <c r="A768" s="56" t="inlineStr">
        <is>
          <t>Nemix Painting &amp; Construction LLC</t>
        </is>
      </c>
      <c r="B768" s="56" t="inlineStr">
        <is>
          <t>61-90</t>
        </is>
      </c>
      <c r="C768" s="57" t="n">
        <v>11248.05</v>
      </c>
      <c r="D768" s="56" t="inlineStr">
        <is>
          <t>2026-06-17</t>
        </is>
      </c>
    </row>
    <row r="769">
      <c r="A769" s="56" t="inlineStr">
        <is>
          <t>Nemix Painting &amp; Construction LLC</t>
        </is>
      </c>
      <c r="B769" s="56" t="inlineStr">
        <is>
          <t>91+</t>
        </is>
      </c>
      <c r="C769" s="57" t="n">
        <v>8485.76</v>
      </c>
      <c r="D769" s="56" t="inlineStr">
        <is>
          <t>2026-06-17</t>
        </is>
      </c>
    </row>
    <row r="770">
      <c r="A770" s="56" t="inlineStr">
        <is>
          <t>Oaks Dumpster Rental</t>
        </is>
      </c>
      <c r="B770" s="56" t="inlineStr">
        <is>
          <t>Current</t>
        </is>
      </c>
      <c r="C770" s="57" t="n">
        <v>960.22</v>
      </c>
      <c r="D770" s="56" t="inlineStr">
        <is>
          <t>2026-06-17</t>
        </is>
      </c>
    </row>
    <row r="771">
      <c r="A771" s="56" t="inlineStr">
        <is>
          <t>Ociel Medina (Gem Interiors)</t>
        </is>
      </c>
      <c r="B771" s="56" t="inlineStr">
        <is>
          <t>Current</t>
        </is>
      </c>
      <c r="C771" s="57" t="n">
        <v>6101.04</v>
      </c>
      <c r="D771" s="56" t="inlineStr">
        <is>
          <t>2026-06-17</t>
        </is>
      </c>
    </row>
    <row r="772">
      <c r="A772" s="56" t="inlineStr">
        <is>
          <t>Oliverio Mejia H, LLC</t>
        </is>
      </c>
      <c r="B772" s="56" t="inlineStr">
        <is>
          <t>Current</t>
        </is>
      </c>
      <c r="C772" s="57" t="n">
        <v>2821.6</v>
      </c>
      <c r="D772" s="56" t="inlineStr">
        <is>
          <t>2026-06-17</t>
        </is>
      </c>
    </row>
    <row r="773">
      <c r="A773" s="56" t="inlineStr">
        <is>
          <t>Oliverio Mejia H, LLC</t>
        </is>
      </c>
      <c r="B773" s="56" t="inlineStr">
        <is>
          <t>1-30</t>
        </is>
      </c>
      <c r="C773" s="57" t="n">
        <v>2385</v>
      </c>
      <c r="D773" s="56" t="inlineStr">
        <is>
          <t>2026-06-17</t>
        </is>
      </c>
    </row>
    <row r="774">
      <c r="A774" s="56" t="inlineStr">
        <is>
          <t>On-Site Supply</t>
        </is>
      </c>
      <c r="B774" s="56" t="inlineStr">
        <is>
          <t>Current</t>
        </is>
      </c>
      <c r="C774" s="57" t="n">
        <v>1143.4</v>
      </c>
      <c r="D774" s="56" t="inlineStr">
        <is>
          <t>2026-06-17</t>
        </is>
      </c>
    </row>
    <row r="775">
      <c r="A775" s="56" t="inlineStr">
        <is>
          <t>Osorio Construction LLC (Rene)</t>
        </is>
      </c>
      <c r="B775" s="56" t="inlineStr">
        <is>
          <t>Current</t>
        </is>
      </c>
      <c r="C775" s="57" t="n">
        <v>8015</v>
      </c>
      <c r="D775" s="56" t="inlineStr">
        <is>
          <t>2026-06-17</t>
        </is>
      </c>
    </row>
    <row r="776">
      <c r="A776" s="56" t="inlineStr">
        <is>
          <t>Pomp's Tire Service, Inc.</t>
        </is>
      </c>
      <c r="B776" s="56" t="inlineStr">
        <is>
          <t>Current</t>
        </is>
      </c>
      <c r="C776" s="57" t="n">
        <v>383.71</v>
      </c>
      <c r="D776" s="56" t="inlineStr">
        <is>
          <t>2026-06-17</t>
        </is>
      </c>
    </row>
    <row r="777">
      <c r="A777" s="56" t="inlineStr">
        <is>
          <t>Precise Tile and Stone LLC</t>
        </is>
      </c>
      <c r="B777" s="56" t="inlineStr">
        <is>
          <t>Current</t>
        </is>
      </c>
      <c r="C777" s="57" t="n">
        <v>3099.87</v>
      </c>
      <c r="D777" s="56" t="inlineStr">
        <is>
          <t>2026-06-17</t>
        </is>
      </c>
    </row>
    <row r="778">
      <c r="A778" s="56" t="inlineStr">
        <is>
          <t>Precision Doors &amp; Hardware</t>
        </is>
      </c>
      <c r="B778" s="56" t="inlineStr">
        <is>
          <t>91+</t>
        </is>
      </c>
      <c r="C778" s="57" t="n">
        <v>6000</v>
      </c>
      <c r="D778" s="56" t="inlineStr">
        <is>
          <t>2026-06-17</t>
        </is>
      </c>
    </row>
    <row r="779">
      <c r="A779" s="56" t="inlineStr">
        <is>
          <t>Prime Drywall Services LLC</t>
        </is>
      </c>
      <c r="B779" s="56" t="inlineStr">
        <is>
          <t>Current</t>
        </is>
      </c>
      <c r="C779" s="57" t="n">
        <v>92882.96000000001</v>
      </c>
      <c r="D779" s="56" t="inlineStr">
        <is>
          <t>2026-06-17</t>
        </is>
      </c>
    </row>
    <row r="780">
      <c r="A780" s="56" t="inlineStr">
        <is>
          <t>Prime Drywall Services LLC</t>
        </is>
      </c>
      <c r="B780" s="56" t="inlineStr">
        <is>
          <t>31-60</t>
        </is>
      </c>
      <c r="C780" s="57" t="n">
        <v>3000</v>
      </c>
      <c r="D780" s="56" t="inlineStr">
        <is>
          <t>2026-06-17</t>
        </is>
      </c>
    </row>
    <row r="781">
      <c r="A781" s="56" t="inlineStr">
        <is>
          <t>Prime Drywall Services LLC</t>
        </is>
      </c>
      <c r="B781" s="56" t="inlineStr">
        <is>
          <t>61-90</t>
        </is>
      </c>
      <c r="C781" s="57" t="n">
        <v>404.64</v>
      </c>
      <c r="D781" s="56" t="inlineStr">
        <is>
          <t>2026-06-17</t>
        </is>
      </c>
    </row>
    <row r="782">
      <c r="A782" s="56" t="inlineStr">
        <is>
          <t>Prime Drywall Services LLC</t>
        </is>
      </c>
      <c r="B782" s="56" t="inlineStr">
        <is>
          <t>91+</t>
        </is>
      </c>
      <c r="C782" s="57" t="n">
        <v>3200.56</v>
      </c>
      <c r="D782" s="56" t="inlineStr">
        <is>
          <t>2026-06-17</t>
        </is>
      </c>
    </row>
    <row r="783">
      <c r="A783" s="56" t="inlineStr">
        <is>
          <t>Professional Handling and Distribution</t>
        </is>
      </c>
      <c r="B783" s="56" t="inlineStr">
        <is>
          <t>Current</t>
        </is>
      </c>
      <c r="C783" s="57" t="n">
        <v>8356.219999999999</v>
      </c>
      <c r="D783" s="56" t="inlineStr">
        <is>
          <t>2026-06-17</t>
        </is>
      </c>
    </row>
    <row r="784">
      <c r="A784" s="56" t="inlineStr">
        <is>
          <t>ProMasters Drywall &amp; Painting</t>
        </is>
      </c>
      <c r="B784" s="56" t="inlineStr">
        <is>
          <t>1-30</t>
        </is>
      </c>
      <c r="C784" s="57" t="n">
        <v>1770</v>
      </c>
      <c r="D784" s="56" t="inlineStr">
        <is>
          <t>2026-06-17</t>
        </is>
      </c>
    </row>
    <row r="785">
      <c r="A785" s="56" t="inlineStr">
        <is>
          <t>Reliable Access LLC</t>
        </is>
      </c>
      <c r="B785" s="56" t="inlineStr">
        <is>
          <t>1-30</t>
        </is>
      </c>
      <c r="C785" s="57" t="n">
        <v>275</v>
      </c>
      <c r="D785" s="56" t="inlineStr">
        <is>
          <t>2026-06-17</t>
        </is>
      </c>
    </row>
    <row r="786">
      <c r="A786" s="56" t="inlineStr">
        <is>
          <t>RGT Construction LLC</t>
        </is>
      </c>
      <c r="B786" s="56" t="inlineStr">
        <is>
          <t>91+</t>
        </is>
      </c>
      <c r="C786" s="57" t="n">
        <v>346.5</v>
      </c>
      <c r="D786" s="56" t="inlineStr">
        <is>
          <t>2026-06-17</t>
        </is>
      </c>
    </row>
    <row r="787">
      <c r="A787" s="56" t="inlineStr">
        <is>
          <t>Riteway Tool &amp; Fasteners</t>
        </is>
      </c>
      <c r="B787" s="56" t="inlineStr">
        <is>
          <t>Current</t>
        </is>
      </c>
      <c r="C787" s="57" t="n">
        <v>17855.06</v>
      </c>
      <c r="D787" s="56" t="inlineStr">
        <is>
          <t>2026-06-17</t>
        </is>
      </c>
    </row>
    <row r="788">
      <c r="A788" s="56" t="inlineStr">
        <is>
          <t>Riteway Tool &amp; Fasteners</t>
        </is>
      </c>
      <c r="B788" s="56" t="inlineStr">
        <is>
          <t>91+</t>
        </is>
      </c>
      <c r="C788" s="57" t="n">
        <v>-44.73</v>
      </c>
      <c r="D788" s="56" t="inlineStr">
        <is>
          <t>2026-06-17</t>
        </is>
      </c>
    </row>
    <row r="789">
      <c r="A789" s="56" t="inlineStr">
        <is>
          <t>RWR 504 Construction LLC</t>
        </is>
      </c>
      <c r="B789" s="56" t="inlineStr">
        <is>
          <t>Current</t>
        </is>
      </c>
      <c r="C789" s="57" t="n">
        <v>2280</v>
      </c>
      <c r="D789" s="56" t="inlineStr">
        <is>
          <t>2026-06-17</t>
        </is>
      </c>
    </row>
    <row r="790">
      <c r="A790" s="56" t="inlineStr">
        <is>
          <t>Sandra Yanett Ayala LLC</t>
        </is>
      </c>
      <c r="B790" s="56" t="inlineStr">
        <is>
          <t>Current</t>
        </is>
      </c>
      <c r="C790" s="57" t="n">
        <v>5476.52</v>
      </c>
      <c r="D790" s="56" t="inlineStr">
        <is>
          <t>2026-06-17</t>
        </is>
      </c>
    </row>
    <row r="791">
      <c r="A791" s="56" t="inlineStr">
        <is>
          <t>Sandra Yanett Ayala LLC</t>
        </is>
      </c>
      <c r="B791" s="56" t="inlineStr">
        <is>
          <t>31-60</t>
        </is>
      </c>
      <c r="C791" s="57" t="n">
        <v>2668.78</v>
      </c>
      <c r="D791" s="56" t="inlineStr">
        <is>
          <t>2026-06-17</t>
        </is>
      </c>
    </row>
    <row r="792">
      <c r="A792" s="56" t="inlineStr">
        <is>
          <t>Sandra Yanett Ayala LLC</t>
        </is>
      </c>
      <c r="B792" s="56" t="inlineStr">
        <is>
          <t>61-90</t>
        </is>
      </c>
      <c r="C792" s="57" t="n">
        <v>7456.06</v>
      </c>
      <c r="D792" s="56" t="inlineStr">
        <is>
          <t>2026-06-17</t>
        </is>
      </c>
    </row>
    <row r="793">
      <c r="A793" s="56" t="inlineStr">
        <is>
          <t>Saravia Drywall, LLC</t>
        </is>
      </c>
      <c r="B793" s="56" t="inlineStr">
        <is>
          <t>Current</t>
        </is>
      </c>
      <c r="C793" s="57" t="n">
        <v>11280</v>
      </c>
      <c r="D793" s="56" t="inlineStr">
        <is>
          <t>2026-06-17</t>
        </is>
      </c>
    </row>
    <row r="794">
      <c r="A794" s="56" t="inlineStr">
        <is>
          <t>Shaevitz Construction Inc.</t>
        </is>
      </c>
      <c r="B794" s="56" t="inlineStr">
        <is>
          <t>Current</t>
        </is>
      </c>
      <c r="C794" s="57" t="n">
        <v>2277.46</v>
      </c>
      <c r="D794" s="56" t="inlineStr">
        <is>
          <t>2026-06-17</t>
        </is>
      </c>
    </row>
    <row r="795">
      <c r="A795" s="56" t="inlineStr">
        <is>
          <t>Sherwin Williams</t>
        </is>
      </c>
      <c r="B795" s="56" t="inlineStr">
        <is>
          <t>Current</t>
        </is>
      </c>
      <c r="C795" s="57" t="n">
        <v>203177.5</v>
      </c>
      <c r="D795" s="56" t="inlineStr">
        <is>
          <t>2026-06-17</t>
        </is>
      </c>
    </row>
    <row r="796">
      <c r="A796" s="56" t="inlineStr">
        <is>
          <t>Sherwin Williams</t>
        </is>
      </c>
      <c r="B796" s="56" t="inlineStr">
        <is>
          <t>1-30</t>
        </is>
      </c>
      <c r="C796" s="57" t="n">
        <v>1839.06</v>
      </c>
      <c r="D796" s="56" t="inlineStr">
        <is>
          <t>2026-06-17</t>
        </is>
      </c>
    </row>
    <row r="797">
      <c r="A797" s="56" t="inlineStr">
        <is>
          <t>Sherwin Williams</t>
        </is>
      </c>
      <c r="B797" s="56" t="inlineStr">
        <is>
          <t>31-60</t>
        </is>
      </c>
      <c r="C797" s="57" t="n">
        <v>-10.27</v>
      </c>
      <c r="D797" s="56" t="inlineStr">
        <is>
          <t>2026-06-17</t>
        </is>
      </c>
    </row>
    <row r="798">
      <c r="A798" s="56" t="inlineStr">
        <is>
          <t>Sherwin Williams</t>
        </is>
      </c>
      <c r="B798" s="56" t="inlineStr">
        <is>
          <t>61-90</t>
        </is>
      </c>
      <c r="C798" s="57" t="n">
        <v>-486.97</v>
      </c>
      <c r="D798" s="56" t="inlineStr">
        <is>
          <t>2026-06-17</t>
        </is>
      </c>
    </row>
    <row r="799">
      <c r="A799" s="56" t="inlineStr">
        <is>
          <t>Sherwin Williams</t>
        </is>
      </c>
      <c r="B799" s="56" t="inlineStr">
        <is>
          <t>91+</t>
        </is>
      </c>
      <c r="C799" s="57" t="n">
        <v>-494.67</v>
      </c>
      <c r="D799" s="56" t="inlineStr">
        <is>
          <t>2026-06-17</t>
        </is>
      </c>
    </row>
    <row r="800">
      <c r="A800" s="56" t="inlineStr">
        <is>
          <t>Southwest Solutions Group, Inc.</t>
        </is>
      </c>
      <c r="B800" s="56" t="inlineStr">
        <is>
          <t>Current</t>
        </is>
      </c>
      <c r="C800" s="57" t="n">
        <v>1080</v>
      </c>
      <c r="D800" s="56" t="inlineStr">
        <is>
          <t>2026-06-17</t>
        </is>
      </c>
    </row>
    <row r="801">
      <c r="A801" s="56" t="inlineStr">
        <is>
          <t>Sunbelt Rentals Inc.</t>
        </is>
      </c>
      <c r="B801" s="56" t="inlineStr">
        <is>
          <t>Current</t>
        </is>
      </c>
      <c r="C801" s="57" t="n">
        <v>1907.34</v>
      </c>
      <c r="D801" s="56" t="inlineStr">
        <is>
          <t>2026-06-17</t>
        </is>
      </c>
    </row>
    <row r="802">
      <c r="A802" s="56" t="inlineStr">
        <is>
          <t>The Best Tile Installation (Nagio Company LLC)</t>
        </is>
      </c>
      <c r="B802" s="56" t="inlineStr">
        <is>
          <t>Current</t>
        </is>
      </c>
      <c r="C802" s="57" t="n">
        <v>833.75</v>
      </c>
      <c r="D802" s="56" t="inlineStr">
        <is>
          <t>2026-06-17</t>
        </is>
      </c>
    </row>
    <row r="803">
      <c r="A803" s="56" t="inlineStr">
        <is>
          <t>Top Team Quality Building LLC</t>
        </is>
      </c>
      <c r="B803" s="56" t="inlineStr">
        <is>
          <t>Current</t>
        </is>
      </c>
      <c r="C803" s="57" t="n">
        <v>5378.2</v>
      </c>
      <c r="D803" s="56" t="inlineStr">
        <is>
          <t>2026-06-17</t>
        </is>
      </c>
    </row>
    <row r="804">
      <c r="A804" s="56" t="inlineStr">
        <is>
          <t>Top Team Quality Building LLC</t>
        </is>
      </c>
      <c r="B804" s="56" t="inlineStr">
        <is>
          <t>31-60</t>
        </is>
      </c>
      <c r="C804" s="57" t="n">
        <v>819.2</v>
      </c>
      <c r="D804" s="56" t="inlineStr">
        <is>
          <t>2026-06-17</t>
        </is>
      </c>
    </row>
    <row r="805">
      <c r="A805" s="56" t="inlineStr">
        <is>
          <t>United (GMS)/Cherokee Building Materials</t>
        </is>
      </c>
      <c r="B805" s="56" t="inlineStr">
        <is>
          <t>Current</t>
        </is>
      </c>
      <c r="C805" s="57" t="n">
        <v>177526.44</v>
      </c>
      <c r="D805" s="56" t="inlineStr">
        <is>
          <t>2026-06-17</t>
        </is>
      </c>
    </row>
    <row r="806">
      <c r="A806" s="56" t="inlineStr">
        <is>
          <t>United Rentals Inc.</t>
        </is>
      </c>
      <c r="B806" s="56" t="inlineStr">
        <is>
          <t>Current</t>
        </is>
      </c>
      <c r="C806" s="57" t="n">
        <v>50995.72</v>
      </c>
      <c r="D806" s="56" t="inlineStr">
        <is>
          <t>2026-06-17</t>
        </is>
      </c>
    </row>
    <row r="807">
      <c r="A807" s="56" t="inlineStr">
        <is>
          <t>Valley Interior Products (GMS)</t>
        </is>
      </c>
      <c r="B807" s="56" t="inlineStr">
        <is>
          <t>Current</t>
        </is>
      </c>
      <c r="C807" s="57" t="n">
        <v>302.7</v>
      </c>
      <c r="D807" s="56" t="inlineStr">
        <is>
          <t>2026-06-17</t>
        </is>
      </c>
    </row>
    <row r="808">
      <c r="A808" s="56" t="inlineStr">
        <is>
          <t>Valley Interior Products (GMS)</t>
        </is>
      </c>
      <c r="B808" s="56" t="inlineStr">
        <is>
          <t>91+</t>
        </is>
      </c>
      <c r="C808" s="57" t="n">
        <v>-1141.64</v>
      </c>
      <c r="D808" s="56" t="inlineStr">
        <is>
          <t>2026-06-17</t>
        </is>
      </c>
    </row>
    <row r="809">
      <c r="A809" s="56" t="inlineStr">
        <is>
          <t>Victor Garza (Expenses)</t>
        </is>
      </c>
      <c r="B809" s="56" t="inlineStr">
        <is>
          <t>31-60</t>
        </is>
      </c>
      <c r="C809" s="57" t="n">
        <v>165.68</v>
      </c>
      <c r="D809" s="56" t="inlineStr">
        <is>
          <t>2026-06-17</t>
        </is>
      </c>
    </row>
    <row r="810">
      <c r="A810" s="56" t="inlineStr">
        <is>
          <t>White Cap, L.P.</t>
        </is>
      </c>
      <c r="B810" s="56" t="inlineStr">
        <is>
          <t>Current</t>
        </is>
      </c>
      <c r="C810" s="57" t="n">
        <v>467.79</v>
      </c>
      <c r="D810" s="56" t="inlineStr">
        <is>
          <t>2026-06-17</t>
        </is>
      </c>
    </row>
    <row r="812">
      <c r="A812" s="54" t="inlineStr">
        <is>
          <t>tCash   —   QuickBooks Online — balance sheet &amp; cash flow   —   as of 2026-06-17</t>
        </is>
      </c>
    </row>
    <row r="813">
      <c r="A813" s="55" t="inlineStr">
        <is>
          <t>Date</t>
        </is>
      </c>
      <c r="B813" s="55" t="inlineStr">
        <is>
          <t>CashBalance</t>
        </is>
      </c>
      <c r="C813" s="55" t="inlineStr">
        <is>
          <t>LOCDrawn</t>
        </is>
      </c>
      <c r="D813" s="55" t="inlineStr">
        <is>
          <t>LOCCapX</t>
        </is>
      </c>
      <c r="E813" s="55" t="inlineStr">
        <is>
          <t>OperatingCF</t>
        </is>
      </c>
      <c r="F813" s="55" t="inlineStr">
        <is>
          <t>InvestingCF</t>
        </is>
      </c>
      <c r="G813" s="55" t="inlineStr">
        <is>
          <t>FinancingCF</t>
        </is>
      </c>
      <c r="H813" s="55" t="inlineStr">
        <is>
          <t>NetCashChange</t>
        </is>
      </c>
      <c r="I813" s="55" t="inlineStr">
        <is>
          <t>LOCLimit</t>
        </is>
      </c>
      <c r="J813" s="55" t="inlineStr">
        <is>
          <t>AdvanceRate</t>
        </is>
      </c>
      <c r="K813" s="55" t="inlineStr">
        <is>
          <t>EligibleAR</t>
        </is>
      </c>
      <c r="L813" s="55" t="inlineStr">
        <is>
          <t>CurrentAssets</t>
        </is>
      </c>
      <c r="M813" s="55" t="inlineStr">
        <is>
          <t>CurrentLiabilities</t>
        </is>
      </c>
    </row>
    <row r="814">
      <c r="A814" s="56" t="inlineStr">
        <is>
          <t>2026-06-17</t>
        </is>
      </c>
      <c r="B814" s="57" t="n">
        <v>-54623.3</v>
      </c>
      <c r="C814" s="57" t="n">
        <v>5440076.95</v>
      </c>
      <c r="D814" s="57" t="n">
        <v>333834.01</v>
      </c>
      <c r="E814" s="57" t="n">
        <v>1708994.16</v>
      </c>
      <c r="F814" s="57" t="n">
        <v>212852.1</v>
      </c>
      <c r="G814" s="57" t="n">
        <v>-1650418.17</v>
      </c>
      <c r="H814" s="57" t="n">
        <v>271428.09</v>
      </c>
      <c r="I814" s="57" t="n">
        <v>8000000</v>
      </c>
      <c r="J814" s="58" t="n">
        <v>0.8</v>
      </c>
      <c r="K814" s="57" t="n">
        <v>12986875.87</v>
      </c>
      <c r="L814" s="57" t="n">
        <v>19633898.04</v>
      </c>
      <c r="M814" s="57" t="n">
        <v>13844013.44</v>
      </c>
    </row>
    <row r="816">
      <c r="A816" s="54" t="inlineStr">
        <is>
          <t>tBS   —   QuickBooks Online — balance sheet   —   as of 2026-06-17</t>
        </is>
      </c>
    </row>
    <row r="817">
      <c r="A817" s="55" t="inlineStr">
        <is>
          <t>Account</t>
        </is>
      </c>
      <c r="B817" s="55" t="inlineStr">
        <is>
          <t>Section</t>
        </is>
      </c>
      <c r="C817" s="55" t="inlineStr">
        <is>
          <t>Amount</t>
        </is>
      </c>
      <c r="D817" s="55" t="inlineStr">
        <is>
          <t>AsOfDate</t>
        </is>
      </c>
    </row>
    <row r="818">
      <c r="A818" s="56" t="inlineStr">
        <is>
          <t>Cash</t>
        </is>
      </c>
      <c r="B818" s="56" t="inlineStr">
        <is>
          <t>Assets</t>
        </is>
      </c>
      <c r="C818" s="57" t="n">
        <v>-54623.3</v>
      </c>
      <c r="D818" s="56" t="inlineStr">
        <is>
          <t>2026-06-17</t>
        </is>
      </c>
    </row>
    <row r="819">
      <c r="A819" s="56" t="inlineStr">
        <is>
          <t>Accounts Receivable</t>
        </is>
      </c>
      <c r="B819" s="56" t="inlineStr">
        <is>
          <t>Assets</t>
        </is>
      </c>
      <c r="C819" s="57" t="n">
        <v>12986875.87</v>
      </c>
      <c r="D819" s="56" t="inlineStr">
        <is>
          <t>2026-06-17</t>
        </is>
      </c>
    </row>
    <row r="820">
      <c r="A820" s="56" t="inlineStr">
        <is>
          <t>Retainage Receivable</t>
        </is>
      </c>
      <c r="B820" s="56" t="inlineStr">
        <is>
          <t>Assets</t>
        </is>
      </c>
      <c r="C820" s="57" t="n">
        <v>3136194.46</v>
      </c>
      <c r="D820" s="56" t="inlineStr">
        <is>
          <t>2026-06-17</t>
        </is>
      </c>
    </row>
    <row r="821">
      <c r="A821" s="56" t="inlineStr">
        <is>
          <t>Drywall Inventory</t>
        </is>
      </c>
      <c r="B821" s="56" t="inlineStr">
        <is>
          <t>Assets</t>
        </is>
      </c>
      <c r="C821" s="57" t="n">
        <v>593395.59</v>
      </c>
      <c r="D821" s="56" t="inlineStr">
        <is>
          <t>2026-06-17</t>
        </is>
      </c>
    </row>
    <row r="822">
      <c r="A822" s="56" t="inlineStr">
        <is>
          <t>WIP Underbillings</t>
        </is>
      </c>
      <c r="B822" s="56" t="inlineStr">
        <is>
          <t>Assets</t>
        </is>
      </c>
      <c r="C822" s="57" t="n">
        <v>2889941.58</v>
      </c>
      <c r="D822" s="56" t="inlineStr">
        <is>
          <t>2026-06-17</t>
        </is>
      </c>
    </row>
    <row r="823">
      <c r="A823" s="56" t="inlineStr">
        <is>
          <t>Other Current Assets (net)</t>
        </is>
      </c>
      <c r="B823" s="56" t="inlineStr">
        <is>
          <t>Assets</t>
        </is>
      </c>
      <c r="C823" s="57" t="n">
        <v>82113.84</v>
      </c>
      <c r="D823" s="56" t="inlineStr">
        <is>
          <t>2026-06-17</t>
        </is>
      </c>
    </row>
    <row r="824">
      <c r="A824" s="56" t="inlineStr">
        <is>
          <t>Fixed Assets</t>
        </is>
      </c>
      <c r="B824" s="56" t="inlineStr">
        <is>
          <t>Assets</t>
        </is>
      </c>
      <c r="C824" s="57" t="n">
        <v>694113.61</v>
      </c>
      <c r="D824" s="56" t="inlineStr">
        <is>
          <t>2026-06-17</t>
        </is>
      </c>
    </row>
    <row r="825">
      <c r="A825" s="56" t="inlineStr">
        <is>
          <t>Other Assets</t>
        </is>
      </c>
      <c r="B825" s="56" t="inlineStr">
        <is>
          <t>Assets</t>
        </is>
      </c>
      <c r="C825" s="57" t="n">
        <v>2223043.34</v>
      </c>
      <c r="D825" s="56" t="inlineStr">
        <is>
          <t>2026-06-17</t>
        </is>
      </c>
    </row>
    <row r="826">
      <c r="A826" s="56" t="inlineStr">
        <is>
          <t>Accounts Payable</t>
        </is>
      </c>
      <c r="B826" s="56" t="inlineStr">
        <is>
          <t>Liabilities</t>
        </is>
      </c>
      <c r="C826" s="57" t="n">
        <v>3655333.94</v>
      </c>
      <c r="D826" s="56" t="inlineStr">
        <is>
          <t>2026-06-17</t>
        </is>
      </c>
    </row>
    <row r="827">
      <c r="A827" s="56" t="inlineStr">
        <is>
          <t>Credit Cards</t>
        </is>
      </c>
      <c r="B827" s="56" t="inlineStr">
        <is>
          <t>Liabilities</t>
        </is>
      </c>
      <c r="C827" s="57" t="n">
        <v>15836.29</v>
      </c>
      <c r="D827" s="56" t="inlineStr">
        <is>
          <t>2026-06-17</t>
        </is>
      </c>
    </row>
    <row r="828">
      <c r="A828" s="56" t="inlineStr">
        <is>
          <t>Line of Credit (Forum 0874)</t>
        </is>
      </c>
      <c r="B828" s="56" t="inlineStr">
        <is>
          <t>Liabilities</t>
        </is>
      </c>
      <c r="C828" s="57" t="n">
        <v>5440076.95</v>
      </c>
      <c r="D828" s="56" t="inlineStr">
        <is>
          <t>2026-06-17</t>
        </is>
      </c>
    </row>
    <row r="829">
      <c r="A829" s="56" t="inlineStr">
        <is>
          <t>CapX Line of Credit (Forum 1708)</t>
        </is>
      </c>
      <c r="B829" s="56" t="inlineStr">
        <is>
          <t>Liabilities</t>
        </is>
      </c>
      <c r="C829" s="57" t="n">
        <v>333834.01</v>
      </c>
      <c r="D829" s="56" t="inlineStr">
        <is>
          <t>2026-06-17</t>
        </is>
      </c>
    </row>
    <row r="830">
      <c r="A830" s="56" t="inlineStr">
        <is>
          <t>WIP Overbillings</t>
        </is>
      </c>
      <c r="B830" s="56" t="inlineStr">
        <is>
          <t>Liabilities</t>
        </is>
      </c>
      <c r="C830" s="57" t="n">
        <v>1651664.83</v>
      </c>
      <c r="D830" s="56" t="inlineStr">
        <is>
          <t>2026-06-17</t>
        </is>
      </c>
    </row>
    <row r="831">
      <c r="A831" s="56" t="inlineStr">
        <is>
          <t>Other Current Liabilities (net)</t>
        </is>
      </c>
      <c r="B831" s="56" t="inlineStr">
        <is>
          <t>Liabilities</t>
        </is>
      </c>
      <c r="C831" s="57" t="n">
        <v>2747267.42</v>
      </c>
      <c r="D831" s="56" t="inlineStr">
        <is>
          <t>2026-06-17</t>
        </is>
      </c>
    </row>
    <row r="832">
      <c r="A832" s="56" t="inlineStr">
        <is>
          <t>Long-term Liabilities</t>
        </is>
      </c>
      <c r="B832" s="56" t="inlineStr">
        <is>
          <t>Liabilities</t>
        </is>
      </c>
      <c r="C832" s="57" t="n">
        <v>8372.290000000001</v>
      </c>
      <c r="D832" s="56" t="inlineStr">
        <is>
          <t>2026-06-17</t>
        </is>
      </c>
    </row>
    <row r="833">
      <c r="A833" s="56" t="inlineStr">
        <is>
          <t>Total Equity</t>
        </is>
      </c>
      <c r="B833" s="56" t="inlineStr">
        <is>
          <t>Equity</t>
        </is>
      </c>
      <c r="C833" s="57" t="n">
        <v>8698669.26</v>
      </c>
      <c r="D833" s="56" t="inlineStr">
        <is>
          <t>2026-06-17</t>
        </is>
      </c>
    </row>
    <row r="835">
      <c r="A835" s="54" t="inlineStr">
        <is>
          <t>tInv   —   Knowify — Invoices (by invoice date)   —   as of 2026-06-17</t>
        </is>
      </c>
    </row>
    <row r="836">
      <c r="A836" s="55" t="inlineStr">
        <is>
          <t>Job</t>
        </is>
      </c>
      <c r="B836" s="55" t="inlineStr">
        <is>
          <t>Month</t>
        </is>
      </c>
      <c r="C836" s="55" t="inlineStr">
        <is>
          <t>Amount</t>
        </is>
      </c>
    </row>
    <row r="837">
      <c r="A837" s="56" t="inlineStr">
        <is>
          <t>2024.950 Caterpillar Triple Crown</t>
        </is>
      </c>
      <c r="B837" s="56" t="inlineStr">
        <is>
          <t>2026-01</t>
        </is>
      </c>
      <c r="C837" s="57" t="n">
        <v>9448.35</v>
      </c>
    </row>
    <row r="838">
      <c r="A838" s="56" t="inlineStr">
        <is>
          <t>DS.2026.2364 GSI 1-6</t>
        </is>
      </c>
      <c r="B838" s="56" t="inlineStr">
        <is>
          <t>2026-01</t>
        </is>
      </c>
      <c r="C838" s="57" t="n">
        <v>3762.61</v>
      </c>
    </row>
    <row r="839">
      <c r="A839" s="56" t="inlineStr">
        <is>
          <t>DS.2026.2362 Courtyards of Russel Oaks 127</t>
        </is>
      </c>
      <c r="B839" s="56" t="inlineStr">
        <is>
          <t>2026-01</t>
        </is>
      </c>
      <c r="C839" s="57" t="n">
        <v>299.6</v>
      </c>
    </row>
    <row r="840">
      <c r="A840" s="56" t="inlineStr">
        <is>
          <t>DS.2026.2363 Courtyards of Westfield 96</t>
        </is>
      </c>
      <c r="B840" s="56" t="inlineStr">
        <is>
          <t>2026-01</t>
        </is>
      </c>
      <c r="C840" s="57" t="n">
        <v>7700.52</v>
      </c>
    </row>
    <row r="841">
      <c r="A841" s="56" t="inlineStr">
        <is>
          <t>DS.2026.2365 GSI Sackstedor Bloomington</t>
        </is>
      </c>
      <c r="B841" s="56" t="inlineStr">
        <is>
          <t>2026-01</t>
        </is>
      </c>
      <c r="C841" s="57" t="n">
        <v>11604.16</v>
      </c>
    </row>
    <row r="842">
      <c r="A842" s="56" t="inlineStr">
        <is>
          <t>MF.2025.989-2 Springdale Cinema - Drywall</t>
        </is>
      </c>
      <c r="B842" s="56" t="inlineStr">
        <is>
          <t>2026-01</t>
        </is>
      </c>
      <c r="C842" s="57" t="n">
        <v>122512.5</v>
      </c>
    </row>
    <row r="843">
      <c r="A843" s="56" t="inlineStr">
        <is>
          <t>MF.2025.977 Civic Square Condos</t>
        </is>
      </c>
      <c r="B843" s="56" t="inlineStr">
        <is>
          <t>2026-01</t>
        </is>
      </c>
      <c r="C843" s="57" t="n">
        <v>16373.48</v>
      </c>
    </row>
    <row r="844">
      <c r="A844" s="56" t="inlineStr">
        <is>
          <t>MF.2024.892 The Lofts at Headwaters Park</t>
        </is>
      </c>
      <c r="B844" s="56" t="inlineStr">
        <is>
          <t>2026-01</t>
        </is>
      </c>
      <c r="C844" s="57" t="n">
        <v>161432.46</v>
      </c>
    </row>
    <row r="845">
      <c r="A845" s="56" t="inlineStr">
        <is>
          <t>MF.2024.928 Holliday Farms Assisted Living - Zionsville</t>
        </is>
      </c>
      <c r="B845" s="56" t="inlineStr">
        <is>
          <t>2026-01</t>
        </is>
      </c>
      <c r="C845" s="57" t="n">
        <v>75888.38</v>
      </c>
    </row>
    <row r="846">
      <c r="A846" s="56" t="inlineStr">
        <is>
          <t>MF.2024.931 Wild Air</t>
        </is>
      </c>
      <c r="B846" s="56" t="inlineStr">
        <is>
          <t>2026-01</t>
        </is>
      </c>
      <c r="C846" s="57" t="n">
        <v>166011.35</v>
      </c>
    </row>
    <row r="847">
      <c r="A847" s="56" t="inlineStr">
        <is>
          <t>MF.2025.992 Young's Creek Apartments</t>
        </is>
      </c>
      <c r="B847" s="56" t="inlineStr">
        <is>
          <t>2026-01</t>
        </is>
      </c>
      <c r="C847" s="57" t="n">
        <v>127149.57</v>
      </c>
    </row>
    <row r="848">
      <c r="A848" s="56" t="inlineStr">
        <is>
          <t>MF.2024.945 Encore Senior Living</t>
        </is>
      </c>
      <c r="B848" s="56" t="inlineStr">
        <is>
          <t>2026-01</t>
        </is>
      </c>
      <c r="C848" s="57" t="n">
        <v>43797.38</v>
      </c>
    </row>
    <row r="849">
      <c r="A849" s="56" t="inlineStr">
        <is>
          <t>MF.2025.1019 Town &amp; Country Apartments (NY MF Project - 22 bldgs)</t>
        </is>
      </c>
      <c r="B849" s="56" t="inlineStr">
        <is>
          <t>2026-01</t>
        </is>
      </c>
      <c r="C849" s="57" t="n">
        <v>246097.48</v>
      </c>
    </row>
    <row r="850">
      <c r="A850" s="56" t="inlineStr">
        <is>
          <t>MF.2025.976 Firefly Youth Housing</t>
        </is>
      </c>
      <c r="B850" s="56" t="inlineStr">
        <is>
          <t>2026-01</t>
        </is>
      </c>
      <c r="C850" s="57" t="n">
        <v>4050</v>
      </c>
    </row>
    <row r="851">
      <c r="A851" s="56" t="inlineStr">
        <is>
          <t>2025.964 Avon Municipal Building</t>
        </is>
      </c>
      <c r="B851" s="56" t="inlineStr">
        <is>
          <t>2026-01</t>
        </is>
      </c>
      <c r="C851" s="57" t="n">
        <v>363417.48</v>
      </c>
    </row>
    <row r="852">
      <c r="A852" s="56" t="inlineStr">
        <is>
          <t>MF.2025.972 Union Flats - Fishers</t>
        </is>
      </c>
      <c r="B852" s="56" t="inlineStr">
        <is>
          <t>2026-01</t>
        </is>
      </c>
      <c r="C852" s="57" t="n">
        <v>27090</v>
      </c>
    </row>
    <row r="853">
      <c r="A853" s="56" t="inlineStr">
        <is>
          <t>2025.1026 HNTB Buildout (Salesforce Tower)</t>
        </is>
      </c>
      <c r="B853" s="56" t="inlineStr">
        <is>
          <t>2026-01</t>
        </is>
      </c>
      <c r="C853" s="57" t="n">
        <v>40056.3</v>
      </c>
    </row>
    <row r="854">
      <c r="A854" s="56" t="inlineStr">
        <is>
          <t>2025.978 Ardalan Plaza</t>
        </is>
      </c>
      <c r="B854" s="56" t="inlineStr">
        <is>
          <t>2026-01</t>
        </is>
      </c>
      <c r="C854" s="57" t="n">
        <v>29270.16</v>
      </c>
    </row>
    <row r="855">
      <c r="A855" s="56" t="inlineStr">
        <is>
          <t>2024.909 Andretti Global HQ</t>
        </is>
      </c>
      <c r="B855" s="56" t="inlineStr">
        <is>
          <t>2026-01</t>
        </is>
      </c>
      <c r="C855" s="57" t="n">
        <v>40682</v>
      </c>
    </row>
    <row r="856">
      <c r="A856" s="56" t="inlineStr">
        <is>
          <t>DS.2026.2368 Courtyards of Russell Oaks 60</t>
        </is>
      </c>
      <c r="B856" s="56" t="inlineStr">
        <is>
          <t>2026-01</t>
        </is>
      </c>
      <c r="C856" s="57" t="n">
        <v>7243.75</v>
      </c>
    </row>
    <row r="857">
      <c r="A857" s="56" t="inlineStr">
        <is>
          <t>DS.2026.2366 Courtyards of Cielo Ranch 15</t>
        </is>
      </c>
      <c r="B857" s="56" t="inlineStr">
        <is>
          <t>2026-01</t>
        </is>
      </c>
      <c r="C857" s="57" t="n">
        <v>6022.94</v>
      </c>
    </row>
    <row r="858">
      <c r="A858" s="56" t="inlineStr">
        <is>
          <t>DS.2026.2367 Courtyards of Russell Oaks 126</t>
        </is>
      </c>
      <c r="B858" s="56" t="inlineStr">
        <is>
          <t>2026-01</t>
        </is>
      </c>
      <c r="C858" s="57" t="n">
        <v>360.55</v>
      </c>
    </row>
    <row r="859">
      <c r="A859" s="56" t="inlineStr">
        <is>
          <t>2025.979 Groundbreakers</t>
        </is>
      </c>
      <c r="B859" s="56" t="inlineStr">
        <is>
          <t>2026-01</t>
        </is>
      </c>
      <c r="C859" s="57" t="n">
        <v>5282.37</v>
      </c>
    </row>
    <row r="860">
      <c r="A860" s="56" t="inlineStr">
        <is>
          <t>2025.966 C5 Bullitt III Logistics Center Warehouse</t>
        </is>
      </c>
      <c r="B860" s="56" t="inlineStr">
        <is>
          <t>2026-01</t>
        </is>
      </c>
      <c r="C860" s="57" t="n">
        <v>33987.6</v>
      </c>
    </row>
    <row r="861">
      <c r="A861" s="56" t="inlineStr">
        <is>
          <t>2025.1024 Metro Lion</t>
        </is>
      </c>
      <c r="B861" s="56" t="inlineStr">
        <is>
          <t>2026-01</t>
        </is>
      </c>
      <c r="C861" s="57" t="n">
        <v>231487.2</v>
      </c>
    </row>
    <row r="862">
      <c r="A862" s="56" t="inlineStr">
        <is>
          <t>2025.1021 Convivio</t>
        </is>
      </c>
      <c r="B862" s="56" t="inlineStr">
        <is>
          <t>2026-01</t>
        </is>
      </c>
      <c r="C862" s="57" t="n">
        <v>2250</v>
      </c>
    </row>
    <row r="863">
      <c r="A863" s="56" t="inlineStr">
        <is>
          <t>2025.1025 Park 100 - Building 22</t>
        </is>
      </c>
      <c r="B863" s="56" t="inlineStr">
        <is>
          <t>2026-01</t>
        </is>
      </c>
      <c r="C863" s="57" t="n">
        <v>9900</v>
      </c>
    </row>
    <row r="864">
      <c r="A864" s="56" t="inlineStr">
        <is>
          <t>2025.1016 WBP Lot C</t>
        </is>
      </c>
      <c r="B864" s="56" t="inlineStr">
        <is>
          <t>2026-01</t>
        </is>
      </c>
      <c r="C864" s="57" t="n">
        <v>25903.13</v>
      </c>
    </row>
    <row r="865">
      <c r="A865" s="56" t="inlineStr">
        <is>
          <t>2025.1015 WBP Lot 4</t>
        </is>
      </c>
      <c r="B865" s="56" t="inlineStr">
        <is>
          <t>2026-01</t>
        </is>
      </c>
      <c r="C865" s="57" t="n">
        <v>31758.75</v>
      </c>
    </row>
    <row r="866">
      <c r="A866" s="56" t="inlineStr">
        <is>
          <t>2025.1029 Resmed - Indy 500</t>
        </is>
      </c>
      <c r="B866" s="56" t="inlineStr">
        <is>
          <t>2026-01</t>
        </is>
      </c>
      <c r="C866" s="57" t="n">
        <v>41976.09</v>
      </c>
    </row>
    <row r="867">
      <c r="A867" s="56" t="inlineStr">
        <is>
          <t>2025.1001 Evolve Transporters</t>
        </is>
      </c>
      <c r="B867" s="56" t="inlineStr">
        <is>
          <t>2026-01</t>
        </is>
      </c>
      <c r="C867" s="57" t="n">
        <v>290318.22</v>
      </c>
    </row>
    <row r="868">
      <c r="A868" s="56" t="inlineStr">
        <is>
          <t>2025.991 Walmart Republic</t>
        </is>
      </c>
      <c r="B868" s="56" t="inlineStr">
        <is>
          <t>2026-01</t>
        </is>
      </c>
      <c r="C868" s="57" t="n">
        <v>65246.93</v>
      </c>
    </row>
    <row r="869">
      <c r="A869" s="56" t="inlineStr">
        <is>
          <t>MF.2024.875 Purdue Student Housing</t>
        </is>
      </c>
      <c r="B869" s="56" t="inlineStr">
        <is>
          <t>2026-01</t>
        </is>
      </c>
      <c r="C869" s="57" t="n">
        <v>-40103.3</v>
      </c>
    </row>
    <row r="870">
      <c r="A870" s="56" t="inlineStr">
        <is>
          <t>2025.1025 Park 100 - Building 22</t>
        </is>
      </c>
      <c r="B870" s="56" t="inlineStr">
        <is>
          <t>2026-01</t>
        </is>
      </c>
      <c r="C870" s="57" t="n">
        <v>9740</v>
      </c>
    </row>
    <row r="871">
      <c r="A871" s="56" t="inlineStr">
        <is>
          <t>2025.966 C5 Bullitt III Logistics Center Warehouse</t>
        </is>
      </c>
      <c r="B871" s="56" t="inlineStr">
        <is>
          <t>2026-01</t>
        </is>
      </c>
      <c r="C871" s="57" t="n">
        <v>22062.5</v>
      </c>
    </row>
    <row r="872">
      <c r="A872" s="56" t="inlineStr">
        <is>
          <t>2025.990 Walmart Orlando</t>
        </is>
      </c>
      <c r="B872" s="56" t="inlineStr">
        <is>
          <t>2026-01</t>
        </is>
      </c>
      <c r="C872" s="57" t="n">
        <v>55072.44</v>
      </c>
    </row>
    <row r="873">
      <c r="A873" s="56" t="inlineStr">
        <is>
          <t>2025.994 Stotan Port Laredo Spec Offices</t>
        </is>
      </c>
      <c r="B873" s="56" t="inlineStr">
        <is>
          <t>2026-01</t>
        </is>
      </c>
      <c r="C873" s="57" t="n">
        <v>107527.5</v>
      </c>
    </row>
    <row r="874">
      <c r="A874" s="56" t="inlineStr">
        <is>
          <t>2024.874 Noblesville HS Academic Addition &amp; Renovation</t>
        </is>
      </c>
      <c r="B874" s="56" t="inlineStr">
        <is>
          <t>2026-01</t>
        </is>
      </c>
      <c r="C874" s="57" t="n">
        <v>-14964</v>
      </c>
    </row>
    <row r="875">
      <c r="A875" s="56" t="inlineStr">
        <is>
          <t>2025.993 Batesville Public Library</t>
        </is>
      </c>
      <c r="B875" s="56" t="inlineStr">
        <is>
          <t>2026-01</t>
        </is>
      </c>
      <c r="C875" s="57" t="n">
        <v>6637.82</v>
      </c>
    </row>
    <row r="876">
      <c r="A876" s="56" t="inlineStr">
        <is>
          <t>DS.2026.2375 1802 Alabama St</t>
        </is>
      </c>
      <c r="B876" s="56" t="inlineStr">
        <is>
          <t>2026-01</t>
        </is>
      </c>
      <c r="C876" s="57" t="n">
        <v>9073.559999999999</v>
      </c>
    </row>
    <row r="877">
      <c r="A877" s="56" t="inlineStr">
        <is>
          <t>DS.2026.2372 Big Dawg Pickup 0115</t>
        </is>
      </c>
      <c r="B877" s="56" t="inlineStr">
        <is>
          <t>2026-01</t>
        </is>
      </c>
      <c r="C877" s="57" t="n">
        <v>3907.73</v>
      </c>
    </row>
    <row r="878">
      <c r="A878" s="56" t="inlineStr">
        <is>
          <t>DS.2026.2371 13429 E 116th St</t>
        </is>
      </c>
      <c r="B878" s="56" t="inlineStr">
        <is>
          <t>2026-01</t>
        </is>
      </c>
      <c r="C878" s="57" t="n">
        <v>6806.08</v>
      </c>
    </row>
    <row r="879">
      <c r="A879" s="56" t="inlineStr">
        <is>
          <t>DS.2026.2370 Courtyards of Westfield 106</t>
        </is>
      </c>
      <c r="B879" s="56" t="inlineStr">
        <is>
          <t>2026-01</t>
        </is>
      </c>
      <c r="C879" s="57" t="n">
        <v>5971.55</v>
      </c>
    </row>
    <row r="880">
      <c r="A880" s="56" t="inlineStr">
        <is>
          <t>DS.2026.2381 Hunt Addition</t>
        </is>
      </c>
      <c r="B880" s="56" t="inlineStr">
        <is>
          <t>2026-01</t>
        </is>
      </c>
      <c r="C880" s="57" t="n">
        <v>1601.79</v>
      </c>
    </row>
    <row r="881">
      <c r="A881" s="56" t="inlineStr">
        <is>
          <t>DS.2026.2369 Courtyards of Westfield 111</t>
        </is>
      </c>
      <c r="B881" s="56" t="inlineStr">
        <is>
          <t>2026-01</t>
        </is>
      </c>
      <c r="C881" s="57" t="n">
        <v>7574.01</v>
      </c>
    </row>
    <row r="882">
      <c r="A882" s="56" t="inlineStr">
        <is>
          <t>DS.2026.2380 Mike Valentine 0129</t>
        </is>
      </c>
      <c r="B882" s="56" t="inlineStr">
        <is>
          <t>2026-01</t>
        </is>
      </c>
      <c r="C882" s="57" t="n">
        <v>12430.13</v>
      </c>
    </row>
    <row r="883">
      <c r="A883" s="56" t="inlineStr">
        <is>
          <t>DS.2026.2379 124 S A Street</t>
        </is>
      </c>
      <c r="B883" s="56" t="inlineStr">
        <is>
          <t>2026-01</t>
        </is>
      </c>
      <c r="C883" s="57" t="n">
        <v>2632.63</v>
      </c>
    </row>
    <row r="884">
      <c r="A884" s="56" t="inlineStr">
        <is>
          <t>DS.2026.2377 Courtyards of Cielo Ranch 38</t>
        </is>
      </c>
      <c r="B884" s="56" t="inlineStr">
        <is>
          <t>2026-01</t>
        </is>
      </c>
      <c r="C884" s="57" t="n">
        <v>7574.01</v>
      </c>
    </row>
    <row r="885">
      <c r="A885" s="56" t="inlineStr">
        <is>
          <t>DS.2026.2378 Courtyards of Westfield 108</t>
        </is>
      </c>
      <c r="B885" s="56" t="inlineStr">
        <is>
          <t>2026-01</t>
        </is>
      </c>
      <c r="C885" s="57" t="n">
        <v>7637.37</v>
      </c>
    </row>
    <row r="886">
      <c r="A886" s="56" t="inlineStr">
        <is>
          <t>DS.2026.2376 5724 E Southport Rd</t>
        </is>
      </c>
      <c r="B886" s="56" t="inlineStr">
        <is>
          <t>2026-01</t>
        </is>
      </c>
      <c r="C886" s="57" t="n">
        <v>18119.63</v>
      </c>
    </row>
    <row r="887">
      <c r="A887" s="56" t="inlineStr">
        <is>
          <t>DS.2026.2374 Precision Pickup 0127</t>
        </is>
      </c>
      <c r="B887" s="56" t="inlineStr">
        <is>
          <t>2026-01</t>
        </is>
      </c>
      <c r="C887" s="57" t="n">
        <v>1151.37</v>
      </c>
    </row>
    <row r="888">
      <c r="A888" s="56" t="inlineStr">
        <is>
          <t>DS.2026.2373 Precision Pickup 0120</t>
        </is>
      </c>
      <c r="B888" s="56" t="inlineStr">
        <is>
          <t>2026-01</t>
        </is>
      </c>
      <c r="C888" s="57" t="n">
        <v>167.78</v>
      </c>
    </row>
    <row r="889">
      <c r="A889" s="56" t="inlineStr">
        <is>
          <t>MF.2024.892 The Lofts at Headwaters Park</t>
        </is>
      </c>
      <c r="B889" s="56" t="inlineStr">
        <is>
          <t>2026-02</t>
        </is>
      </c>
      <c r="C889" s="57" t="n">
        <v>114855.12</v>
      </c>
    </row>
    <row r="890">
      <c r="A890" s="56" t="inlineStr">
        <is>
          <t>MF.2025.992 Young's Creek Apartments</t>
        </is>
      </c>
      <c r="B890" s="56" t="inlineStr">
        <is>
          <t>2026-02</t>
        </is>
      </c>
      <c r="C890" s="57" t="n">
        <v>58491.67</v>
      </c>
    </row>
    <row r="891">
      <c r="A891" s="56" t="inlineStr">
        <is>
          <t>2024.950 Caterpillar Triple Crown</t>
        </is>
      </c>
      <c r="B891" s="56" t="inlineStr">
        <is>
          <t>2026-02</t>
        </is>
      </c>
      <c r="C891" s="57" t="n">
        <v>147545.92</v>
      </c>
    </row>
    <row r="892">
      <c r="A892" s="56" t="inlineStr">
        <is>
          <t>2025.967 Bunge Project Flex</t>
        </is>
      </c>
      <c r="B892" s="56" t="inlineStr">
        <is>
          <t>2026-02</t>
        </is>
      </c>
      <c r="C892" s="57" t="n">
        <v>11965.23</v>
      </c>
    </row>
    <row r="893">
      <c r="A893" s="56" t="inlineStr">
        <is>
          <t>MF.2025.989-2 Springdale Cinema - Drywall</t>
        </is>
      </c>
      <c r="B893" s="56" t="inlineStr">
        <is>
          <t>2026-02</t>
        </is>
      </c>
      <c r="C893" s="57" t="n">
        <v>224842.5</v>
      </c>
    </row>
    <row r="894">
      <c r="A894" s="56" t="inlineStr">
        <is>
          <t>MF.2024.928 Holliday Farms Assisted Living - Zionsville</t>
        </is>
      </c>
      <c r="B894" s="56" t="inlineStr">
        <is>
          <t>2026-02</t>
        </is>
      </c>
      <c r="C894" s="57" t="n">
        <v>23629.34</v>
      </c>
    </row>
    <row r="895">
      <c r="A895" s="56" t="inlineStr">
        <is>
          <t>MF.2025.972 Union Flats - Fishers</t>
        </is>
      </c>
      <c r="B895" s="56" t="inlineStr">
        <is>
          <t>2026-02</t>
        </is>
      </c>
      <c r="C895" s="57" t="n">
        <v>229770</v>
      </c>
    </row>
    <row r="896">
      <c r="A896" s="56" t="inlineStr">
        <is>
          <t>MF.2024.945 Encore Senior Living</t>
        </is>
      </c>
      <c r="B896" s="56" t="inlineStr">
        <is>
          <t>2026-02</t>
        </is>
      </c>
      <c r="C896" s="57" t="n">
        <v>94697.22</v>
      </c>
    </row>
    <row r="897">
      <c r="A897" s="56" t="inlineStr">
        <is>
          <t>MF.2024.931 Wild Air</t>
        </is>
      </c>
      <c r="B897" s="56" t="inlineStr">
        <is>
          <t>2026-02</t>
        </is>
      </c>
      <c r="C897" s="57" t="n">
        <v>148756.83</v>
      </c>
    </row>
    <row r="898">
      <c r="A898" s="56" t="inlineStr">
        <is>
          <t>DS.2026.2387 0204 Jose Irachetta</t>
        </is>
      </c>
      <c r="B898" s="56" t="inlineStr">
        <is>
          <t>2026-02</t>
        </is>
      </c>
      <c r="C898" s="57" t="n">
        <v>20097.86</v>
      </c>
    </row>
    <row r="899">
      <c r="A899" s="56" t="inlineStr">
        <is>
          <t>MF.2025.977 Civic Square Condos</t>
        </is>
      </c>
      <c r="B899" s="56" t="inlineStr">
        <is>
          <t>2026-02</t>
        </is>
      </c>
      <c r="C899" s="57" t="n">
        <v>2902.5</v>
      </c>
    </row>
    <row r="900">
      <c r="A900" s="56" t="inlineStr">
        <is>
          <t>2025.964 Avon Municipal Building</t>
        </is>
      </c>
      <c r="B900" s="56" t="inlineStr">
        <is>
          <t>2026-02</t>
        </is>
      </c>
      <c r="C900" s="57" t="n">
        <v>173192.63</v>
      </c>
    </row>
    <row r="901">
      <c r="A901" s="56" t="inlineStr">
        <is>
          <t>2025.1026 HNTB Buildout (Salesforce Tower)</t>
        </is>
      </c>
      <c r="B901" s="56" t="inlineStr">
        <is>
          <t>2026-02</t>
        </is>
      </c>
      <c r="C901" s="57" t="n">
        <v>92546.64</v>
      </c>
    </row>
    <row r="902">
      <c r="A902" s="56" t="inlineStr">
        <is>
          <t>2025.978 Ardalan Plaza</t>
        </is>
      </c>
      <c r="B902" s="56" t="inlineStr">
        <is>
          <t>2026-02</t>
        </is>
      </c>
      <c r="C902" s="57" t="n">
        <v>88455.24000000001</v>
      </c>
    </row>
    <row r="903">
      <c r="A903" s="56" t="inlineStr">
        <is>
          <t>2025.983 DEEM Warehouse Drop Ceiling</t>
        </is>
      </c>
      <c r="B903" s="56" t="inlineStr">
        <is>
          <t>2026-02</t>
        </is>
      </c>
      <c r="C903" s="57" t="n">
        <v>6200</v>
      </c>
    </row>
    <row r="904">
      <c r="A904" s="56" t="inlineStr">
        <is>
          <t>2025.991 Walmart Republic</t>
        </is>
      </c>
      <c r="B904" s="56" t="inlineStr">
        <is>
          <t>2026-02</t>
        </is>
      </c>
      <c r="C904" s="57" t="n">
        <v>194391.63</v>
      </c>
    </row>
    <row r="905">
      <c r="A905" s="56" t="inlineStr">
        <is>
          <t>2025.990 Walmart Orlando</t>
        </is>
      </c>
      <c r="B905" s="56" t="inlineStr">
        <is>
          <t>2026-02</t>
        </is>
      </c>
      <c r="C905" s="57" t="n">
        <v>100249.47</v>
      </c>
    </row>
    <row r="906">
      <c r="A906" s="56" t="inlineStr">
        <is>
          <t>DS.2026.2385 Courtyards of Russell Oaks 123</t>
        </is>
      </c>
      <c r="B906" s="56" t="inlineStr">
        <is>
          <t>2026-02</t>
        </is>
      </c>
      <c r="C906" s="57" t="n">
        <v>6812.24</v>
      </c>
    </row>
    <row r="907">
      <c r="A907" s="56" t="inlineStr">
        <is>
          <t>2025.981 Fort Ben - Foamcraft</t>
        </is>
      </c>
      <c r="B907" s="56" t="inlineStr">
        <is>
          <t>2026-02</t>
        </is>
      </c>
      <c r="C907" s="57" t="n">
        <v>54936.18</v>
      </c>
    </row>
    <row r="908">
      <c r="A908" s="56" t="inlineStr">
        <is>
          <t>2025.1024 Metro Lion</t>
        </is>
      </c>
      <c r="B908" s="56" t="inlineStr">
        <is>
          <t>2026-02</t>
        </is>
      </c>
      <c r="C908" s="57" t="n">
        <v>78541</v>
      </c>
    </row>
    <row r="909">
      <c r="A909" s="56" t="inlineStr">
        <is>
          <t>DS.2026.2383 Courtyards of Cielo Ranch 37</t>
        </is>
      </c>
      <c r="B909" s="56" t="inlineStr">
        <is>
          <t>2026-02</t>
        </is>
      </c>
      <c r="C909" s="57" t="n">
        <v>7718.84</v>
      </c>
    </row>
    <row r="910">
      <c r="A910" s="56" t="inlineStr">
        <is>
          <t>DS.2026.2382 Cohoat House</t>
        </is>
      </c>
      <c r="B910" s="56" t="inlineStr">
        <is>
          <t>2026-02</t>
        </is>
      </c>
      <c r="C910" s="57" t="n">
        <v>1065.45</v>
      </c>
    </row>
    <row r="911">
      <c r="A911" s="56" t="inlineStr">
        <is>
          <t>DS.2026.2392 3705 Holiday Farms Blvd - Precision</t>
        </is>
      </c>
      <c r="B911" s="56" t="inlineStr">
        <is>
          <t>2026-02</t>
        </is>
      </c>
      <c r="C911" s="57" t="n">
        <v>8393.530000000001</v>
      </c>
    </row>
    <row r="912">
      <c r="A912" s="56" t="inlineStr">
        <is>
          <t>2025.1024 Metro Lion</t>
        </is>
      </c>
      <c r="B912" s="56" t="inlineStr">
        <is>
          <t>2026-02</t>
        </is>
      </c>
      <c r="C912" s="57" t="n">
        <v>475381.8</v>
      </c>
    </row>
    <row r="913">
      <c r="A913" s="56" t="inlineStr">
        <is>
          <t>DS.2026.2391 0218 Jose Iracheta</t>
        </is>
      </c>
      <c r="B913" s="56" t="inlineStr">
        <is>
          <t>2026-02</t>
        </is>
      </c>
      <c r="C913" s="57" t="n">
        <v>2072.89</v>
      </c>
    </row>
    <row r="914">
      <c r="A914" s="56" t="inlineStr">
        <is>
          <t>DS.2026.2390 510 W Pine St</t>
        </is>
      </c>
      <c r="B914" s="56" t="inlineStr">
        <is>
          <t>2026-02</t>
        </is>
      </c>
      <c r="C914" s="57" t="n">
        <v>2495.07</v>
      </c>
    </row>
    <row r="915">
      <c r="A915" s="56" t="inlineStr">
        <is>
          <t>2025.1023 Vikan Products BTS</t>
        </is>
      </c>
      <c r="B915" s="56" t="inlineStr">
        <is>
          <t>2026-02</t>
        </is>
      </c>
      <c r="C915" s="57" t="n">
        <v>16087.5</v>
      </c>
    </row>
    <row r="916">
      <c r="A916" s="56" t="inlineStr">
        <is>
          <t>DS.2026.2389 Courtyards of Russell Oaks 145</t>
        </is>
      </c>
      <c r="B916" s="56" t="inlineStr">
        <is>
          <t>2026-02</t>
        </is>
      </c>
      <c r="C916" s="57" t="n">
        <v>8375.35</v>
      </c>
    </row>
    <row r="917">
      <c r="A917" s="56" t="inlineStr">
        <is>
          <t>2025.981 Fort Ben - Foamcraft</t>
        </is>
      </c>
      <c r="B917" s="56" t="inlineStr">
        <is>
          <t>2026-02</t>
        </is>
      </c>
      <c r="C917" s="57" t="n">
        <v>14438.7</v>
      </c>
    </row>
    <row r="918">
      <c r="A918" s="56" t="inlineStr">
        <is>
          <t>DS.2026.2388 Courtyards of Cielo Ranch 13</t>
        </is>
      </c>
      <c r="B918" s="56" t="inlineStr">
        <is>
          <t>2026-02</t>
        </is>
      </c>
      <c r="C918" s="57" t="n">
        <v>6290.19</v>
      </c>
    </row>
    <row r="919">
      <c r="A919" s="56" t="inlineStr">
        <is>
          <t>2025.1001 Evolve Transporters</t>
        </is>
      </c>
      <c r="B919" s="56" t="inlineStr">
        <is>
          <t>2026-02</t>
        </is>
      </c>
      <c r="C919" s="57" t="n">
        <v>204675.12</v>
      </c>
    </row>
    <row r="920">
      <c r="A920" s="56" t="inlineStr">
        <is>
          <t>DS.2026.2386 Courtyards of Russell Oaks 125</t>
        </is>
      </c>
      <c r="B920" s="56" t="inlineStr">
        <is>
          <t>2026-02</t>
        </is>
      </c>
      <c r="C920" s="57" t="n">
        <v>6318.06</v>
      </c>
    </row>
    <row r="921">
      <c r="A921" s="56" t="inlineStr">
        <is>
          <t>2025.1029 Resmed - Indy 500</t>
        </is>
      </c>
      <c r="B921" s="56" t="inlineStr">
        <is>
          <t>2026-02</t>
        </is>
      </c>
      <c r="C921" s="57" t="n">
        <v>65098.75</v>
      </c>
    </row>
    <row r="922">
      <c r="A922" s="56" t="inlineStr">
        <is>
          <t>2025.999 Romet PWSI</t>
        </is>
      </c>
      <c r="B922" s="56" t="inlineStr">
        <is>
          <t>2026-02</t>
        </is>
      </c>
      <c r="C922" s="57" t="n">
        <v>1746</v>
      </c>
    </row>
    <row r="923">
      <c r="A923" s="56" t="inlineStr">
        <is>
          <t>2025.979 Groundbreakers</t>
        </is>
      </c>
      <c r="B923" s="56" t="inlineStr">
        <is>
          <t>2026-02</t>
        </is>
      </c>
      <c r="C923" s="57" t="n">
        <v>3301.2</v>
      </c>
    </row>
    <row r="924">
      <c r="A924" s="56" t="inlineStr">
        <is>
          <t>2025.979 Groundbreakers</t>
        </is>
      </c>
      <c r="B924" s="56" t="inlineStr">
        <is>
          <t>2026-02</t>
        </is>
      </c>
      <c r="C924" s="57" t="n">
        <v>28766.54</v>
      </c>
    </row>
    <row r="925">
      <c r="A925" s="56" t="inlineStr">
        <is>
          <t>2025.999 Romet PWSI</t>
        </is>
      </c>
      <c r="B925" s="56" t="inlineStr">
        <is>
          <t>2026-02</t>
        </is>
      </c>
      <c r="C925" s="57" t="n">
        <v>194</v>
      </c>
    </row>
    <row r="926">
      <c r="A926" s="56" t="inlineStr">
        <is>
          <t>2025.1013 Lucas Oil Corydon</t>
        </is>
      </c>
      <c r="B926" s="56" t="inlineStr">
        <is>
          <t>2026-02</t>
        </is>
      </c>
      <c r="C926" s="57" t="n">
        <v>22500</v>
      </c>
    </row>
    <row r="927">
      <c r="A927" s="56" t="inlineStr">
        <is>
          <t>2025.1015 WBP Lot 4</t>
        </is>
      </c>
      <c r="B927" s="56" t="inlineStr">
        <is>
          <t>2026-02</t>
        </is>
      </c>
      <c r="C927" s="57" t="n">
        <v>16990</v>
      </c>
    </row>
    <row r="928">
      <c r="A928" s="56" t="inlineStr">
        <is>
          <t>2025.1015 WBP Lot 4</t>
        </is>
      </c>
      <c r="B928" s="56" t="inlineStr">
        <is>
          <t>2026-02</t>
        </is>
      </c>
      <c r="C928" s="57" t="n">
        <v>1912.5</v>
      </c>
    </row>
    <row r="929">
      <c r="A929" s="56" t="inlineStr">
        <is>
          <t>2025.1021 Convivio</t>
        </is>
      </c>
      <c r="B929" s="56" t="inlineStr">
        <is>
          <t>2026-02</t>
        </is>
      </c>
      <c r="C929" s="57" t="n">
        <v>3679.43</v>
      </c>
    </row>
    <row r="930">
      <c r="A930" s="56" t="inlineStr">
        <is>
          <t>2026.1039 Upland Prospect Street</t>
        </is>
      </c>
      <c r="B930" s="56" t="inlineStr">
        <is>
          <t>2026-02</t>
        </is>
      </c>
      <c r="C930" s="57" t="n">
        <v>6500</v>
      </c>
    </row>
    <row r="931">
      <c r="A931" s="56" t="inlineStr">
        <is>
          <t>2025.1031 Pita Way</t>
        </is>
      </c>
      <c r="B931" s="56" t="inlineStr">
        <is>
          <t>2026-02</t>
        </is>
      </c>
      <c r="C931" s="57" t="n">
        <v>8770.5</v>
      </c>
    </row>
    <row r="932">
      <c r="A932" s="56" t="inlineStr">
        <is>
          <t>2025.993 Batesville Public Library</t>
        </is>
      </c>
      <c r="B932" s="56" t="inlineStr">
        <is>
          <t>2026-02</t>
        </is>
      </c>
      <c r="C932" s="57" t="n">
        <v>4425.21</v>
      </c>
    </row>
    <row r="933">
      <c r="A933" s="56" t="inlineStr">
        <is>
          <t>2026.1037 CV - Castle Rock</t>
        </is>
      </c>
      <c r="B933" s="56" t="inlineStr">
        <is>
          <t>2026-02</t>
        </is>
      </c>
      <c r="C933" s="57" t="n">
        <v>125451</v>
      </c>
    </row>
    <row r="934">
      <c r="A934" s="56" t="inlineStr">
        <is>
          <t>2025.994 Stotan Port Laredo Spec Offices</t>
        </is>
      </c>
      <c r="B934" s="56" t="inlineStr">
        <is>
          <t>2026-02</t>
        </is>
      </c>
      <c r="C934" s="57" t="n">
        <v>25920</v>
      </c>
    </row>
    <row r="935">
      <c r="A935" s="56" t="inlineStr">
        <is>
          <t>2025.1021 Convivio</t>
        </is>
      </c>
      <c r="B935" s="56" t="inlineStr">
        <is>
          <t>2026-02</t>
        </is>
      </c>
      <c r="C935" s="57" t="n">
        <v>8778.83</v>
      </c>
    </row>
    <row r="936">
      <c r="A936" s="56" t="inlineStr">
        <is>
          <t>DS.2026.2384 225 N St Ave</t>
        </is>
      </c>
      <c r="B936" s="56" t="inlineStr">
        <is>
          <t>2026-02</t>
        </is>
      </c>
      <c r="C936" s="57" t="n">
        <v>4271.93</v>
      </c>
    </row>
    <row r="937">
      <c r="A937" s="56" t="inlineStr">
        <is>
          <t>DS.2026.2393 Precision Pickup 0216</t>
        </is>
      </c>
      <c r="B937" s="56" t="inlineStr">
        <is>
          <t>2026-02</t>
        </is>
      </c>
      <c r="C937" s="57" t="n">
        <v>252.01</v>
      </c>
    </row>
    <row r="938">
      <c r="A938" s="56" t="inlineStr">
        <is>
          <t>DS.2026.2394 5778 Marvie Drive</t>
        </is>
      </c>
      <c r="B938" s="56" t="inlineStr">
        <is>
          <t>2026-02</t>
        </is>
      </c>
      <c r="C938" s="57" t="n">
        <v>8586.040000000001</v>
      </c>
    </row>
    <row r="939">
      <c r="A939" s="56" t="inlineStr">
        <is>
          <t>MF.2025.1019 Town &amp; Country Apartments (NY MF Project - 22 bldgs)</t>
        </is>
      </c>
      <c r="B939" s="56" t="inlineStr">
        <is>
          <t>2026-02</t>
        </is>
      </c>
      <c r="C939" s="57" t="n">
        <v>562089.22</v>
      </c>
    </row>
    <row r="940">
      <c r="A940" s="56" t="inlineStr">
        <is>
          <t>MF.2024.892 The Lofts at Headwaters Park</t>
        </is>
      </c>
      <c r="B940" s="56" t="inlineStr">
        <is>
          <t>2026-03</t>
        </is>
      </c>
      <c r="C940" s="57" t="n">
        <v>62543.7</v>
      </c>
    </row>
    <row r="941">
      <c r="A941" s="56" t="inlineStr">
        <is>
          <t>2024.950 Caterpillar Triple Crown</t>
        </is>
      </c>
      <c r="B941" s="56" t="inlineStr">
        <is>
          <t>2026-03</t>
        </is>
      </c>
      <c r="C941" s="57" t="n">
        <v>38045.07</v>
      </c>
    </row>
    <row r="942">
      <c r="A942" s="56" t="inlineStr">
        <is>
          <t>Priority Way Office</t>
        </is>
      </c>
      <c r="B942" s="56" t="inlineStr">
        <is>
          <t>2026-03</t>
        </is>
      </c>
      <c r="C942" s="57" t="n">
        <v>413250</v>
      </c>
    </row>
    <row r="943">
      <c r="A943" s="56" t="inlineStr">
        <is>
          <t>MF.2025.977 Civic Square Condos</t>
        </is>
      </c>
      <c r="B943" s="56" t="inlineStr">
        <is>
          <t>2026-03</t>
        </is>
      </c>
      <c r="C943" s="57" t="n">
        <v>3275.1</v>
      </c>
    </row>
    <row r="944">
      <c r="A944" s="56" t="inlineStr">
        <is>
          <t>2025.964 Avon Municipal Building</t>
        </is>
      </c>
      <c r="B944" s="56" t="inlineStr">
        <is>
          <t>2026-03</t>
        </is>
      </c>
      <c r="C944" s="57" t="n">
        <v>226932.38</v>
      </c>
    </row>
    <row r="945">
      <c r="A945" s="56" t="inlineStr">
        <is>
          <t>MF.2025.992 Young's Creek Apartments</t>
        </is>
      </c>
      <c r="B945" s="56" t="inlineStr">
        <is>
          <t>2026-03</t>
        </is>
      </c>
      <c r="C945" s="57" t="n">
        <v>30618</v>
      </c>
    </row>
    <row r="946">
      <c r="A946" s="56" t="inlineStr">
        <is>
          <t>MF.2024.945 Encore Senior Living</t>
        </is>
      </c>
      <c r="B946" s="56" t="inlineStr">
        <is>
          <t>2026-03</t>
        </is>
      </c>
      <c r="C946" s="57" t="n">
        <v>54087.55</v>
      </c>
    </row>
    <row r="947">
      <c r="A947" s="56" t="inlineStr">
        <is>
          <t>2025.978 Ardalan Plaza</t>
        </is>
      </c>
      <c r="B947" s="56" t="inlineStr">
        <is>
          <t>2026-03</t>
        </is>
      </c>
      <c r="C947" s="57" t="n">
        <v>182393.32</v>
      </c>
    </row>
    <row r="948">
      <c r="A948" s="56" t="inlineStr">
        <is>
          <t>2025.1026 HNTB Buildout (Salesforce Tower)</t>
        </is>
      </c>
      <c r="B948" s="56" t="inlineStr">
        <is>
          <t>2026-03</t>
        </is>
      </c>
      <c r="C948" s="57" t="n">
        <v>111708.94</v>
      </c>
    </row>
    <row r="949">
      <c r="A949" s="56" t="inlineStr">
        <is>
          <t>MF.2025.989-2 Springdale Cinema - Drywall</t>
        </is>
      </c>
      <c r="B949" s="56" t="inlineStr">
        <is>
          <t>2026-03</t>
        </is>
      </c>
      <c r="C949" s="57" t="n">
        <v>256635</v>
      </c>
    </row>
    <row r="950">
      <c r="A950" s="56" t="inlineStr">
        <is>
          <t>MF.2024.931 Wild Air</t>
        </is>
      </c>
      <c r="B950" s="56" t="inlineStr">
        <is>
          <t>2026-03</t>
        </is>
      </c>
      <c r="C950" s="57" t="n">
        <v>226412.55</v>
      </c>
    </row>
    <row r="951">
      <c r="A951" s="56" t="inlineStr">
        <is>
          <t>MF.2025.972 Union Flats - Fishers</t>
        </is>
      </c>
      <c r="B951" s="56" t="inlineStr">
        <is>
          <t>2026-03</t>
        </is>
      </c>
      <c r="C951" s="57" t="n">
        <v>486459</v>
      </c>
    </row>
    <row r="952">
      <c r="A952" s="56" t="inlineStr">
        <is>
          <t>MF.2025.989-1 Springdale Cinema - Paint</t>
        </is>
      </c>
      <c r="B952" s="56" t="inlineStr">
        <is>
          <t>2026-03</t>
        </is>
      </c>
      <c r="C952" s="57" t="n">
        <v>55440</v>
      </c>
    </row>
    <row r="953">
      <c r="A953" s="56" t="inlineStr">
        <is>
          <t>2025.1023 Vikan Products BTS</t>
        </is>
      </c>
      <c r="B953" s="56" t="inlineStr">
        <is>
          <t>2026-03</t>
        </is>
      </c>
      <c r="C953" s="57" t="n">
        <v>95690.7</v>
      </c>
    </row>
    <row r="954">
      <c r="A954" s="56" t="inlineStr">
        <is>
          <t>2025.991 Walmart Republic</t>
        </is>
      </c>
      <c r="B954" s="56" t="inlineStr">
        <is>
          <t>2026-03</t>
        </is>
      </c>
      <c r="C954" s="57" t="n">
        <v>141074.42</v>
      </c>
    </row>
    <row r="955">
      <c r="A955" s="56" t="inlineStr">
        <is>
          <t>2024.913 Walmart Phoenix</t>
        </is>
      </c>
      <c r="B955" s="56" t="inlineStr">
        <is>
          <t>2026-03</t>
        </is>
      </c>
      <c r="C955" s="57" t="n">
        <v>25857</v>
      </c>
    </row>
    <row r="956">
      <c r="A956" s="56" t="inlineStr">
        <is>
          <t>2025.1001 Evolve Transporters</t>
        </is>
      </c>
      <c r="B956" s="56" t="inlineStr">
        <is>
          <t>2026-03</t>
        </is>
      </c>
      <c r="C956" s="57" t="n">
        <v>10660.05</v>
      </c>
    </row>
    <row r="957">
      <c r="A957" s="56" t="inlineStr">
        <is>
          <t>2023.843 Walmart Frederick</t>
        </is>
      </c>
      <c r="B957" s="56" t="inlineStr">
        <is>
          <t>2026-03</t>
        </is>
      </c>
      <c r="C957" s="57" t="n">
        <v>26200</v>
      </c>
    </row>
    <row r="958">
      <c r="A958" s="56" t="inlineStr">
        <is>
          <t>2026.1042 SND2 at ILP Bldg IV Whitestown</t>
        </is>
      </c>
      <c r="B958" s="56" t="inlineStr">
        <is>
          <t>2026-03</t>
        </is>
      </c>
      <c r="C958" s="57" t="n">
        <v>164669.04</v>
      </c>
    </row>
    <row r="959">
      <c r="A959" s="56" t="inlineStr">
        <is>
          <t>2025.990 Walmart Orlando</t>
        </is>
      </c>
      <c r="B959" s="56" t="inlineStr">
        <is>
          <t>2026-03</t>
        </is>
      </c>
      <c r="C959" s="57" t="n">
        <v>127771.38</v>
      </c>
    </row>
    <row r="960">
      <c r="A960" s="56" t="inlineStr">
        <is>
          <t>MF.2025.976 Firefly Youth Housing</t>
        </is>
      </c>
      <c r="B960" s="56" t="inlineStr">
        <is>
          <t>2026-03</t>
        </is>
      </c>
      <c r="C960" s="57" t="n">
        <v>18000</v>
      </c>
    </row>
    <row r="961">
      <c r="A961" s="56" t="inlineStr">
        <is>
          <t>2026.1034 Stella's Ice Cream Shop</t>
        </is>
      </c>
      <c r="B961" s="56" t="inlineStr">
        <is>
          <t>2026-03</t>
        </is>
      </c>
      <c r="C961" s="57" t="n">
        <v>22860</v>
      </c>
    </row>
    <row r="962">
      <c r="A962" s="56" t="inlineStr">
        <is>
          <t>2025.1029 Resmed - Indy 500</t>
        </is>
      </c>
      <c r="B962" s="56" t="inlineStr">
        <is>
          <t>2026-03</t>
        </is>
      </c>
      <c r="C962" s="57" t="n">
        <v>104940.22</v>
      </c>
    </row>
    <row r="963">
      <c r="A963" s="56" t="inlineStr">
        <is>
          <t>2026.1038 Artistic Composite Pallet Expansion</t>
        </is>
      </c>
      <c r="B963" s="56" t="inlineStr">
        <is>
          <t>2026-03</t>
        </is>
      </c>
      <c r="C963" s="57" t="n">
        <v>104592.42</v>
      </c>
    </row>
    <row r="964">
      <c r="A964" s="56" t="inlineStr">
        <is>
          <t>2026.1035 The Ark</t>
        </is>
      </c>
      <c r="B964" s="56" t="inlineStr">
        <is>
          <t>2026-03</t>
        </is>
      </c>
      <c r="C964" s="57" t="n">
        <v>228065.58</v>
      </c>
    </row>
    <row r="965">
      <c r="A965" s="56" t="inlineStr">
        <is>
          <t>MF.2024.928 Holliday Farms Assisted Living - Zionsville</t>
        </is>
      </c>
      <c r="B965" s="56" t="inlineStr">
        <is>
          <t>2026-03</t>
        </is>
      </c>
      <c r="C965" s="57" t="n">
        <v>56885.34</v>
      </c>
    </row>
    <row r="966">
      <c r="A966" s="56" t="inlineStr">
        <is>
          <t>DS.2026.2397 Courtyards of Cielo Ranch 26</t>
        </is>
      </c>
      <c r="B966" s="56" t="inlineStr">
        <is>
          <t>2026-03</t>
        </is>
      </c>
      <c r="C966" s="57" t="n">
        <v>360.55</v>
      </c>
    </row>
    <row r="967">
      <c r="A967" s="56" t="inlineStr">
        <is>
          <t>DS.2026.2398 Courtyards of Ceilo Ranch 26</t>
        </is>
      </c>
      <c r="B967" s="56" t="inlineStr">
        <is>
          <t>2026-03</t>
        </is>
      </c>
      <c r="C967" s="57" t="n">
        <v>7276.63</v>
      </c>
    </row>
    <row r="968">
      <c r="A968" s="56" t="inlineStr">
        <is>
          <t>2026.1033 Avon Demising Wall</t>
        </is>
      </c>
      <c r="B968" s="56" t="inlineStr">
        <is>
          <t>2026-03</t>
        </is>
      </c>
      <c r="C968" s="57" t="n">
        <v>163350</v>
      </c>
    </row>
    <row r="969">
      <c r="A969" s="56" t="inlineStr">
        <is>
          <t>DS.2026.2389 Courtyards of Russell Oaks 145</t>
        </is>
      </c>
      <c r="B969" s="56" t="inlineStr">
        <is>
          <t>2026-03</t>
        </is>
      </c>
      <c r="C969" s="57" t="n">
        <v>299.6</v>
      </c>
    </row>
    <row r="970">
      <c r="A970" s="56" t="inlineStr">
        <is>
          <t>DS.2026.2395 Courtyards of Westfield 103</t>
        </is>
      </c>
      <c r="B970" s="56" t="inlineStr">
        <is>
          <t>2026-03</t>
        </is>
      </c>
      <c r="C970" s="57" t="n">
        <v>270.41</v>
      </c>
    </row>
    <row r="971">
      <c r="A971" s="56" t="inlineStr">
        <is>
          <t>DS.2026.2396 6252 West Turtle Hill Ct</t>
        </is>
      </c>
      <c r="B971" s="56" t="inlineStr">
        <is>
          <t>2026-03</t>
        </is>
      </c>
      <c r="C971" s="57" t="n">
        <v>6268.5</v>
      </c>
    </row>
    <row r="972">
      <c r="A972" s="56" t="inlineStr">
        <is>
          <t>DS.2026.2399 Courtyards of Russell Oaks 74</t>
        </is>
      </c>
      <c r="B972" s="56" t="inlineStr">
        <is>
          <t>2026-03</t>
        </is>
      </c>
      <c r="C972" s="57" t="n">
        <v>4597.91</v>
      </c>
    </row>
    <row r="973">
      <c r="A973" s="56" t="inlineStr">
        <is>
          <t>DS.2026.2400 Courtyards of Russell Oaks 115</t>
        </is>
      </c>
      <c r="B973" s="56" t="inlineStr">
        <is>
          <t>2026-03</t>
        </is>
      </c>
      <c r="C973" s="57" t="n">
        <v>7645.75</v>
      </c>
    </row>
    <row r="974">
      <c r="A974" s="56" t="inlineStr">
        <is>
          <t>2026.1033 Avon Demising Wall</t>
        </is>
      </c>
      <c r="B974" s="56" t="inlineStr">
        <is>
          <t>2026-03</t>
        </is>
      </c>
      <c r="C974" s="57" t="n">
        <v>18150</v>
      </c>
    </row>
    <row r="975">
      <c r="A975" s="56" t="inlineStr">
        <is>
          <t>2025.967 Bunge Project Flex</t>
        </is>
      </c>
      <c r="B975" s="56" t="inlineStr">
        <is>
          <t>2026-03</t>
        </is>
      </c>
      <c r="C975" s="57" t="n">
        <v>9781.200000000001</v>
      </c>
    </row>
    <row r="976">
      <c r="A976" s="56" t="inlineStr">
        <is>
          <t>2025.967 Bunge Project Flex</t>
        </is>
      </c>
      <c r="B976" s="56" t="inlineStr">
        <is>
          <t>2026-03</t>
        </is>
      </c>
      <c r="C976" s="57" t="n">
        <v>99304.60000000001</v>
      </c>
    </row>
    <row r="977">
      <c r="A977" s="56" t="inlineStr">
        <is>
          <t>2025.1031 Pita Way</t>
        </is>
      </c>
      <c r="B977" s="56" t="inlineStr">
        <is>
          <t>2026-03</t>
        </is>
      </c>
      <c r="C977" s="57" t="n">
        <v>974.5</v>
      </c>
    </row>
    <row r="978">
      <c r="A978" s="56" t="inlineStr">
        <is>
          <t>2025.993 Batesville Public Library</t>
        </is>
      </c>
      <c r="B978" s="56" t="inlineStr">
        <is>
          <t>2026-03</t>
        </is>
      </c>
      <c r="C978" s="57" t="n">
        <v>6267.5</v>
      </c>
    </row>
    <row r="979">
      <c r="A979" s="56" t="inlineStr">
        <is>
          <t>MF.2025.1019 Town &amp; Country Apartments (NY MF Project - 22 bldgs)</t>
        </is>
      </c>
      <c r="B979" s="56" t="inlineStr">
        <is>
          <t>2026-03</t>
        </is>
      </c>
      <c r="C979" s="57" t="n">
        <v>675814.0699999999</v>
      </c>
    </row>
    <row r="980">
      <c r="A980" s="56" t="inlineStr">
        <is>
          <t>2026.1036 Port Laredo Trade Center</t>
        </is>
      </c>
      <c r="B980" s="56" t="inlineStr">
        <is>
          <t>2026-03</t>
        </is>
      </c>
      <c r="C980" s="57" t="n">
        <v>73818</v>
      </c>
    </row>
    <row r="981">
      <c r="A981" s="56" t="inlineStr">
        <is>
          <t>2025.994 Stotan Port Laredo Spec Offices</t>
        </is>
      </c>
      <c r="B981" s="56" t="inlineStr">
        <is>
          <t>2026-03</t>
        </is>
      </c>
      <c r="C981" s="57" t="n">
        <v>27180</v>
      </c>
    </row>
    <row r="982">
      <c r="A982" s="56" t="inlineStr">
        <is>
          <t>2025.1012 Airport South Logistics Bldg. B</t>
        </is>
      </c>
      <c r="B982" s="56" t="inlineStr">
        <is>
          <t>2026-03</t>
        </is>
      </c>
      <c r="C982" s="57" t="n">
        <v>9868.5</v>
      </c>
    </row>
    <row r="983">
      <c r="A983" s="56" t="inlineStr">
        <is>
          <t>2026.1043 Deer Creek Building 1</t>
        </is>
      </c>
      <c r="B983" s="56" t="inlineStr">
        <is>
          <t>2026-03</t>
        </is>
      </c>
      <c r="C983" s="57" t="n">
        <v>121500</v>
      </c>
    </row>
    <row r="984">
      <c r="A984" s="56" t="inlineStr">
        <is>
          <t>2026.1043 Deer Creek Building 1</t>
        </is>
      </c>
      <c r="B984" s="56" t="inlineStr">
        <is>
          <t>2026-03</t>
        </is>
      </c>
      <c r="C984" s="57" t="n">
        <v>13500</v>
      </c>
    </row>
    <row r="985">
      <c r="A985" s="56" t="inlineStr">
        <is>
          <t>DS.2026.2401 Flores Kenneland</t>
        </is>
      </c>
      <c r="B985" s="56" t="inlineStr">
        <is>
          <t>2026-03</t>
        </is>
      </c>
      <c r="C985" s="57" t="n">
        <v>11454.33</v>
      </c>
    </row>
    <row r="986">
      <c r="A986" s="56" t="inlineStr">
        <is>
          <t>DS.2026.2402 Courtyards of Cielo Ranch 17</t>
        </is>
      </c>
      <c r="B986" s="56" t="inlineStr">
        <is>
          <t>2026-03</t>
        </is>
      </c>
      <c r="C986" s="57" t="n">
        <v>7307.29</v>
      </c>
    </row>
    <row r="987">
      <c r="A987" s="56" t="inlineStr">
        <is>
          <t>DS.2026.2403 Big Dawg Pickup 0327</t>
        </is>
      </c>
      <c r="B987" s="56" t="inlineStr">
        <is>
          <t>2026-03</t>
        </is>
      </c>
      <c r="C987" s="57" t="n">
        <v>5302.49</v>
      </c>
    </row>
    <row r="988">
      <c r="A988" s="56" t="inlineStr">
        <is>
          <t>DS.2026.2399 Courtyards of Russell Oaks 74</t>
        </is>
      </c>
      <c r="B988" s="56" t="inlineStr">
        <is>
          <t>2026-03</t>
        </is>
      </c>
      <c r="C988" s="57" t="n">
        <v>1101.67</v>
      </c>
    </row>
    <row r="989">
      <c r="A989" s="56" t="inlineStr">
        <is>
          <t>2024.929 DEEM Warehouse</t>
        </is>
      </c>
      <c r="B989" s="56" t="inlineStr">
        <is>
          <t>2026-03</t>
        </is>
      </c>
      <c r="C989" s="57" t="n">
        <v>15645.5</v>
      </c>
    </row>
    <row r="990">
      <c r="A990" s="56" t="inlineStr">
        <is>
          <t>DS.2026.2399 Courtyards of Russell Oaks 74</t>
        </is>
      </c>
      <c r="B990" s="56" t="inlineStr">
        <is>
          <t>2026-03</t>
        </is>
      </c>
      <c r="C990" s="57" t="n">
        <v>456.84</v>
      </c>
    </row>
    <row r="991">
      <c r="A991" s="56" t="inlineStr">
        <is>
          <t>DS.2026.2404 Flores Sandhu Res</t>
        </is>
      </c>
      <c r="B991" s="56" t="inlineStr">
        <is>
          <t>2026-03</t>
        </is>
      </c>
      <c r="C991" s="57" t="n">
        <v>20852.65</v>
      </c>
    </row>
    <row r="992">
      <c r="A992" s="56" t="inlineStr">
        <is>
          <t>DS.2026.2402 Courtyards of Cielo Ranch 17</t>
        </is>
      </c>
      <c r="B992" s="56" t="inlineStr">
        <is>
          <t>2026-04</t>
        </is>
      </c>
      <c r="C992" s="57" t="n">
        <v>240.36</v>
      </c>
    </row>
    <row r="993">
      <c r="A993" s="56" t="inlineStr">
        <is>
          <t>2024.950 Caterpillar Triple Crown</t>
        </is>
      </c>
      <c r="B993" s="56" t="inlineStr">
        <is>
          <t>2026-04</t>
        </is>
      </c>
      <c r="C993" s="57" t="n">
        <v>72880.67</v>
      </c>
    </row>
    <row r="994">
      <c r="A994" s="56" t="inlineStr">
        <is>
          <t>MF.2024.892 The Lofts at Headwaters Park</t>
        </is>
      </c>
      <c r="B994" s="56" t="inlineStr">
        <is>
          <t>2026-04</t>
        </is>
      </c>
      <c r="C994" s="57" t="n">
        <v>89590.28</v>
      </c>
    </row>
    <row r="995">
      <c r="A995" s="56" t="inlineStr">
        <is>
          <t>DS.2026.2405 21569 Anchor Bay Drive</t>
        </is>
      </c>
      <c r="B995" s="56" t="inlineStr">
        <is>
          <t>2026-04</t>
        </is>
      </c>
      <c r="C995" s="57" t="n">
        <v>7033.52</v>
      </c>
    </row>
    <row r="996">
      <c r="A996" s="56" t="inlineStr">
        <is>
          <t>2026.1045 First OnSite (Ameriplex)</t>
        </is>
      </c>
      <c r="B996" s="56" t="inlineStr">
        <is>
          <t>2026-04</t>
        </is>
      </c>
      <c r="C996" s="57" t="n">
        <v>32940</v>
      </c>
    </row>
    <row r="997">
      <c r="A997" s="56" t="inlineStr">
        <is>
          <t>MF.2025.989-1 Springdale Cinema - Paint</t>
        </is>
      </c>
      <c r="B997" s="56" t="inlineStr">
        <is>
          <t>2026-04</t>
        </is>
      </c>
      <c r="C997" s="57" t="n">
        <v>165847.5</v>
      </c>
    </row>
    <row r="998">
      <c r="A998" s="56" t="inlineStr">
        <is>
          <t>MF.2024.928 Holliday Farms Assisted Living - Zionsville</t>
        </is>
      </c>
      <c r="B998" s="56" t="inlineStr">
        <is>
          <t>2026-04</t>
        </is>
      </c>
      <c r="C998" s="57" t="n">
        <v>54038.62</v>
      </c>
    </row>
    <row r="999">
      <c r="A999" s="56" t="inlineStr">
        <is>
          <t>2025.978 Ardalan Plaza</t>
        </is>
      </c>
      <c r="B999" s="56" t="inlineStr">
        <is>
          <t>2026-04</t>
        </is>
      </c>
      <c r="C999" s="57" t="n">
        <v>58873.86</v>
      </c>
    </row>
    <row r="1000">
      <c r="A1000" s="56" t="inlineStr">
        <is>
          <t>MF.2025.976 Firefly Youth Housing</t>
        </is>
      </c>
      <c r="B1000" s="56" t="inlineStr">
        <is>
          <t>2026-04</t>
        </is>
      </c>
      <c r="C1000" s="57" t="n">
        <v>36934.63</v>
      </c>
    </row>
    <row r="1001">
      <c r="A1001" s="56" t="inlineStr">
        <is>
          <t>MF.2025.989-2 Springdale Cinema - Drywall</t>
        </is>
      </c>
      <c r="B1001" s="56" t="inlineStr">
        <is>
          <t>2026-04</t>
        </is>
      </c>
      <c r="C1001" s="57" t="n">
        <v>344520</v>
      </c>
    </row>
    <row r="1002">
      <c r="A1002" s="56" t="inlineStr">
        <is>
          <t>DS.2026.2407 Courtyards of Russel Oaks 126</t>
        </is>
      </c>
      <c r="B1002" s="56" t="inlineStr">
        <is>
          <t>2026-04</t>
        </is>
      </c>
      <c r="C1002" s="57" t="n">
        <v>5928.42</v>
      </c>
    </row>
    <row r="1003">
      <c r="A1003" s="56" t="inlineStr">
        <is>
          <t>2025.1026 HNTB Buildout (Salesforce Tower)</t>
        </is>
      </c>
      <c r="B1003" s="56" t="inlineStr">
        <is>
          <t>2026-04</t>
        </is>
      </c>
      <c r="C1003" s="57" t="n">
        <v>75748.67999999999</v>
      </c>
    </row>
    <row r="1004">
      <c r="A1004" s="56" t="inlineStr">
        <is>
          <t>2025.964 Avon Municipal Building</t>
        </is>
      </c>
      <c r="B1004" s="56" t="inlineStr">
        <is>
          <t>2026-04</t>
        </is>
      </c>
      <c r="C1004" s="57" t="n">
        <v>220010.73</v>
      </c>
    </row>
    <row r="1005">
      <c r="A1005" s="56" t="inlineStr">
        <is>
          <t>MF.2025.972 Union Flats - Fishers</t>
        </is>
      </c>
      <c r="B1005" s="56" t="inlineStr">
        <is>
          <t>2026-04</t>
        </is>
      </c>
      <c r="C1005" s="57" t="n">
        <v>841491</v>
      </c>
    </row>
    <row r="1006">
      <c r="A1006" s="56" t="inlineStr">
        <is>
          <t>MF.2024.931 Wild Air</t>
        </is>
      </c>
      <c r="B1006" s="56" t="inlineStr">
        <is>
          <t>2026-04</t>
        </is>
      </c>
      <c r="C1006" s="57" t="n">
        <v>408053.89</v>
      </c>
    </row>
    <row r="1007">
      <c r="A1007" s="56" t="inlineStr">
        <is>
          <t>DS.2026.2408 Courtyards of Westfield 107</t>
        </is>
      </c>
      <c r="B1007" s="56" t="inlineStr">
        <is>
          <t>2026-04</t>
        </is>
      </c>
      <c r="C1007" s="57" t="n">
        <v>6956.92</v>
      </c>
    </row>
    <row r="1008">
      <c r="A1008" s="56" t="inlineStr">
        <is>
          <t>MF.2025.992 Young's Creek Apartments</t>
        </is>
      </c>
      <c r="B1008" s="56" t="inlineStr">
        <is>
          <t>2026-04</t>
        </is>
      </c>
      <c r="C1008" s="57" t="n">
        <v>272493.11</v>
      </c>
    </row>
    <row r="1009">
      <c r="A1009" s="56" t="inlineStr">
        <is>
          <t>2025.1029 Resmed - Indy 500</t>
        </is>
      </c>
      <c r="B1009" s="56" t="inlineStr">
        <is>
          <t>2026-04</t>
        </is>
      </c>
      <c r="C1009" s="57" t="n">
        <v>538961.21</v>
      </c>
    </row>
    <row r="1010">
      <c r="A1010" s="56" t="inlineStr">
        <is>
          <t>2025.991 Walmart Republic</t>
        </is>
      </c>
      <c r="B1010" s="56" t="inlineStr">
        <is>
          <t>2026-04</t>
        </is>
      </c>
      <c r="C1010" s="57" t="n">
        <v>186798.6</v>
      </c>
    </row>
    <row r="1011">
      <c r="A1011" s="56" t="inlineStr">
        <is>
          <t>2024.913 Walmart Phoenix</t>
        </is>
      </c>
      <c r="B1011" s="56" t="inlineStr">
        <is>
          <t>2026-04</t>
        </is>
      </c>
      <c r="C1011" s="57" t="n">
        <v>3055.5</v>
      </c>
    </row>
    <row r="1012">
      <c r="A1012" s="56" t="inlineStr">
        <is>
          <t>2025.990 Walmart Orlando</t>
        </is>
      </c>
      <c r="B1012" s="56" t="inlineStr">
        <is>
          <t>2026-04</t>
        </is>
      </c>
      <c r="C1012" s="57" t="n">
        <v>133941.78</v>
      </c>
    </row>
    <row r="1013">
      <c r="A1013" s="56" t="inlineStr">
        <is>
          <t>2026.1046 Automatic Distributors (Park 130 Bldg 6)</t>
        </is>
      </c>
      <c r="B1013" s="56" t="inlineStr">
        <is>
          <t>2026-04</t>
        </is>
      </c>
      <c r="C1013" s="57" t="n">
        <v>32697</v>
      </c>
    </row>
    <row r="1014">
      <c r="A1014" s="56" t="inlineStr">
        <is>
          <t>2025.1023 Vikan Products BTS</t>
        </is>
      </c>
      <c r="B1014" s="56" t="inlineStr">
        <is>
          <t>2026-04</t>
        </is>
      </c>
      <c r="C1014" s="57" t="n">
        <v>205262.77</v>
      </c>
    </row>
    <row r="1015">
      <c r="A1015" s="56" t="inlineStr">
        <is>
          <t>2026.1038 Artistic Composite Pallet Expansion</t>
        </is>
      </c>
      <c r="B1015" s="56" t="inlineStr">
        <is>
          <t>2026-04</t>
        </is>
      </c>
      <c r="C1015" s="57" t="n">
        <v>65920.59</v>
      </c>
    </row>
    <row r="1016">
      <c r="A1016" s="56" t="inlineStr">
        <is>
          <t>2025.1024 Metro Lion</t>
        </is>
      </c>
      <c r="B1016" s="56" t="inlineStr">
        <is>
          <t>2026-04</t>
        </is>
      </c>
      <c r="C1016" s="57" t="n">
        <v>130</v>
      </c>
    </row>
    <row r="1017">
      <c r="A1017" s="56" t="inlineStr">
        <is>
          <t>2025.1024 Metro Lion</t>
        </is>
      </c>
      <c r="B1017" s="56" t="inlineStr">
        <is>
          <t>2026-04</t>
        </is>
      </c>
      <c r="C1017" s="57" t="n">
        <v>1170</v>
      </c>
    </row>
    <row r="1018">
      <c r="A1018" s="56" t="inlineStr">
        <is>
          <t>2026.1042 SND2 at ILP Bldg IV Whitestown</t>
        </is>
      </c>
      <c r="B1018" s="56" t="inlineStr">
        <is>
          <t>2026-04</t>
        </is>
      </c>
      <c r="C1018" s="57" t="n">
        <v>68841.53999999999</v>
      </c>
    </row>
    <row r="1019">
      <c r="A1019" s="56" t="inlineStr">
        <is>
          <t>2026.1034 Stella's Ice Cream Shop</t>
        </is>
      </c>
      <c r="B1019" s="56" t="inlineStr">
        <is>
          <t>2026-04</t>
        </is>
      </c>
      <c r="C1019" s="57" t="n">
        <v>11250</v>
      </c>
    </row>
    <row r="1020">
      <c r="A1020" s="56" t="inlineStr">
        <is>
          <t>2025.1028 Northpoint</t>
        </is>
      </c>
      <c r="B1020" s="56" t="inlineStr">
        <is>
          <t>2026-04</t>
        </is>
      </c>
      <c r="C1020" s="57" t="n">
        <v>17415</v>
      </c>
    </row>
    <row r="1021">
      <c r="A1021" s="56" t="inlineStr">
        <is>
          <t>2026.1041 Whiteland Building 2 - Blackhawk</t>
        </is>
      </c>
      <c r="B1021" s="56" t="inlineStr">
        <is>
          <t>2026-04</t>
        </is>
      </c>
      <c r="C1021" s="57" t="n">
        <v>111888</v>
      </c>
    </row>
    <row r="1022">
      <c r="A1022" s="56" t="inlineStr">
        <is>
          <t>2025.1015 WBP Lot 4</t>
        </is>
      </c>
      <c r="B1022" s="56" t="inlineStr">
        <is>
          <t>2026-04</t>
        </is>
      </c>
      <c r="C1022" s="57" t="n">
        <v>5500</v>
      </c>
    </row>
    <row r="1023">
      <c r="A1023" s="56" t="inlineStr">
        <is>
          <t>2026.1035 The Ark</t>
        </is>
      </c>
      <c r="B1023" s="56" t="inlineStr">
        <is>
          <t>2026-04</t>
        </is>
      </c>
      <c r="C1023" s="57" t="n">
        <v>86809.67999999999</v>
      </c>
    </row>
    <row r="1024">
      <c r="A1024" s="56" t="inlineStr">
        <is>
          <t>2025.1027 Indy Boat Co</t>
        </is>
      </c>
      <c r="B1024" s="56" t="inlineStr">
        <is>
          <t>2026-04</t>
        </is>
      </c>
      <c r="C1024" s="57" t="n">
        <v>53062.2</v>
      </c>
    </row>
    <row r="1025">
      <c r="A1025" s="56" t="inlineStr">
        <is>
          <t>2025.1012 Airport South Logistics Bldg. B</t>
        </is>
      </c>
      <c r="B1025" s="56" t="inlineStr">
        <is>
          <t>2026-04</t>
        </is>
      </c>
      <c r="C1025" s="57" t="n">
        <v>26117.77</v>
      </c>
    </row>
    <row r="1026">
      <c r="A1026" s="56" t="inlineStr">
        <is>
          <t>MF.2024.945 Encore Senior Living</t>
        </is>
      </c>
      <c r="B1026" s="56" t="inlineStr">
        <is>
          <t>2026-04</t>
        </is>
      </c>
      <c r="C1026" s="57" t="n">
        <v>91941.31</v>
      </c>
    </row>
    <row r="1027">
      <c r="A1027" s="56" t="inlineStr">
        <is>
          <t>2025.1001 Evolve Transporters</t>
        </is>
      </c>
      <c r="B1027" s="56" t="inlineStr">
        <is>
          <t>2026-04</t>
        </is>
      </c>
      <c r="C1027" s="57" t="n">
        <v>30489.3</v>
      </c>
    </row>
    <row r="1028">
      <c r="A1028" s="56" t="inlineStr">
        <is>
          <t>2026.1045 First OnSite (Ameriplex)</t>
        </is>
      </c>
      <c r="B1028" s="56" t="inlineStr">
        <is>
          <t>2026-04</t>
        </is>
      </c>
      <c r="C1028" s="57" t="n">
        <v>82260</v>
      </c>
    </row>
    <row r="1029">
      <c r="A1029" s="56" t="inlineStr">
        <is>
          <t>DS.2026.2409 Precision Pickup 0410</t>
        </is>
      </c>
      <c r="B1029" s="56" t="inlineStr">
        <is>
          <t>2026-04</t>
        </is>
      </c>
      <c r="C1029" s="57" t="n">
        <v>107.86</v>
      </c>
    </row>
    <row r="1030">
      <c r="A1030" s="56" t="inlineStr">
        <is>
          <t>DS.2026.2410 Courtyards of Russell Oaks 113</t>
        </is>
      </c>
      <c r="B1030" s="56" t="inlineStr">
        <is>
          <t>2026-04</t>
        </is>
      </c>
      <c r="C1030" s="57" t="n">
        <v>7585.02</v>
      </c>
    </row>
    <row r="1031">
      <c r="A1031" s="56" t="inlineStr">
        <is>
          <t>2026.1045 First OnSite (Ameriplex)</t>
        </is>
      </c>
      <c r="B1031" s="56" t="inlineStr">
        <is>
          <t>2026-04</t>
        </is>
      </c>
      <c r="C1031" s="57" t="n">
        <v>12800</v>
      </c>
    </row>
    <row r="1032">
      <c r="A1032" s="56" t="inlineStr">
        <is>
          <t>2023.839 Hamilton County National Guard Readiness Center</t>
        </is>
      </c>
      <c r="B1032" s="56" t="inlineStr">
        <is>
          <t>2026-04</t>
        </is>
      </c>
      <c r="C1032" s="57" t="n">
        <v>-34323.16</v>
      </c>
    </row>
    <row r="1033">
      <c r="A1033" s="56" t="inlineStr">
        <is>
          <t>2025.1030 Westfield Police HQ</t>
        </is>
      </c>
      <c r="B1033" s="56" t="inlineStr">
        <is>
          <t>2026-04</t>
        </is>
      </c>
      <c r="C1033" s="57" t="n">
        <v>94815</v>
      </c>
    </row>
    <row r="1034">
      <c r="A1034" s="56" t="inlineStr">
        <is>
          <t>DS.2026.2406 Premier Custom Homes Quote</t>
        </is>
      </c>
      <c r="B1034" s="56" t="inlineStr">
        <is>
          <t>2026-04</t>
        </is>
      </c>
      <c r="C1034" s="57" t="n">
        <v>17262.74</v>
      </c>
    </row>
    <row r="1035">
      <c r="A1035" s="56" t="inlineStr">
        <is>
          <t>2023.839 Hamilton County National Guard Readiness Center</t>
        </is>
      </c>
      <c r="B1035" s="56" t="inlineStr">
        <is>
          <t>2026-04</t>
        </is>
      </c>
      <c r="C1035" s="57" t="n">
        <v>92339.92</v>
      </c>
    </row>
    <row r="1036">
      <c r="A1036" s="56" t="inlineStr">
        <is>
          <t>MF.2025.975 The Eleven - Monon Square</t>
        </is>
      </c>
      <c r="B1036" s="56" t="inlineStr">
        <is>
          <t>2026-04</t>
        </is>
      </c>
      <c r="C1036" s="57" t="n">
        <v>30587.39</v>
      </c>
    </row>
    <row r="1037">
      <c r="A1037" s="56" t="inlineStr">
        <is>
          <t>DS.2026.2411 Clark Remodel</t>
        </is>
      </c>
      <c r="B1037" s="56" t="inlineStr">
        <is>
          <t>2026-04</t>
        </is>
      </c>
      <c r="C1037" s="57" t="n">
        <v>3764.86</v>
      </c>
    </row>
    <row r="1038">
      <c r="A1038" s="56" t="inlineStr">
        <is>
          <t>2024.950 Caterpillar Triple Crown</t>
        </is>
      </c>
      <c r="B1038" s="56" t="inlineStr">
        <is>
          <t>2026-05</t>
        </is>
      </c>
      <c r="C1038" s="57" t="n">
        <v>36620.15</v>
      </c>
    </row>
    <row r="1039">
      <c r="A1039" s="56" t="inlineStr">
        <is>
          <t>MF.2024.892 The Lofts at Headwaters Park</t>
        </is>
      </c>
      <c r="B1039" s="56" t="inlineStr">
        <is>
          <t>2026-05</t>
        </is>
      </c>
      <c r="C1039" s="57" t="n">
        <v>63353.47</v>
      </c>
    </row>
    <row r="1040">
      <c r="A1040" s="56" t="inlineStr">
        <is>
          <t>MF.2025.1019 Town &amp; Country Apartments (NY MF Project - 22 bldgs)</t>
        </is>
      </c>
      <c r="B1040" s="56" t="inlineStr">
        <is>
          <t>2026-05</t>
        </is>
      </c>
      <c r="C1040" s="57" t="n">
        <v>435716.98</v>
      </c>
    </row>
    <row r="1041">
      <c r="A1041" s="56" t="inlineStr">
        <is>
          <t>DS.2026.2413 Precision Pickup 0501</t>
        </is>
      </c>
      <c r="B1041" s="56" t="inlineStr">
        <is>
          <t>2026-05</t>
        </is>
      </c>
      <c r="C1041" s="57" t="n">
        <v>1096.76</v>
      </c>
    </row>
    <row r="1042">
      <c r="A1042" s="56" t="inlineStr">
        <is>
          <t>DS.2026.2412 10732 Heaven Cove Way</t>
        </is>
      </c>
      <c r="B1042" s="56" t="inlineStr">
        <is>
          <t>2026-05</t>
        </is>
      </c>
      <c r="C1042" s="57" t="n">
        <v>10008.15</v>
      </c>
    </row>
    <row r="1043">
      <c r="A1043" s="56" t="inlineStr">
        <is>
          <t>MF.2025.977 Civic Square Condos</t>
        </is>
      </c>
      <c r="B1043" s="56" t="inlineStr">
        <is>
          <t>2026-05</t>
        </is>
      </c>
      <c r="C1043" s="57" t="n">
        <v>60309.8</v>
      </c>
    </row>
    <row r="1044">
      <c r="A1044" s="56" t="inlineStr">
        <is>
          <t>2024.909 Andretti Global HQ</t>
        </is>
      </c>
      <c r="B1044" s="56" t="inlineStr">
        <is>
          <t>2026-05</t>
        </is>
      </c>
      <c r="C1044" s="57" t="n">
        <v>129947</v>
      </c>
    </row>
    <row r="1045">
      <c r="A1045" s="56" t="inlineStr">
        <is>
          <t>MF.2025.989-1 Springdale Cinema - Paint</t>
        </is>
      </c>
      <c r="B1045" s="56" t="inlineStr">
        <is>
          <t>2026-05</t>
        </is>
      </c>
      <c r="C1045" s="57" t="n">
        <v>206955</v>
      </c>
    </row>
    <row r="1046">
      <c r="A1046" s="56" t="inlineStr">
        <is>
          <t>MF.2025.975 The Eleven - Monon Square</t>
        </is>
      </c>
      <c r="B1046" s="56" t="inlineStr">
        <is>
          <t>2026-05</t>
        </is>
      </c>
      <c r="C1046" s="57" t="n">
        <v>47118.33</v>
      </c>
    </row>
    <row r="1047">
      <c r="A1047" s="56" t="inlineStr">
        <is>
          <t>MF.2025.972 Union Flats - Fishers</t>
        </is>
      </c>
      <c r="B1047" s="56" t="inlineStr">
        <is>
          <t>2026-05</t>
        </is>
      </c>
      <c r="C1047" s="57" t="n">
        <v>571623.75</v>
      </c>
    </row>
    <row r="1048">
      <c r="A1048" s="56" t="inlineStr">
        <is>
          <t>MF.2025.977 Civic Square Condos</t>
        </is>
      </c>
      <c r="B1048" s="56" t="inlineStr">
        <is>
          <t>2026-05</t>
        </is>
      </c>
      <c r="C1048" s="57" t="n">
        <v>1301.76</v>
      </c>
    </row>
    <row r="1049">
      <c r="A1049" s="56" t="inlineStr">
        <is>
          <t>2026.1041 Whiteland Building 2 - Blackhawk</t>
        </is>
      </c>
      <c r="B1049" s="56" t="inlineStr">
        <is>
          <t>2026-05</t>
        </is>
      </c>
      <c r="C1049" s="57" t="n">
        <v>44532.3</v>
      </c>
    </row>
    <row r="1050">
      <c r="A1050" s="56" t="inlineStr">
        <is>
          <t>2025.964 Avon Municipal Building</t>
        </is>
      </c>
      <c r="B1050" s="56" t="inlineStr">
        <is>
          <t>2026-05</t>
        </is>
      </c>
      <c r="C1050" s="57" t="n">
        <v>236453.93</v>
      </c>
    </row>
    <row r="1051">
      <c r="A1051" s="56" t="inlineStr">
        <is>
          <t>2025.1030 Westfield Police HQ</t>
        </is>
      </c>
      <c r="B1051" s="56" t="inlineStr">
        <is>
          <t>2026-05</t>
        </is>
      </c>
      <c r="C1051" s="57" t="n">
        <v>420570</v>
      </c>
    </row>
    <row r="1052">
      <c r="A1052" s="56" t="inlineStr">
        <is>
          <t>MF.2025.976 Firefly Youth Housing</t>
        </is>
      </c>
      <c r="B1052" s="56" t="inlineStr">
        <is>
          <t>2026-05</t>
        </is>
      </c>
      <c r="C1052" s="57" t="n">
        <v>9000</v>
      </c>
    </row>
    <row r="1053">
      <c r="A1053" s="56" t="inlineStr">
        <is>
          <t>2025.978 Ardalan Plaza</t>
        </is>
      </c>
      <c r="B1053" s="56" t="inlineStr">
        <is>
          <t>2026-05</t>
        </is>
      </c>
      <c r="C1053" s="57" t="n">
        <v>193598.5</v>
      </c>
    </row>
    <row r="1054">
      <c r="A1054" s="56" t="inlineStr">
        <is>
          <t>DS.2026.2418 118 Centre Place</t>
        </is>
      </c>
      <c r="B1054" s="56" t="inlineStr">
        <is>
          <t>2026-05</t>
        </is>
      </c>
      <c r="C1054" s="57" t="n">
        <v>5520.75</v>
      </c>
    </row>
    <row r="1055">
      <c r="A1055" s="56" t="inlineStr">
        <is>
          <t>DS.2026.2414 10824 McPherson St</t>
        </is>
      </c>
      <c r="B1055" s="56" t="inlineStr">
        <is>
          <t>2026-05</t>
        </is>
      </c>
      <c r="C1055" s="57" t="n">
        <v>2611.31</v>
      </c>
    </row>
    <row r="1056">
      <c r="A1056" s="56" t="inlineStr">
        <is>
          <t>DS.2026.2415 10826 McPherson St</t>
        </is>
      </c>
      <c r="B1056" s="56" t="inlineStr">
        <is>
          <t>2026-05</t>
        </is>
      </c>
      <c r="C1056" s="57" t="n">
        <v>2611.31</v>
      </c>
    </row>
    <row r="1057">
      <c r="A1057" s="56" t="inlineStr">
        <is>
          <t>DS.2026.2416 52 Centre Place</t>
        </is>
      </c>
      <c r="B1057" s="56" t="inlineStr">
        <is>
          <t>2026-05</t>
        </is>
      </c>
      <c r="C1057" s="57" t="n">
        <v>5520.75</v>
      </c>
    </row>
    <row r="1058">
      <c r="A1058" s="56" t="inlineStr">
        <is>
          <t>DS.2026.2417 117 Centre Place</t>
        </is>
      </c>
      <c r="B1058" s="56" t="inlineStr">
        <is>
          <t>2026-05</t>
        </is>
      </c>
      <c r="C1058" s="57" t="n">
        <v>4070.62</v>
      </c>
    </row>
    <row r="1059">
      <c r="A1059" s="56" t="inlineStr">
        <is>
          <t>2025.1029 Resmed - Indy 500</t>
        </is>
      </c>
      <c r="B1059" s="56" t="inlineStr">
        <is>
          <t>2026-05</t>
        </is>
      </c>
      <c r="C1059" s="57" t="n">
        <v>217317.46</v>
      </c>
    </row>
    <row r="1060">
      <c r="A1060" s="56" t="inlineStr">
        <is>
          <t>2026.1056 Senator Banks Office</t>
        </is>
      </c>
      <c r="B1060" s="56" t="inlineStr">
        <is>
          <t>2026-05</t>
        </is>
      </c>
      <c r="C1060" s="57" t="n">
        <v>20467.33</v>
      </c>
    </row>
    <row r="1061">
      <c r="A1061" s="56" t="inlineStr">
        <is>
          <t>2025.1023 Vikan Products BTS</t>
        </is>
      </c>
      <c r="B1061" s="56" t="inlineStr">
        <is>
          <t>2026-05</t>
        </is>
      </c>
      <c r="C1061" s="57" t="n">
        <v>198556.32</v>
      </c>
    </row>
    <row r="1062">
      <c r="A1062" s="56" t="inlineStr">
        <is>
          <t>2026.1034 Stella's Ice Cream Shop</t>
        </is>
      </c>
      <c r="B1062" s="56" t="inlineStr">
        <is>
          <t>2026-05</t>
        </is>
      </c>
      <c r="C1062" s="57" t="n">
        <v>18000</v>
      </c>
    </row>
    <row r="1063">
      <c r="A1063" s="56" t="inlineStr">
        <is>
          <t>2025.1027 Indy Boat Co</t>
        </is>
      </c>
      <c r="B1063" s="56" t="inlineStr">
        <is>
          <t>2026-05</t>
        </is>
      </c>
      <c r="C1063" s="57" t="n">
        <v>83283.7</v>
      </c>
    </row>
    <row r="1064">
      <c r="A1064" s="56" t="inlineStr">
        <is>
          <t>2026.1046 Automatic Distributors (Park 130 Bldg 6)</t>
        </is>
      </c>
      <c r="B1064" s="56" t="inlineStr">
        <is>
          <t>2026-05</t>
        </is>
      </c>
      <c r="C1064" s="57" t="n">
        <v>91953</v>
      </c>
    </row>
    <row r="1065">
      <c r="A1065" s="56" t="inlineStr">
        <is>
          <t>MF.2024.931 Wild Air</t>
        </is>
      </c>
      <c r="B1065" s="56" t="inlineStr">
        <is>
          <t>2026-05</t>
        </is>
      </c>
      <c r="C1065" s="57" t="n">
        <v>126290.65</v>
      </c>
    </row>
    <row r="1066">
      <c r="A1066" s="56" t="inlineStr">
        <is>
          <t>2025.1001 Evolve Transporters</t>
        </is>
      </c>
      <c r="B1066" s="56" t="inlineStr">
        <is>
          <t>2026-05</t>
        </is>
      </c>
      <c r="C1066" s="57" t="n">
        <v>1341</v>
      </c>
    </row>
    <row r="1067">
      <c r="A1067" s="56" t="inlineStr">
        <is>
          <t>2025.1032 65 Commerce Park Building 7</t>
        </is>
      </c>
      <c r="B1067" s="56" t="inlineStr">
        <is>
          <t>2026-05</t>
        </is>
      </c>
      <c r="C1067" s="57" t="n">
        <v>71314.2</v>
      </c>
    </row>
    <row r="1068">
      <c r="A1068" s="56" t="inlineStr">
        <is>
          <t>2025.990 Walmart Orlando</t>
        </is>
      </c>
      <c r="B1068" s="56" t="inlineStr">
        <is>
          <t>2026-05</t>
        </is>
      </c>
      <c r="C1068" s="57" t="n">
        <v>74099.78999999999</v>
      </c>
    </row>
    <row r="1069">
      <c r="A1069" s="56" t="inlineStr">
        <is>
          <t>2026.1035 The Ark</t>
        </is>
      </c>
      <c r="B1069" s="56" t="inlineStr">
        <is>
          <t>2026-05</t>
        </is>
      </c>
      <c r="C1069" s="57" t="n">
        <v>156749.71</v>
      </c>
    </row>
    <row r="1070">
      <c r="A1070" s="56" t="inlineStr">
        <is>
          <t>2026.1042 SND2 at ILP Bldg IV Whitestown</t>
        </is>
      </c>
      <c r="B1070" s="56" t="inlineStr">
        <is>
          <t>2026-05</t>
        </is>
      </c>
      <c r="C1070" s="57" t="n">
        <v>123216.76</v>
      </c>
    </row>
    <row r="1071">
      <c r="A1071" s="56" t="inlineStr">
        <is>
          <t>2026.1047 Springdale Building 4 Demising Walls</t>
        </is>
      </c>
      <c r="B1071" s="56" t="inlineStr">
        <is>
          <t>2026-05</t>
        </is>
      </c>
      <c r="C1071" s="57" t="n">
        <v>14880</v>
      </c>
    </row>
    <row r="1072">
      <c r="A1072" s="56" t="inlineStr">
        <is>
          <t>2026.1040 Lakeside Books</t>
        </is>
      </c>
      <c r="B1072" s="56" t="inlineStr">
        <is>
          <t>2026-05</t>
        </is>
      </c>
      <c r="C1072" s="57" t="n">
        <v>10020</v>
      </c>
    </row>
    <row r="1073">
      <c r="A1073" s="56" t="inlineStr">
        <is>
          <t>DS.2026.2420 7508 Central Ave</t>
        </is>
      </c>
      <c r="B1073" s="56" t="inlineStr">
        <is>
          <t>2026-05</t>
        </is>
      </c>
      <c r="C1073" s="57" t="n">
        <v>4323.31</v>
      </c>
    </row>
    <row r="1074">
      <c r="A1074" s="56" t="inlineStr">
        <is>
          <t>2026.1047 Springdale Building 4 Demising Walls</t>
        </is>
      </c>
      <c r="B1074" s="56" t="inlineStr">
        <is>
          <t>2026-05</t>
        </is>
      </c>
      <c r="C1074" s="57" t="n">
        <v>133920</v>
      </c>
    </row>
    <row r="1075">
      <c r="A1075" s="56" t="inlineStr">
        <is>
          <t>2025.984 Whiteland Indiana Guard Shack</t>
        </is>
      </c>
      <c r="B1075" s="56" t="inlineStr">
        <is>
          <t>2026-05</t>
        </is>
      </c>
      <c r="C1075" s="57" t="n">
        <v>9200</v>
      </c>
    </row>
    <row r="1076">
      <c r="A1076" s="56" t="inlineStr">
        <is>
          <t>2025.1013 Lucas Oil Corydon</t>
        </is>
      </c>
      <c r="B1076" s="56" t="inlineStr">
        <is>
          <t>2026-05</t>
        </is>
      </c>
      <c r="C1076" s="57" t="n">
        <v>10000</v>
      </c>
    </row>
    <row r="1077">
      <c r="A1077" s="56" t="inlineStr">
        <is>
          <t>2025.1026 HNTB Buildout (Salesforce Tower)</t>
        </is>
      </c>
      <c r="B1077" s="56" t="inlineStr">
        <is>
          <t>2026-05</t>
        </is>
      </c>
      <c r="C1077" s="57" t="n">
        <v>92235.03999999999</v>
      </c>
    </row>
    <row r="1078">
      <c r="A1078" s="56" t="inlineStr">
        <is>
          <t>MF.2026.1050 AC Hotel</t>
        </is>
      </c>
      <c r="B1078" s="56" t="inlineStr">
        <is>
          <t>2026-05</t>
        </is>
      </c>
      <c r="C1078" s="57" t="n">
        <v>202650.67</v>
      </c>
    </row>
    <row r="1079">
      <c r="A1079" s="56" t="inlineStr">
        <is>
          <t>2025.1006 Keller Office</t>
        </is>
      </c>
      <c r="B1079" s="56" t="inlineStr">
        <is>
          <t>2026-05</t>
        </is>
      </c>
      <c r="C1079" s="57" t="n">
        <v>168520.5</v>
      </c>
    </row>
    <row r="1080">
      <c r="A1080" s="56" t="inlineStr">
        <is>
          <t>2025.1012 Airport South Logistics Bldg. B</t>
        </is>
      </c>
      <c r="B1080" s="56" t="inlineStr">
        <is>
          <t>2026-05</t>
        </is>
      </c>
      <c r="C1080" s="57" t="n">
        <v>67259.03</v>
      </c>
    </row>
    <row r="1081">
      <c r="A1081" s="56" t="inlineStr">
        <is>
          <t>2025.994 Stotan Port Laredo Spec Offices</t>
        </is>
      </c>
      <c r="B1081" s="56" t="inlineStr">
        <is>
          <t>2026-05</t>
        </is>
      </c>
      <c r="C1081" s="57" t="n">
        <v>45000</v>
      </c>
    </row>
    <row r="1082">
      <c r="A1082" s="56" t="inlineStr">
        <is>
          <t>2026.1036 Port Laredo Trade Center</t>
        </is>
      </c>
      <c r="B1082" s="56" t="inlineStr">
        <is>
          <t>2026-05</t>
        </is>
      </c>
      <c r="C1082" s="57" t="n">
        <v>23809.5</v>
      </c>
    </row>
    <row r="1083">
      <c r="A1083" s="56" t="inlineStr">
        <is>
          <t>DS.2026.2423 10816 McPherson St</t>
        </is>
      </c>
      <c r="B1083" s="56" t="inlineStr">
        <is>
          <t>2026-05</t>
        </is>
      </c>
      <c r="C1083" s="57" t="n">
        <v>2611.31</v>
      </c>
    </row>
    <row r="1084">
      <c r="A1084" s="56" t="inlineStr">
        <is>
          <t>DS.2026.2422 10814 McPherson St</t>
        </is>
      </c>
      <c r="B1084" s="56" t="inlineStr">
        <is>
          <t>2026-05</t>
        </is>
      </c>
      <c r="C1084" s="57" t="n">
        <v>2611.31</v>
      </c>
    </row>
    <row r="1085">
      <c r="A1085" s="56" t="inlineStr">
        <is>
          <t>DS.2026.2421 Flores Ohio Job</t>
        </is>
      </c>
      <c r="B1085" s="56" t="inlineStr">
        <is>
          <t>2026-05</t>
        </is>
      </c>
      <c r="C1085" s="57" t="n">
        <v>8624.08</v>
      </c>
    </row>
    <row r="1086">
      <c r="A1086" s="56" t="inlineStr">
        <is>
          <t>DS.2026.2425 14 Parks</t>
        </is>
      </c>
      <c r="B1086" s="56" t="inlineStr">
        <is>
          <t>2026-05</t>
        </is>
      </c>
      <c r="C1086" s="57" t="n">
        <v>5520.75</v>
      </c>
    </row>
    <row r="1087">
      <c r="A1087" s="56" t="inlineStr">
        <is>
          <t>DS.2026.2426 121 Centre Place</t>
        </is>
      </c>
      <c r="B1087" s="56" t="inlineStr">
        <is>
          <t>2026-05</t>
        </is>
      </c>
      <c r="C1087" s="57" t="n">
        <v>5520.75</v>
      </c>
    </row>
    <row r="1088">
      <c r="A1088" s="56" t="inlineStr">
        <is>
          <t>DS.2026.2419 120 Centre Place</t>
        </is>
      </c>
      <c r="B1088" s="56" t="inlineStr">
        <is>
          <t>2026-05</t>
        </is>
      </c>
      <c r="C1088" s="57" t="n">
        <v>4070.62</v>
      </c>
    </row>
    <row r="1089">
      <c r="A1089" s="56" t="inlineStr">
        <is>
          <t>DS.2026.2427 Dapp Garage</t>
        </is>
      </c>
      <c r="B1089" s="56" t="inlineStr">
        <is>
          <t>2026-05</t>
        </is>
      </c>
      <c r="C1089" s="57" t="n">
        <v>2024.87</v>
      </c>
    </row>
    <row r="1090">
      <c r="A1090" s="56" t="inlineStr">
        <is>
          <t>MF.2024.928 Holliday Farms Assisted Living - Zionsville</t>
        </is>
      </c>
      <c r="B1090" s="56" t="inlineStr">
        <is>
          <t>2026-05</t>
        </is>
      </c>
      <c r="C1090" s="57" t="n">
        <v>65189.31</v>
      </c>
    </row>
    <row r="1091">
      <c r="A1091" s="56" t="inlineStr">
        <is>
          <t>MF.2024.928 Holliday Farms Assisted Living - Zionsville</t>
        </is>
      </c>
      <c r="B1091" s="56" t="inlineStr">
        <is>
          <t>2026-05</t>
        </is>
      </c>
      <c r="C1091" s="57" t="n">
        <v>273138.38</v>
      </c>
    </row>
    <row r="1092">
      <c r="A1092" s="56" t="inlineStr">
        <is>
          <t>2026.1037 CV - Castle Rock</t>
        </is>
      </c>
      <c r="B1092" s="56" t="inlineStr">
        <is>
          <t>2026-05</t>
        </is>
      </c>
      <c r="C1092" s="57" t="n">
        <v>2000</v>
      </c>
    </row>
    <row r="1093">
      <c r="A1093" s="56" t="inlineStr">
        <is>
          <t>2025.1016 WBP Lot C</t>
        </is>
      </c>
      <c r="B1093" s="56" t="inlineStr">
        <is>
          <t>2026-05</t>
        </is>
      </c>
      <c r="C1093" s="57" t="n">
        <v>12570</v>
      </c>
    </row>
    <row r="1094">
      <c r="A1094" s="56" t="inlineStr">
        <is>
          <t>2025.1016 WBP Lot C</t>
        </is>
      </c>
      <c r="B1094" s="56" t="inlineStr">
        <is>
          <t>2026-05</t>
        </is>
      </c>
      <c r="C1094" s="57" t="n">
        <v>511.87</v>
      </c>
    </row>
    <row r="1095">
      <c r="A1095" s="56" t="inlineStr">
        <is>
          <t>2024.912 Upland Columbus</t>
        </is>
      </c>
      <c r="B1095" s="56" t="inlineStr">
        <is>
          <t>2026-05</t>
        </is>
      </c>
      <c r="C1095" s="57" t="n">
        <v>2020</v>
      </c>
    </row>
    <row r="1096">
      <c r="A1096" s="56" t="inlineStr">
        <is>
          <t>DS.2026.2424 10566 Coppergate</t>
        </is>
      </c>
      <c r="B1096" s="56" t="inlineStr">
        <is>
          <t>2026-05</t>
        </is>
      </c>
      <c r="C1096" s="57" t="n">
        <v>3882.79</v>
      </c>
    </row>
    <row r="1097">
      <c r="A1097" s="56" t="inlineStr">
        <is>
          <t>2025.994 Stotan Port Laredo Spec Offices</t>
        </is>
      </c>
      <c r="B1097" s="56" t="inlineStr">
        <is>
          <t>2026-05</t>
        </is>
      </c>
      <c r="C1097" s="57" t="n">
        <v>69932.8</v>
      </c>
    </row>
    <row r="1098">
      <c r="A1098" s="56" t="inlineStr">
        <is>
          <t>2026.1036 Port Laredo Trade Center</t>
        </is>
      </c>
      <c r="B1098" s="56" t="inlineStr">
        <is>
          <t>2026-05</t>
        </is>
      </c>
      <c r="C1098" s="57" t="n">
        <v>10847.5</v>
      </c>
    </row>
    <row r="1099">
      <c r="A1099" s="56" t="inlineStr">
        <is>
          <t>DS.2026.2428 9 Centre Place</t>
        </is>
      </c>
      <c r="B1099" s="56" t="inlineStr">
        <is>
          <t>2026-05</t>
        </is>
      </c>
      <c r="C1099" s="57" t="n">
        <v>4962.27</v>
      </c>
    </row>
    <row r="1100">
      <c r="A1100" s="56" t="inlineStr">
        <is>
          <t>DS.2026.2433 Liberty Assisted Living 0529</t>
        </is>
      </c>
      <c r="B1100" s="56" t="inlineStr">
        <is>
          <t>2026-05</t>
        </is>
      </c>
      <c r="C1100" s="57" t="n">
        <v>9607.6</v>
      </c>
    </row>
    <row r="1101">
      <c r="A1101" s="56" t="inlineStr">
        <is>
          <t>MF.2024.945 Encore Senior Living</t>
        </is>
      </c>
      <c r="B1101" s="56" t="inlineStr">
        <is>
          <t>2026-05</t>
        </is>
      </c>
      <c r="C1101" s="57" t="n">
        <v>61193.27</v>
      </c>
    </row>
    <row r="1102">
      <c r="A1102" s="56" t="inlineStr">
        <is>
          <t>DS.2026.2429 108 Centre Place</t>
        </is>
      </c>
      <c r="B1102" s="56" t="inlineStr">
        <is>
          <t>2026-05</t>
        </is>
      </c>
      <c r="C1102" s="57" t="n">
        <v>3711.4</v>
      </c>
    </row>
    <row r="1103">
      <c r="A1103" s="56" t="inlineStr">
        <is>
          <t>DS.2026.2430 119 Centre Place</t>
        </is>
      </c>
      <c r="B1103" s="56" t="inlineStr">
        <is>
          <t>2026-05</t>
        </is>
      </c>
      <c r="C1103" s="57" t="n">
        <v>3411.3</v>
      </c>
    </row>
    <row r="1104">
      <c r="A1104" s="56" t="inlineStr">
        <is>
          <t>DS.2026.2431 123 Centre Place</t>
        </is>
      </c>
      <c r="B1104" s="56" t="inlineStr">
        <is>
          <t>2026-05</t>
        </is>
      </c>
      <c r="C1104" s="57" t="n">
        <v>3411.3</v>
      </c>
    </row>
    <row r="1105">
      <c r="A1105" s="56" t="inlineStr">
        <is>
          <t>DS.2026.2432 Liberty Assisted LIving 0528</t>
        </is>
      </c>
      <c r="B1105" s="56" t="inlineStr">
        <is>
          <t>2026-05</t>
        </is>
      </c>
      <c r="C1105" s="57" t="n">
        <v>12455.2</v>
      </c>
    </row>
    <row r="1107">
      <c r="A1107" s="54" t="inlineStr">
        <is>
          <t>tCustRev   —   QuickBooks Online — Sales by Customer (2026 YTD)   —   as of 2026-06-17</t>
        </is>
      </c>
    </row>
    <row r="1108">
      <c r="A1108" s="55" t="inlineStr">
        <is>
          <t>Customer</t>
        </is>
      </c>
      <c r="B1108" s="55" t="inlineStr">
        <is>
          <t>Revenue2026</t>
        </is>
      </c>
    </row>
    <row r="1109">
      <c r="A1109" s="56" t="inlineStr">
        <is>
          <t>Thompson Thrift Construction</t>
        </is>
      </c>
      <c r="B1109" s="57" t="n">
        <v>2717218.65</v>
      </c>
    </row>
    <row r="1110">
      <c r="A1110" s="56" t="inlineStr">
        <is>
          <t>The Peterson Company, LLC</t>
        </is>
      </c>
      <c r="B1110" s="57" t="n">
        <v>2587643.01</v>
      </c>
    </row>
    <row r="1111">
      <c r="A1111" s="56" t="inlineStr">
        <is>
          <t>DEEM, LLC</t>
        </is>
      </c>
      <c r="B1111" s="57" t="n">
        <v>2041679.82</v>
      </c>
    </row>
    <row r="1112">
      <c r="A1112" s="56" t="inlineStr">
        <is>
          <t>Marous Brothers Construction</t>
        </is>
      </c>
      <c r="B1112" s="57" t="n">
        <v>2039464.17</v>
      </c>
    </row>
    <row r="1113">
      <c r="A1113" s="56" t="inlineStr">
        <is>
          <t>Skender Construction of Indiana LLC</t>
        </is>
      </c>
      <c r="B1113" s="57" t="n">
        <v>2035601.3</v>
      </c>
    </row>
    <row r="1114">
      <c r="A1114" s="56" t="inlineStr">
        <is>
          <t>MILHAUS Construction</t>
        </is>
      </c>
      <c r="B1114" s="57" t="n">
        <v>1886647.5</v>
      </c>
    </row>
    <row r="1115">
      <c r="A1115" s="56" t="inlineStr">
        <is>
          <t>Compass Commercial Construction Group</t>
        </is>
      </c>
      <c r="B1115" s="57" t="n">
        <v>1704370.92</v>
      </c>
    </row>
    <row r="1116">
      <c r="A1116" s="56" t="inlineStr">
        <is>
          <t>Garmong Construction Services</t>
        </is>
      </c>
      <c r="B1116" s="57" t="n">
        <v>1361655.25</v>
      </c>
    </row>
    <row r="1117">
      <c r="A1117" s="56" t="inlineStr">
        <is>
          <t>Old Town Construction</t>
        </is>
      </c>
      <c r="B1117" s="57" t="n">
        <v>1301231.96</v>
      </c>
    </row>
    <row r="1118">
      <c r="A1118" s="56" t="inlineStr">
        <is>
          <t>Clark Construction</t>
        </is>
      </c>
      <c r="B1118" s="57" t="n">
        <v>1059801</v>
      </c>
    </row>
    <row r="1119">
      <c r="A1119" s="56" t="inlineStr">
        <is>
          <t>Avenue Construction, Inc.</t>
        </is>
      </c>
      <c r="B1119" s="57" t="n">
        <v>894486.1</v>
      </c>
    </row>
    <row r="1120">
      <c r="A1120" s="56" t="inlineStr">
        <is>
          <t>Arbor Homes</t>
        </is>
      </c>
      <c r="B1120" s="57" t="n">
        <v>880039.92</v>
      </c>
    </row>
    <row r="1121">
      <c r="A1121" s="56" t="inlineStr">
        <is>
          <t>ARCO Design/Build</t>
        </is>
      </c>
      <c r="B1121" s="57" t="n">
        <v>655801.1</v>
      </c>
    </row>
    <row r="1122">
      <c r="A1122" s="56" t="inlineStr">
        <is>
          <t>J.C. Hart Company, Inc.</t>
        </is>
      </c>
      <c r="B1122" s="57" t="n">
        <v>587907.95</v>
      </c>
    </row>
    <row r="1123">
      <c r="A1123" s="56" t="inlineStr">
        <is>
          <t>Patch Development</t>
        </is>
      </c>
      <c r="B1123" s="57" t="n">
        <v>570824.5600000001</v>
      </c>
    </row>
    <row r="1124">
      <c r="A1124" s="56" t="inlineStr">
        <is>
          <t>Shiel Sexton</t>
        </is>
      </c>
      <c r="B1124" s="57" t="n">
        <v>488752.35</v>
      </c>
    </row>
    <row r="1125">
      <c r="A1125" s="56" t="inlineStr">
        <is>
          <t>Midwest Design Group - Misc</t>
        </is>
      </c>
      <c r="B1125" s="57" t="n">
        <v>413250</v>
      </c>
    </row>
    <row r="1126">
      <c r="A1126" s="56" t="inlineStr">
        <is>
          <t>ACS-Affiliated Construction Services, Inc.</t>
        </is>
      </c>
      <c r="B1126" s="57" t="n">
        <v>349956.39</v>
      </c>
    </row>
    <row r="1127">
      <c r="A1127" s="56" t="inlineStr">
        <is>
          <t>Holladay Construction Group</t>
        </is>
      </c>
      <c r="B1127" s="57" t="n">
        <v>317850.67</v>
      </c>
    </row>
    <row r="1128">
      <c r="A1128" s="56" t="inlineStr">
        <is>
          <t>Centric Projects, LLC</t>
        </is>
      </c>
      <c r="B1128" s="57" t="n">
        <v>252211.41</v>
      </c>
    </row>
    <row r="1129">
      <c r="A1129" s="56" t="inlineStr">
        <is>
          <t>Raley Wake, LLC</t>
        </is>
      </c>
      <c r="B1129" s="57" t="n">
        <v>220397.67</v>
      </c>
    </row>
    <row r="1130">
      <c r="A1130" s="56" t="inlineStr">
        <is>
          <t>Flores Drywall and Remodeling LLC</t>
        </is>
      </c>
      <c r="B1130" s="57" t="n">
        <v>153330.51</v>
      </c>
    </row>
    <row r="1131">
      <c r="A1131" s="56" t="inlineStr">
        <is>
          <t>County Prestress &amp; Precast, LLC</t>
        </is>
      </c>
      <c r="B1131" s="57" t="n">
        <v>146400</v>
      </c>
    </row>
    <row r="1132">
      <c r="A1132" s="56" t="inlineStr">
        <is>
          <t>Bischoff Construction, LLC</t>
        </is>
      </c>
      <c r="B1132" s="57" t="n">
        <v>143221</v>
      </c>
    </row>
    <row r="1133">
      <c r="A1133" s="56" t="inlineStr">
        <is>
          <t>Big Dawg Drywall</t>
        </is>
      </c>
      <c r="B1133" s="57" t="n">
        <v>135671.53</v>
      </c>
    </row>
    <row r="1134">
      <c r="A1134" s="56" t="inlineStr">
        <is>
          <t>Bunge North America (East), LLC</t>
        </is>
      </c>
      <c r="B1134" s="57" t="n">
        <v>121051.03</v>
      </c>
    </row>
    <row r="1135">
      <c r="A1135" s="56" t="inlineStr">
        <is>
          <t>Precision Dry Wall</t>
        </is>
      </c>
      <c r="B1135" s="57" t="n">
        <v>85205.16</v>
      </c>
    </row>
    <row r="1136">
      <c r="A1136" s="56" t="inlineStr">
        <is>
          <t>Novo Development Group, LLC</t>
        </is>
      </c>
      <c r="B1136" s="57" t="n">
        <v>84018</v>
      </c>
    </row>
    <row r="1137">
      <c r="A1137" s="56" t="inlineStr">
        <is>
          <t>Stenz Corp</t>
        </is>
      </c>
      <c r="B1137" s="57" t="n">
        <v>77175</v>
      </c>
    </row>
    <row r="1138">
      <c r="A1138" s="56" t="inlineStr">
        <is>
          <t>The ACTS Collaborative, LLC</t>
        </is>
      </c>
      <c r="B1138" s="57" t="n">
        <v>62239.5</v>
      </c>
    </row>
    <row r="1139">
      <c r="A1139" s="56" t="inlineStr">
        <is>
          <t>Meyer Najem</t>
        </is>
      </c>
      <c r="B1139" s="57" t="n">
        <v>39830.53</v>
      </c>
    </row>
    <row r="1140">
      <c r="A1140" s="56" t="inlineStr">
        <is>
          <t>JRA Architecture, LLC</t>
        </is>
      </c>
      <c r="B1140" s="57" t="n">
        <v>38750</v>
      </c>
    </row>
    <row r="1141">
      <c r="A1141" s="56" t="inlineStr">
        <is>
          <t>Cargo Loop, LLC</t>
        </is>
      </c>
      <c r="B1141" s="57" t="n">
        <v>38259.5</v>
      </c>
    </row>
    <row r="1142">
      <c r="A1142" s="56" t="inlineStr">
        <is>
          <t>BW Facility Management, LLC</t>
        </is>
      </c>
      <c r="B1142" s="57" t="n">
        <v>34444.01</v>
      </c>
    </row>
    <row r="1143">
      <c r="A1143" s="56" t="inlineStr">
        <is>
          <t>Curran Architecture</t>
        </is>
      </c>
      <c r="B1143" s="57" t="n">
        <v>31925</v>
      </c>
    </row>
    <row r="1144">
      <c r="A1144" s="56" t="inlineStr">
        <is>
          <t>Vikan North America</t>
        </is>
      </c>
      <c r="B1144" s="57" t="n">
        <v>30000</v>
      </c>
    </row>
    <row r="1145">
      <c r="A1145" s="56" t="inlineStr">
        <is>
          <t>Kjt General Construction</t>
        </is>
      </c>
      <c r="B1145" s="57" t="n">
        <v>20720.33</v>
      </c>
    </row>
    <row r="1146">
      <c r="A1146" s="56" t="inlineStr">
        <is>
          <t>Pulte Homes</t>
        </is>
      </c>
      <c r="B1146" s="57" t="n">
        <v>16826.61</v>
      </c>
    </row>
    <row r="1147">
      <c r="A1147" s="56" t="inlineStr">
        <is>
          <t>Premier Custom Homes</t>
        </is>
      </c>
      <c r="B1147" s="57" t="n">
        <v>16133.4</v>
      </c>
    </row>
    <row r="1148">
      <c r="A1148" s="56" t="inlineStr">
        <is>
          <t>Daniel T Swanson</t>
        </is>
      </c>
      <c r="B1148" s="57" t="n">
        <v>16000</v>
      </c>
    </row>
    <row r="1149">
      <c r="A1149" s="56" t="inlineStr">
        <is>
          <t>GSI - Gregory Scott Inabnit LLC</t>
        </is>
      </c>
      <c r="B1149" s="57" t="n">
        <v>14361.47</v>
      </c>
    </row>
    <row r="1150">
      <c r="A1150" s="56" t="inlineStr">
        <is>
          <t>Becknell Industries</t>
        </is>
      </c>
      <c r="B1150" s="57" t="n">
        <v>13100</v>
      </c>
    </row>
    <row r="1151">
      <c r="A1151" s="56" t="inlineStr">
        <is>
          <t>Michael Valentine</t>
        </is>
      </c>
      <c r="B1151" s="57" t="n">
        <v>11616.94</v>
      </c>
    </row>
    <row r="1152">
      <c r="A1152" s="56" t="inlineStr">
        <is>
          <t>Forge Construction, LLC</t>
        </is>
      </c>
      <c r="B1152" s="57" t="n">
        <v>11160</v>
      </c>
    </row>
    <row r="1153">
      <c r="A1153" s="56" t="inlineStr">
        <is>
          <t>Kort Builders, Inc</t>
        </is>
      </c>
      <c r="B1153" s="57" t="n">
        <v>9745</v>
      </c>
    </row>
    <row r="1154">
      <c r="A1154" s="56" t="inlineStr">
        <is>
          <t>RenoSys</t>
        </is>
      </c>
      <c r="B1154" s="57" t="n">
        <v>9000</v>
      </c>
    </row>
    <row r="1155">
      <c r="A1155" s="56" t="inlineStr">
        <is>
          <t>Pro Fix Drywaller, LLC</t>
        </is>
      </c>
      <c r="B1155" s="57" t="n">
        <v>8479.959999999999</v>
      </c>
    </row>
    <row r="1156">
      <c r="A1156" s="56" t="inlineStr">
        <is>
          <t>Indiana Steel Fabricating</t>
        </is>
      </c>
      <c r="B1156" s="57" t="n">
        <v>8000</v>
      </c>
    </row>
    <row r="1157">
      <c r="A1157" s="56" t="inlineStr">
        <is>
          <t>Cornerstone Flooring</t>
        </is>
      </c>
      <c r="B1157" s="57" t="n">
        <v>7500</v>
      </c>
    </row>
    <row r="1158">
      <c r="A1158" s="56" t="inlineStr">
        <is>
          <t>Freije Engineered Solutions Company</t>
        </is>
      </c>
      <c r="B1158" s="57" t="n">
        <v>5000</v>
      </c>
    </row>
    <row r="1159">
      <c r="A1159" s="56" t="inlineStr">
        <is>
          <t>Elbrecht Investments LLC</t>
        </is>
      </c>
      <c r="B1159" s="57" t="n">
        <v>4820</v>
      </c>
    </row>
    <row r="1160">
      <c r="A1160" s="56" t="inlineStr">
        <is>
          <t>Convivio Italian Artisan Cuisine (SPIGA Noblesville)</t>
        </is>
      </c>
      <c r="B1160" s="57" t="n">
        <v>4555.2</v>
      </c>
    </row>
    <row r="1161">
      <c r="A1161" s="56" t="inlineStr">
        <is>
          <t>DLR Group</t>
        </is>
      </c>
      <c r="B1161" s="57" t="n">
        <v>4500</v>
      </c>
    </row>
    <row r="1162">
      <c r="A1162" s="56" t="inlineStr">
        <is>
          <t>Enviro-Max</t>
        </is>
      </c>
      <c r="B1162" s="57" t="n">
        <v>3500</v>
      </c>
    </row>
    <row r="1163">
      <c r="A1163" s="56" t="inlineStr">
        <is>
          <t>Mendoza</t>
        </is>
      </c>
      <c r="B1163" s="57" t="n">
        <v>995.75</v>
      </c>
    </row>
    <row r="1164">
      <c r="A1164" s="56" t="inlineStr">
        <is>
          <t>222 E Ohio LLC</t>
        </is>
      </c>
      <c r="B1164" s="57" t="n">
        <v>0</v>
      </c>
    </row>
    <row r="1165">
      <c r="A1165" s="56" t="inlineStr">
        <is>
          <t>Old Town Design Group</t>
        </is>
      </c>
      <c r="B1165" s="57" t="n">
        <v>-129.56</v>
      </c>
    </row>
  </sheetData>
  <pageMargins left="0.75" right="0.75" top="1" bottom="1" header="0.5" footer="0.5"/>
  <tableParts count="9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2026-07-06T04:01:24Z</dcterms:created>
  <dcterms:modified xsi:type="dcterms:W3CDTF">2026-07-06T04:01:25Z</dcterms:modified>
</cp:coreProperties>
</file>