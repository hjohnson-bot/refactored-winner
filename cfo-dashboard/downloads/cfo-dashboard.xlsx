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2. P&amp;L Dashboard" sheetId="2" state="visible" r:id="rId2"/>
    <sheet name="3. Period Comparison" sheetId="3" state="visible" r:id="rId3"/>
    <sheet name="4. Deep Dive" sheetId="4" state="visible" r:id="rId4"/>
    <sheet name="5. Forecast" sheetId="5" state="visible" r:id="rId5"/>
    <sheet name="6. Trends" sheetId="6" state="visible" r:id="rId6"/>
    <sheet name="7. Action Flags" sheetId="7" state="visible" r:id="rId7"/>
    <sheet name="8. Raw snapshot.js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[Red]-&quot;$&quot;#,##0"/>
    <numFmt numFmtId="165" formatCode="0.00%;[Red]-0.00%"/>
  </numFmts>
  <fonts count="10">
    <font>
      <name val="Calibri"/>
      <family val="2"/>
      <color theme="1"/>
      <sz val="11"/>
      <scheme val="minor"/>
    </font>
    <font>
      <name val="Calibri"/>
      <b val="1"/>
      <color rgb="000B1220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b val="1"/>
    </font>
    <font/>
    <font>
      <name val="Calibri"/>
      <b val="1"/>
      <sz val="11"/>
    </font>
    <font>
      <b val="1"/>
      <sz val="12"/>
    </font>
    <font>
      <name val="Calibri"/>
      <b val="1"/>
      <color rgb="00333333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4D8DF6"/>
      </patternFill>
    </fill>
    <fill>
      <patternFill patternType="solid">
        <fgColor rgb="00EAF1FE"/>
      </patternFill>
    </fill>
    <fill>
      <patternFill patternType="solid">
        <fgColor rgb="00DDF7E7"/>
      </patternFill>
    </fill>
    <fill>
      <patternFill patternType="solid">
        <fgColor rgb="00FCE0E0"/>
      </patternFill>
    </fill>
    <fill>
      <patternFill patternType="solid">
        <fgColor rgb="00FFF1D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164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8" customWidth="1" min="6" max="6"/>
  </cols>
  <sheetData>
    <row r="1" ht="28" customHeight="1">
      <c r="A1" s="1" t="inlineStr">
        <is>
          <t>CFO Dashboard — Midwest Design Group LLC</t>
        </is>
      </c>
    </row>
    <row r="2">
      <c r="A2" s="2" t="inlineStr">
        <is>
          <t>Commercial and Institutional Building Construction (NAICS 236220)  ·  As of 2026-05-07  ·  Source: QuickBooks Online (live, via QuickBooks MCP)</t>
        </is>
      </c>
    </row>
    <row r="4">
      <c r="A4" s="3" t="inlineStr">
        <is>
          <t>Metric</t>
        </is>
      </c>
      <c r="B4" s="3" t="inlineStr">
        <is>
          <t>Current (YTD 2026)</t>
        </is>
      </c>
      <c r="C4" s="3" t="inlineStr">
        <is>
          <t>Prior (FY 2025)</t>
        </is>
      </c>
      <c r="D4" s="3" t="inlineStr">
        <is>
          <t>Δ vs prior</t>
        </is>
      </c>
      <c r="E4" s="3" t="inlineStr">
        <is>
          <t>Δ %</t>
        </is>
      </c>
      <c r="F4" s="3" t="inlineStr">
        <is>
          <t>2 yrs prior (FY 2024)</t>
        </is>
      </c>
    </row>
    <row r="5">
      <c r="A5" s="4" t="inlineStr">
        <is>
          <t>Revenue</t>
        </is>
      </c>
      <c r="B5" s="5" t="n">
        <v>19376770.19</v>
      </c>
      <c r="C5" s="5" t="n">
        <v>40491815.42</v>
      </c>
      <c r="D5" s="5">
        <f>B5-C5</f>
        <v/>
      </c>
      <c r="E5" s="6">
        <f>IFERROR((B5-C5)/ABS(C5),"")</f>
        <v/>
      </c>
      <c r="F5" s="5" t="n">
        <v>39537774.9</v>
      </c>
    </row>
    <row r="6">
      <c r="A6" s="4" t="inlineStr">
        <is>
          <t>Gross Profit</t>
        </is>
      </c>
      <c r="B6" s="5" t="n">
        <v>5267780.53</v>
      </c>
      <c r="C6" s="5" t="n">
        <v>12736678.98</v>
      </c>
      <c r="D6" s="5">
        <f>B6-C6</f>
        <v/>
      </c>
      <c r="E6" s="6">
        <f>IFERROR((B6-C6)/ABS(C6),"")</f>
        <v/>
      </c>
      <c r="F6" s="5" t="n">
        <v>11102557.97</v>
      </c>
    </row>
    <row r="7">
      <c r="A7" s="4" t="inlineStr">
        <is>
          <t>Gross Margin %</t>
        </is>
      </c>
      <c r="B7" s="6" t="n">
        <v>0.2718606082616702</v>
      </c>
      <c r="C7" s="6" t="n">
        <v>0.314549467537803</v>
      </c>
      <c r="D7" s="6">
        <f>B7-C7</f>
        <v/>
      </c>
      <c r="E7" s="6">
        <f>IFERROR((B7-C7)/ABS(C7),"")</f>
        <v/>
      </c>
      <c r="F7" s="6" t="n">
        <v>0.2808088719732179</v>
      </c>
    </row>
    <row r="8">
      <c r="A8" s="4" t="inlineStr">
        <is>
          <t>Operating Expenses</t>
        </is>
      </c>
      <c r="B8" s="5" t="n">
        <v>3480138.73</v>
      </c>
      <c r="C8" s="5" t="n">
        <v>9925912.359999999</v>
      </c>
      <c r="D8" s="5">
        <f>B8-C8</f>
        <v/>
      </c>
      <c r="E8" s="6">
        <f>IFERROR((B8-C8)/ABS(C8),"")</f>
        <v/>
      </c>
      <c r="F8" s="5" t="n">
        <v>8249044.14</v>
      </c>
    </row>
    <row r="9">
      <c r="A9" s="4" t="inlineStr">
        <is>
          <t>Net Income</t>
        </is>
      </c>
      <c r="B9" s="5" t="n">
        <v>1661587.75</v>
      </c>
      <c r="C9" s="5" t="n">
        <v>2810766.62</v>
      </c>
      <c r="D9" s="5">
        <f>B9-C9</f>
        <v/>
      </c>
      <c r="E9" s="6">
        <f>IFERROR((B9-C9)/ABS(C9),"")</f>
        <v/>
      </c>
      <c r="F9" s="5" t="n">
        <v>2899162.56</v>
      </c>
    </row>
    <row r="10">
      <c r="A10" s="4" t="inlineStr">
        <is>
          <t>Net Margin %</t>
        </is>
      </c>
      <c r="B10" s="6" t="n">
        <v>0.08575153308354315</v>
      </c>
      <c r="C10" s="6" t="n">
        <v>0.06941567304022843</v>
      </c>
      <c r="D10" s="6">
        <f>B10-C10</f>
        <v/>
      </c>
      <c r="E10" s="6">
        <f>IFERROR((B10-C10)/ABS(C10),"")</f>
        <v/>
      </c>
      <c r="F10" s="6" t="n">
        <v>0.07332639652415061</v>
      </c>
    </row>
    <row r="11">
      <c r="A11" s="4" t="inlineStr">
        <is>
          <t>Cash Position (end of period)</t>
        </is>
      </c>
      <c r="B11" s="5" t="n">
        <v>-602042.66</v>
      </c>
      <c r="C11" s="5" t="n">
        <v>-243937.55</v>
      </c>
      <c r="D11" s="5">
        <f>B11-C11</f>
        <v/>
      </c>
      <c r="E11" s="6">
        <f>IFERROR((B11-C11)/ABS(C11),"")</f>
        <v/>
      </c>
    </row>
    <row r="12">
      <c r="A12" s="4" t="inlineStr">
        <is>
          <t>Operating cash YTD</t>
        </is>
      </c>
      <c r="B12" s="5" t="n">
        <v>760034.3</v>
      </c>
      <c r="C12" s="5" t="n">
        <v>1607367.49</v>
      </c>
      <c r="D12" s="5">
        <f>B12-C12</f>
        <v/>
      </c>
      <c r="E12" s="6">
        <f>IFERROR((B12-C12)/ABS(C12),"")</f>
        <v/>
      </c>
    </row>
    <row r="14">
      <c r="A14" s="2" t="inlineStr">
        <is>
          <t>Δ and Δ% are live Excel formulas — edit B/C columns and they recompute.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4" customWidth="1" min="5" max="5"/>
  </cols>
  <sheetData>
    <row r="1">
      <c r="A1" s="1" t="inlineStr">
        <is>
          <t>Profit &amp; Loss</t>
        </is>
      </c>
    </row>
    <row r="2">
      <c r="A2" s="2" t="inlineStr">
        <is>
          <t>YTD 2026 (2026-01-01 → 2026-05-07) vs FY 2025</t>
        </is>
      </c>
    </row>
    <row r="4">
      <c r="A4" s="3" t="inlineStr">
        <is>
          <t>Line item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$ Variance</t>
        </is>
      </c>
      <c r="E4" s="3" t="inlineStr">
        <is>
          <t>% Variance</t>
        </is>
      </c>
    </row>
    <row r="5">
      <c r="A5" s="7" t="inlineStr">
        <is>
          <t>Revenue</t>
        </is>
      </c>
      <c r="B5" s="5" t="n">
        <v>19376770.19</v>
      </c>
      <c r="C5" s="5" t="n">
        <v>40491815.42</v>
      </c>
      <c r="D5" s="5">
        <f>B5-C5</f>
        <v/>
      </c>
      <c r="E5" s="6">
        <f>IFERROR((B5-C5)/ABS(C5),"")</f>
        <v/>
      </c>
    </row>
    <row r="6">
      <c r="A6" s="8" t="inlineStr">
        <is>
          <t xml:space="preserve">  Cost of Goods Sold (COGS)</t>
        </is>
      </c>
      <c r="B6" s="5" t="n">
        <v>14108989.66</v>
      </c>
      <c r="C6" s="5" t="n">
        <v>27755136.44</v>
      </c>
      <c r="D6" s="5">
        <f>B6-C6</f>
        <v/>
      </c>
      <c r="E6" s="6">
        <f>IFERROR((B6-C6)/ABS(C6),"")</f>
        <v/>
      </c>
    </row>
    <row r="7">
      <c r="A7" s="9" t="inlineStr">
        <is>
          <t>Gross Profit (Revenue − COGS)</t>
        </is>
      </c>
      <c r="B7" s="10">
        <f>B5-B6</f>
        <v/>
      </c>
      <c r="C7" s="10">
        <f>C5-C6</f>
        <v/>
      </c>
      <c r="D7" s="11">
        <f>B7-C7</f>
        <v/>
      </c>
      <c r="E7" s="12">
        <f>IFERROR((B7-C7)/ABS(C7),"")</f>
        <v/>
      </c>
    </row>
    <row r="8">
      <c r="A8" s="13" t="inlineStr">
        <is>
          <t xml:space="preserve">  Gross Margin %</t>
        </is>
      </c>
      <c r="B8" s="6">
        <f>IFERROR(B7/B5,0)</f>
        <v/>
      </c>
      <c r="C8" s="6">
        <f>IFERROR(C7/C5,0)</f>
        <v/>
      </c>
      <c r="D8" s="6">
        <f>B8-C8</f>
        <v/>
      </c>
      <c r="E8" s="13" t="inlineStr"/>
    </row>
    <row r="9">
      <c r="A9" s="8" t="inlineStr">
        <is>
          <t xml:space="preserve">  Operating Expenses</t>
        </is>
      </c>
      <c r="B9" s="5" t="n">
        <v>3480138.73</v>
      </c>
      <c r="C9" s="5" t="n">
        <v>9925912.359999999</v>
      </c>
      <c r="D9" s="5">
        <f>B9-C9</f>
        <v/>
      </c>
      <c r="E9" s="6">
        <f>IFERROR((B9-C9)/ABS(C9),"")</f>
        <v/>
      </c>
    </row>
    <row r="10">
      <c r="A10" s="14" t="inlineStr">
        <is>
          <t>Net Income (Revenue − COGS − OpEx)</t>
        </is>
      </c>
      <c r="B10" s="15">
        <f>B7-B9</f>
        <v/>
      </c>
      <c r="C10" s="15">
        <f>C7-C9</f>
        <v/>
      </c>
      <c r="D10" s="11">
        <f>B10-C10</f>
        <v/>
      </c>
      <c r="E10" s="12">
        <f>IFERROR((B10-C10)/ABS(C10),"")</f>
        <v/>
      </c>
    </row>
    <row r="11">
      <c r="A11" s="13" t="inlineStr">
        <is>
          <t xml:space="preserve">  Net Margin %</t>
        </is>
      </c>
      <c r="B11" s="6">
        <f>IFERROR(B10/B5,0)</f>
        <v/>
      </c>
      <c r="C11" s="6">
        <f>IFERROR(C10/C5,0)</f>
        <v/>
      </c>
      <c r="D11" s="6">
        <f>B11-C11</f>
        <v/>
      </c>
      <c r="E11" s="13" t="inlineStr"/>
    </row>
    <row r="13">
      <c r="A13" s="2" t="inlineStr">
        <is>
          <t>All bold rows are live Excel formulas. Change Revenue or COGS and Gross Profit, GM%, Net Income, NM% all recompute.</t>
        </is>
      </c>
    </row>
  </sheetData>
  <mergeCells count="3">
    <mergeCell ref="A13:H13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Period Comparison</t>
        </is>
      </c>
    </row>
    <row r="2">
      <c r="A2" s="2" t="inlineStr">
        <is>
          <t>Year-over-year + 2-year CAGR for every key metric.</t>
        </is>
      </c>
    </row>
    <row r="4">
      <c r="A4" s="3" t="inlineStr">
        <is>
          <t>Metric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FY 2024</t>
        </is>
      </c>
      <c r="E4" s="3" t="inlineStr">
        <is>
          <t>YoY %</t>
        </is>
      </c>
      <c r="F4" s="3" t="inlineStr">
        <is>
          <t>2-yr CAGR</t>
        </is>
      </c>
    </row>
    <row r="5">
      <c r="A5" s="4" t="inlineStr">
        <is>
          <t>Revenue</t>
        </is>
      </c>
      <c r="B5" s="5" t="n">
        <v>19376770.19</v>
      </c>
      <c r="C5" s="5" t="n">
        <v>40491815.42</v>
      </c>
      <c r="D5" s="5" t="n">
        <v>39537774.9</v>
      </c>
      <c r="E5" s="6">
        <f>IFERROR((B5-C5)/ABS(C5),"")</f>
        <v/>
      </c>
      <c r="F5" s="6">
        <f>IFERROR((B5/D5)^(1/2)-1,"")</f>
        <v/>
      </c>
    </row>
    <row r="6">
      <c r="A6" s="4" t="inlineStr">
        <is>
          <t>Gross Profit</t>
        </is>
      </c>
      <c r="B6" s="5" t="n">
        <v>5267780.53</v>
      </c>
      <c r="C6" s="5" t="n">
        <v>12736678.98</v>
      </c>
      <c r="D6" s="5" t="n">
        <v>11102557.97</v>
      </c>
      <c r="E6" s="6">
        <f>IFERROR((B6-C6)/ABS(C6),"")</f>
        <v/>
      </c>
      <c r="F6" s="6">
        <f>IFERROR((B6/D6)^(1/2)-1,"")</f>
        <v/>
      </c>
    </row>
    <row r="7">
      <c r="A7" s="4" t="inlineStr">
        <is>
          <t>Gross Margin %</t>
        </is>
      </c>
      <c r="B7" s="6" t="n">
        <v>0.2718606082616702</v>
      </c>
      <c r="C7" s="6" t="n">
        <v>0.314549467537803</v>
      </c>
      <c r="D7" s="6" t="n">
        <v>0.2808088719732179</v>
      </c>
      <c r="E7" s="6">
        <f>IFERROR((B7-C7)/ABS(C7),"")</f>
        <v/>
      </c>
    </row>
    <row r="8">
      <c r="A8" s="4" t="inlineStr">
        <is>
          <t>Operating Expenses</t>
        </is>
      </c>
      <c r="B8" s="5" t="n">
        <v>3480138.73</v>
      </c>
      <c r="C8" s="5" t="n">
        <v>9925912.359999999</v>
      </c>
      <c r="D8" s="5" t="n">
        <v>8249044.14</v>
      </c>
      <c r="E8" s="6">
        <f>IFERROR((B8-C8)/ABS(C8),"")</f>
        <v/>
      </c>
      <c r="F8" s="6">
        <f>IFERROR((B8/D8)^(1/2)-1,"")</f>
        <v/>
      </c>
    </row>
    <row r="9">
      <c r="A9" s="4" t="inlineStr">
        <is>
          <t>Net Income</t>
        </is>
      </c>
      <c r="B9" s="5" t="n">
        <v>1661587.75</v>
      </c>
      <c r="C9" s="5" t="n">
        <v>2810766.62</v>
      </c>
      <c r="D9" s="5" t="n">
        <v>2899162.56</v>
      </c>
      <c r="E9" s="6">
        <f>IFERROR((B9-C9)/ABS(C9),"")</f>
        <v/>
      </c>
      <c r="F9" s="6">
        <f>IFERROR((B9/D9)^(1/2)-1,"")</f>
        <v/>
      </c>
    </row>
    <row r="10">
      <c r="A10" s="4" t="inlineStr">
        <is>
          <t>Net Margin %</t>
        </is>
      </c>
      <c r="B10" s="6" t="n">
        <v>0.08575153308354315</v>
      </c>
      <c r="C10" s="6" t="n">
        <v>0.06941567304022843</v>
      </c>
      <c r="D10" s="6" t="n">
        <v>0.07332639652415061</v>
      </c>
      <c r="E10" s="6">
        <f>IFERROR((B10-C10)/ABS(C10),"")</f>
        <v/>
      </c>
    </row>
    <row r="13">
      <c r="A13" s="16" t="inlineStr">
        <is>
          <t>Month vs Month (verified months)</t>
        </is>
      </c>
    </row>
    <row r="14">
      <c r="A14" s="3" t="inlineStr">
        <is>
          <t>Month</t>
        </is>
      </c>
      <c r="B14" s="3" t="inlineStr">
        <is>
          <t>Revenue</t>
        </is>
      </c>
      <c r="C14" s="3" t="inlineStr">
        <is>
          <t>COGS</t>
        </is>
      </c>
      <c r="D14" s="3" t="inlineStr">
        <is>
          <t>Gross Profit</t>
        </is>
      </c>
      <c r="E14" s="3" t="inlineStr">
        <is>
          <t>GM %</t>
        </is>
      </c>
      <c r="F14" s="3" t="inlineStr">
        <is>
          <t>OpEx</t>
        </is>
      </c>
      <c r="G14" s="3" t="inlineStr">
        <is>
          <t>Net Income</t>
        </is>
      </c>
      <c r="H14" s="3" t="inlineStr">
        <is>
          <t>NM %</t>
        </is>
      </c>
    </row>
    <row r="15">
      <c r="A15" s="13" t="inlineStr">
        <is>
          <t>2025-01</t>
        </is>
      </c>
      <c r="B15" s="5" t="n">
        <v>2041295.53</v>
      </c>
      <c r="C15" s="5" t="n">
        <v>1705779.19</v>
      </c>
      <c r="D15" s="5">
        <f>B15-C15</f>
        <v/>
      </c>
      <c r="E15" s="6">
        <f>IFERROR(D15/B15,0)</f>
        <v/>
      </c>
      <c r="F15" s="5" t="n">
        <v>917633.4300000001</v>
      </c>
      <c r="G15" s="5">
        <f>D15-F15</f>
        <v/>
      </c>
      <c r="H15" s="6">
        <f>IFERROR(G15/B15,0)</f>
        <v/>
      </c>
    </row>
    <row r="16">
      <c r="A16" s="13" t="inlineStr">
        <is>
          <t>2025-04</t>
        </is>
      </c>
      <c r="B16" s="5" t="n">
        <v>2424157.48</v>
      </c>
      <c r="C16" s="5" t="n">
        <v>1668995.34</v>
      </c>
      <c r="D16" s="5">
        <f>B16-C16</f>
        <v/>
      </c>
      <c r="E16" s="6">
        <f>IFERROR(D16/B16,0)</f>
        <v/>
      </c>
      <c r="F16" s="5" t="n">
        <v>836162.72</v>
      </c>
      <c r="G16" s="5">
        <f>D16-F16</f>
        <v/>
      </c>
      <c r="H16" s="6">
        <f>IFERROR(G16/B16,0)</f>
        <v/>
      </c>
    </row>
    <row r="17">
      <c r="A17" s="13" t="inlineStr">
        <is>
          <t>2026-03</t>
        </is>
      </c>
      <c r="B17" s="5" t="n">
        <v>5290349.77</v>
      </c>
      <c r="C17" s="5" t="n">
        <v>3616852.68</v>
      </c>
      <c r="D17" s="5">
        <f>B17-C17</f>
        <v/>
      </c>
      <c r="E17" s="6">
        <f>IFERROR(D17/B17,0)</f>
        <v/>
      </c>
      <c r="F17" s="5" t="n">
        <v>897079.72</v>
      </c>
      <c r="G17" s="5">
        <f>D17-F17</f>
        <v/>
      </c>
      <c r="H17" s="6">
        <f>IFERROR(G17/B17,0)</f>
        <v/>
      </c>
    </row>
    <row r="18">
      <c r="A18" s="13" t="inlineStr">
        <is>
          <t>2026-04</t>
        </is>
      </c>
      <c r="B18" s="5" t="n">
        <v>4593904.49</v>
      </c>
      <c r="C18" s="5" t="n">
        <v>3242912.67</v>
      </c>
      <c r="D18" s="5">
        <f>B18-C18</f>
        <v/>
      </c>
      <c r="E18" s="6">
        <f>IFERROR(D18/B18,0)</f>
        <v/>
      </c>
      <c r="F18" s="5" t="n">
        <v>713341.59</v>
      </c>
      <c r="G18" s="5">
        <f>D18-F18</f>
        <v/>
      </c>
      <c r="H18" s="6">
        <f>IFERROR(G18/B18,0)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Deep Dive Analysis</t>
        </is>
      </c>
    </row>
    <row r="4">
      <c r="A4" s="16" t="inlineStr">
        <is>
          <t>Revenue &amp; profitability mix</t>
        </is>
      </c>
    </row>
    <row r="5">
      <c r="A5" s="3" t="inlineStr">
        <is>
          <t>Metric</t>
        </is>
      </c>
      <c r="B5" s="3" t="inlineStr">
        <is>
          <t>YTD 2026</t>
        </is>
      </c>
      <c r="C5" s="3" t="inlineStr">
        <is>
          <t>FY 2025</t>
        </is>
      </c>
      <c r="D5" s="3" t="inlineStr">
        <is>
          <t>Δ</t>
        </is>
      </c>
    </row>
    <row r="6">
      <c r="A6" s="4" t="inlineStr">
        <is>
          <t>Revenue</t>
        </is>
      </c>
      <c r="B6" s="5" t="n">
        <v>19376770.19</v>
      </c>
      <c r="C6" s="5" t="n">
        <v>40491815.42</v>
      </c>
      <c r="D6" s="5">
        <f>B6-C6</f>
        <v/>
      </c>
    </row>
    <row r="7">
      <c r="A7" s="4" t="inlineStr">
        <is>
          <t>COGS</t>
        </is>
      </c>
      <c r="B7" s="5" t="n">
        <v>14108989.66</v>
      </c>
      <c r="C7" s="5" t="n">
        <v>27755136.44</v>
      </c>
      <c r="D7" s="5">
        <f>B7-C7</f>
        <v/>
      </c>
    </row>
    <row r="8">
      <c r="A8" s="4" t="inlineStr">
        <is>
          <t>Gross Profit</t>
        </is>
      </c>
      <c r="B8" s="5" t="n">
        <v>5267780.53</v>
      </c>
      <c r="C8" s="5" t="n">
        <v>12736678.98</v>
      </c>
      <c r="D8" s="5">
        <f>B8-C8</f>
        <v/>
      </c>
    </row>
    <row r="9">
      <c r="A9" s="4" t="inlineStr">
        <is>
          <t>Gross Margin %</t>
        </is>
      </c>
      <c r="B9" s="6" t="n">
        <v>0.2718606082616702</v>
      </c>
      <c r="C9" s="6" t="n">
        <v>0.314549467537803</v>
      </c>
      <c r="D9" s="6">
        <f>B9-C9</f>
        <v/>
      </c>
    </row>
    <row r="10">
      <c r="A10" s="4" t="inlineStr">
        <is>
          <t>Operating Expenses</t>
        </is>
      </c>
      <c r="B10" s="5" t="n">
        <v>3480138.73</v>
      </c>
      <c r="C10" s="5" t="n">
        <v>9925912.359999999</v>
      </c>
      <c r="D10" s="5">
        <f>B10-C10</f>
        <v/>
      </c>
    </row>
    <row r="11">
      <c r="A11" s="4" t="inlineStr">
        <is>
          <t>Net Income</t>
        </is>
      </c>
      <c r="B11" s="5" t="n">
        <v>1661587.75</v>
      </c>
      <c r="C11" s="5" t="n">
        <v>2810766.62</v>
      </c>
      <c r="D11" s="5">
        <f>B11-C11</f>
        <v/>
      </c>
    </row>
    <row r="14">
      <c r="A14" s="16" t="inlineStr">
        <is>
          <t>Cash flow decomposition (live formula sums)</t>
        </is>
      </c>
    </row>
    <row r="15">
      <c r="A15" s="3" t="inlineStr">
        <is>
          <t>Activity</t>
        </is>
      </c>
      <c r="B15" s="3" t="inlineStr">
        <is>
          <t>YTD 2026</t>
        </is>
      </c>
      <c r="C15" s="3" t="inlineStr">
        <is>
          <t>FY 2025</t>
        </is>
      </c>
      <c r="D15" s="3" t="inlineStr">
        <is>
          <t>Δ</t>
        </is>
      </c>
    </row>
    <row r="16">
      <c r="A16" s="13" t="inlineStr">
        <is>
          <t>Operating activities</t>
        </is>
      </c>
      <c r="B16" s="5" t="n">
        <v>760034.3</v>
      </c>
      <c r="C16" s="5" t="n">
        <v>1607367.49</v>
      </c>
      <c r="D16" s="5">
        <f>B16-C16</f>
        <v/>
      </c>
    </row>
    <row r="17">
      <c r="A17" s="13" t="inlineStr">
        <is>
          <t>Investing activities</t>
        </is>
      </c>
      <c r="B17" s="5" t="n">
        <v>212852.1</v>
      </c>
      <c r="C17" s="5" t="n">
        <v>179545.59</v>
      </c>
      <c r="D17" s="5">
        <f>B17-C17</f>
        <v/>
      </c>
    </row>
    <row r="18">
      <c r="A18" s="13" t="inlineStr">
        <is>
          <t>Financing activities</t>
        </is>
      </c>
      <c r="B18" s="5" t="n">
        <v>-1330991.51</v>
      </c>
      <c r="C18" s="5" t="n">
        <v>-1432655.18</v>
      </c>
      <c r="D18" s="5">
        <f>B18-C18</f>
        <v/>
      </c>
    </row>
    <row r="19">
      <c r="A19" s="7" t="inlineStr">
        <is>
          <t>Net cash change (live sum of above)</t>
        </is>
      </c>
      <c r="B19" s="17">
        <f>SUM(B16:B18)</f>
        <v/>
      </c>
      <c r="C19" s="17">
        <f>SUM(C16:C18)</f>
        <v/>
      </c>
      <c r="D19" s="11">
        <f>B19-C19</f>
        <v/>
      </c>
    </row>
    <row r="20">
      <c r="A20" s="13" t="inlineStr">
        <is>
          <t>Cash at beginning</t>
        </is>
      </c>
      <c r="B20" s="5" t="n">
        <v>-243937.55</v>
      </c>
      <c r="C20" s="5" t="n">
        <v>-598195.45</v>
      </c>
      <c r="D20" s="5">
        <f>B20-C20</f>
        <v/>
      </c>
    </row>
    <row r="21">
      <c r="A21" s="7" t="inlineStr">
        <is>
          <t>Cash at end of period (live: beginning + net change)</t>
        </is>
      </c>
      <c r="B21" s="17">
        <f>B20+B19</f>
        <v/>
      </c>
      <c r="C21" s="17">
        <f>C20+C19</f>
        <v/>
      </c>
      <c r="D21" s="11">
        <f>B21-C21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4" customWidth="1" min="4" max="4"/>
    <col width="24" customWidth="1" min="5" max="5"/>
  </cols>
  <sheetData>
    <row r="1">
      <c r="A1" s="1" t="inlineStr">
        <is>
          <t>Forecast &amp; Year-End Projection</t>
        </is>
      </c>
    </row>
    <row r="2">
      <c r="A2" s="2" t="inlineStr">
        <is>
          <t>5 of 12 months completed · 7 remaining. Year-End Forecast = YTD + (Avg Monthly × Remaining).</t>
        </is>
      </c>
    </row>
    <row r="4">
      <c r="A4" s="3" t="inlineStr">
        <is>
          <t>Metric</t>
        </is>
      </c>
      <c r="B4" s="3" t="inlineStr">
        <is>
          <t>YTD actual</t>
        </is>
      </c>
      <c r="C4" s="3" t="inlineStr">
        <is>
          <t>Avg monthly</t>
        </is>
      </c>
      <c r="D4" s="3" t="inlineStr">
        <is>
          <t>Year-end forecast (live)</t>
        </is>
      </c>
      <c r="E4" s="3" t="inlineStr">
        <is>
          <t>Run-rate (avg × 12, live)</t>
        </is>
      </c>
    </row>
    <row r="5">
      <c r="A5" s="4" t="inlineStr">
        <is>
          <t>Revenue</t>
        </is>
      </c>
      <c r="B5" s="5" t="n">
        <v>19376770.19</v>
      </c>
      <c r="C5" s="5" t="n">
        <v>3875354.04</v>
      </c>
      <c r="D5" s="5">
        <f>B5+C5*7</f>
        <v/>
      </c>
      <c r="E5" s="5">
        <f>C5*12</f>
        <v/>
      </c>
    </row>
    <row r="6">
      <c r="A6" s="4" t="inlineStr">
        <is>
          <t>Gross Profit</t>
        </is>
      </c>
      <c r="B6" s="5" t="n">
        <v>5267780.53</v>
      </c>
      <c r="C6" s="5" t="n">
        <v>1053556.11</v>
      </c>
      <c r="D6" s="5">
        <f>B6+C6*7</f>
        <v/>
      </c>
      <c r="E6" s="5">
        <f>C6*12</f>
        <v/>
      </c>
    </row>
    <row r="7">
      <c r="A7" s="4" t="inlineStr">
        <is>
          <t>Operating Expenses</t>
        </is>
      </c>
      <c r="B7" s="5" t="n">
        <v>3480138.73</v>
      </c>
      <c r="C7" s="5" t="n">
        <v>696027.75</v>
      </c>
      <c r="D7" s="5">
        <f>B7+C7*7</f>
        <v/>
      </c>
      <c r="E7" s="5">
        <f>C7*12</f>
        <v/>
      </c>
    </row>
    <row r="8">
      <c r="A8" s="4" t="inlineStr">
        <is>
          <t>Net Income</t>
        </is>
      </c>
      <c r="B8" s="5" t="n">
        <v>1661587.75</v>
      </c>
      <c r="C8" s="5" t="n">
        <v>332317.55</v>
      </c>
      <c r="D8" s="5">
        <f>B8+C8*7</f>
        <v/>
      </c>
      <c r="E8" s="5">
        <f>C8*12</f>
        <v/>
      </c>
    </row>
    <row r="10">
      <c r="A10" s="4" t="inlineStr">
        <is>
          <t>Year-end Gross Margin %</t>
        </is>
      </c>
      <c r="D10" s="6">
        <f>D6/D5</f>
        <v/>
      </c>
    </row>
    <row r="11">
      <c r="A11" s="4" t="inlineStr">
        <is>
          <t>Year-end Net Margin %</t>
        </is>
      </c>
      <c r="D11" s="6">
        <f>D8/D5</f>
        <v/>
      </c>
    </row>
    <row r="12">
      <c r="A12" s="4" t="inlineStr">
        <is>
          <t>Year-end Cash position</t>
        </is>
      </c>
      <c r="D12" s="5" t="n">
        <v>-1103389.81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</cols>
  <sheetData>
    <row r="1">
      <c r="A1" s="1" t="inlineStr">
        <is>
          <t>Trends</t>
        </is>
      </c>
    </row>
    <row r="2">
      <c r="A2" s="2" t="inlineStr">
        <is>
          <t>Annual trend uses verified totals; monthly trend uses individually verified per-month QB queries.</t>
        </is>
      </c>
    </row>
    <row r="4">
      <c r="A4" s="3" t="inlineStr">
        <is>
          <t>Period</t>
        </is>
      </c>
      <c r="B4" s="3" t="inlineStr">
        <is>
          <t>Revenue</t>
        </is>
      </c>
      <c r="C4" s="3" t="inlineStr">
        <is>
          <t>Gross Profit</t>
        </is>
      </c>
      <c r="D4" s="3" t="inlineStr">
        <is>
          <t>GM %</t>
        </is>
      </c>
      <c r="E4" s="3" t="inlineStr">
        <is>
          <t>Net Income</t>
        </is>
      </c>
      <c r="F4" s="3" t="inlineStr">
        <is>
          <t>NM %</t>
        </is>
      </c>
    </row>
    <row r="5">
      <c r="A5" s="4" t="inlineStr">
        <is>
          <t>FY 2024</t>
        </is>
      </c>
      <c r="B5" s="5" t="n">
        <v>39537774.9</v>
      </c>
      <c r="C5" s="5" t="n">
        <v>11102557.97</v>
      </c>
      <c r="D5" s="6" t="n">
        <v>0.2808088719732179</v>
      </c>
      <c r="E5" s="5" t="n">
        <v>2899162.56</v>
      </c>
      <c r="F5" s="6" t="n">
        <v>0.07332639652415061</v>
      </c>
    </row>
    <row r="6">
      <c r="A6" s="4" t="inlineStr">
        <is>
          <t>FY 2025</t>
        </is>
      </c>
      <c r="B6" s="5" t="n">
        <v>40491815.42</v>
      </c>
      <c r="C6" s="5" t="n">
        <v>12736678.98</v>
      </c>
      <c r="D6" s="6" t="n">
        <v>0.314549467537803</v>
      </c>
      <c r="E6" s="5" t="n">
        <v>2810766.62</v>
      </c>
      <c r="F6" s="6" t="n">
        <v>0.06941567304022843</v>
      </c>
    </row>
    <row r="7">
      <c r="A7" s="4" t="inlineStr">
        <is>
          <t>YTD 2026</t>
        </is>
      </c>
      <c r="B7" s="5" t="n">
        <v>19376770.19</v>
      </c>
      <c r="C7" s="5" t="n">
        <v>5267780.53</v>
      </c>
      <c r="D7" s="6" t="n">
        <v>0.2718606082616702</v>
      </c>
      <c r="E7" s="5" t="n">
        <v>1661587.75</v>
      </c>
      <c r="F7" s="6" t="n">
        <v>0.08575153308354315</v>
      </c>
    </row>
    <row r="8">
      <c r="A8" s="4" t="inlineStr">
        <is>
          <t>2026 forecast</t>
        </is>
      </c>
      <c r="B8" s="5" t="n">
        <v>46504248.46</v>
      </c>
      <c r="C8" s="5" t="n">
        <v>12642673.27</v>
      </c>
      <c r="D8" s="6" t="n">
        <v>0.2718606081952797</v>
      </c>
      <c r="E8" s="5" t="n">
        <v>3987810.6</v>
      </c>
      <c r="F8" s="6" t="n">
        <v>0.08575153307616747</v>
      </c>
    </row>
    <row r="11">
      <c r="A11" s="16" t="inlineStr">
        <is>
          <t>Verified monthly P&amp;L</t>
        </is>
      </c>
    </row>
    <row r="12">
      <c r="A12" s="3" t="inlineStr">
        <is>
          <t>Month</t>
        </is>
      </c>
      <c r="B12" s="3" t="inlineStr">
        <is>
          <t>Revenue</t>
        </is>
      </c>
      <c r="C12" s="3" t="inlineStr">
        <is>
          <t>COGS</t>
        </is>
      </c>
      <c r="D12" s="3" t="inlineStr">
        <is>
          <t>Gross Profit</t>
        </is>
      </c>
      <c r="E12" s="3" t="inlineStr">
        <is>
          <t>OpEx</t>
        </is>
      </c>
      <c r="F12" s="3" t="inlineStr">
        <is>
          <t>Net Income</t>
        </is>
      </c>
      <c r="G12" s="3" t="inlineStr">
        <is>
          <t>GM %</t>
        </is>
      </c>
      <c r="H12" s="3" t="inlineStr">
        <is>
          <t>NM %</t>
        </is>
      </c>
    </row>
    <row r="13">
      <c r="A13" s="13" t="inlineStr">
        <is>
          <t>2025-01</t>
        </is>
      </c>
      <c r="B13" s="5" t="n">
        <v>2041295.53</v>
      </c>
      <c r="C13" s="5" t="n">
        <v>1705779.19</v>
      </c>
      <c r="D13" s="5" t="n">
        <v>335516.34</v>
      </c>
      <c r="E13" s="5" t="n">
        <v>917633.4300000001</v>
      </c>
      <c r="F13" s="5" t="n">
        <v>-582117</v>
      </c>
      <c r="G13" s="6" t="n">
        <v>0.1643644122416709</v>
      </c>
      <c r="H13" s="6" t="n">
        <v>-0.285170369231152</v>
      </c>
    </row>
    <row r="14">
      <c r="A14" s="13" t="inlineStr">
        <is>
          <t>2025-04</t>
        </is>
      </c>
      <c r="B14" s="5" t="n">
        <v>2424157.48</v>
      </c>
      <c r="C14" s="5" t="n">
        <v>1668995.34</v>
      </c>
      <c r="D14" s="5" t="n">
        <v>755162.14</v>
      </c>
      <c r="E14" s="5" t="n">
        <v>836162.72</v>
      </c>
      <c r="F14" s="5" t="n">
        <v>-69968.27</v>
      </c>
      <c r="G14" s="6" t="n">
        <v>0.3115152980902874</v>
      </c>
      <c r="H14" s="6" t="n">
        <v>-0.02886292271738056</v>
      </c>
    </row>
    <row r="15">
      <c r="A15" s="13" t="inlineStr">
        <is>
          <t>2026-03</t>
        </is>
      </c>
      <c r="B15" s="5" t="n">
        <v>5290349.77</v>
      </c>
      <c r="C15" s="5" t="n">
        <v>3616852.68</v>
      </c>
      <c r="D15" s="5" t="n">
        <v>1673497.09</v>
      </c>
      <c r="E15" s="5" t="n">
        <v>897079.72</v>
      </c>
      <c r="F15" s="5" t="n">
        <v>790908.5600000001</v>
      </c>
      <c r="G15" s="6" t="n">
        <v>0.3163301412488649</v>
      </c>
      <c r="H15" s="6" t="n">
        <v>0.1495002399434925</v>
      </c>
    </row>
    <row r="16">
      <c r="A16" s="13" t="inlineStr">
        <is>
          <t>2026-04</t>
        </is>
      </c>
      <c r="B16" s="5" t="n">
        <v>4593904.49</v>
      </c>
      <c r="C16" s="5" t="n">
        <v>3242912.67</v>
      </c>
      <c r="D16" s="5" t="n">
        <v>1350991.82</v>
      </c>
      <c r="E16" s="5" t="n">
        <v>713341.59</v>
      </c>
      <c r="F16" s="5" t="n">
        <v>677429.8100000001</v>
      </c>
      <c r="G16" s="6" t="n">
        <v>0.2940835672445598</v>
      </c>
      <c r="H16" s="6" t="n">
        <v>0.1474627544988424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70" customWidth="1" min="4" max="4"/>
  </cols>
  <sheetData>
    <row r="1">
      <c r="A1" s="1" t="inlineStr">
        <is>
          <t>Action Flags</t>
        </is>
      </c>
    </row>
    <row r="2">
      <c r="A2" s="2" t="inlineStr">
        <is>
          <t>Computed live from current period vs prior + forecast. Severities: bad / warn / good.</t>
        </is>
      </c>
    </row>
    <row r="4">
      <c r="A4" s="3" t="inlineStr">
        <is>
          <t>Flag</t>
        </is>
      </c>
      <c r="B4" s="3" t="inlineStr">
        <is>
          <t>Severity</t>
        </is>
      </c>
      <c r="C4" s="3" t="inlineStr">
        <is>
          <t>Triggered?</t>
        </is>
      </c>
      <c r="D4" s="3" t="inlineStr">
        <is>
          <t>Detail</t>
        </is>
      </c>
    </row>
    <row r="5" ht="36" customHeight="1">
      <c r="A5" s="18" t="inlineStr">
        <is>
          <t>Revenue trajectory above prior year</t>
        </is>
      </c>
      <c r="B5" s="19" t="inlineStr">
        <is>
          <t>GOOD</t>
        </is>
      </c>
      <c r="C5" s="19" t="inlineStr">
        <is>
          <t>YES</t>
        </is>
      </c>
      <c r="D5" s="20" t="inlineStr">
        <is>
          <t>Run-rate $46,504,248 vs FY 2025 $40,491,815.</t>
        </is>
      </c>
    </row>
    <row r="6" ht="36" customHeight="1">
      <c r="A6" s="21" t="inlineStr">
        <is>
          <t>Gross margin compression vs prior year</t>
        </is>
      </c>
      <c r="B6" s="22" t="inlineStr">
        <is>
          <t>BAD</t>
        </is>
      </c>
      <c r="C6" s="22" t="inlineStr">
        <is>
          <t>YES</t>
        </is>
      </c>
      <c r="D6" s="23" t="inlineStr">
        <is>
          <t>GM% 27.19% vs prior 31.45% (-4.27pt).</t>
        </is>
      </c>
    </row>
    <row r="7" ht="36" customHeight="1">
      <c r="A7" s="21" t="inlineStr">
        <is>
          <t>Negative net cash flow YTD</t>
        </is>
      </c>
      <c r="B7" s="22" t="inlineStr">
        <is>
          <t>BAD</t>
        </is>
      </c>
      <c r="C7" s="22" t="inlineStr">
        <is>
          <t>YES</t>
        </is>
      </c>
      <c r="D7" s="23" t="inlineStr">
        <is>
          <t>YTD net cash $-358,105 (Op $760,034 + Inv $212,852 + Fin $-1,330,992).</t>
        </is>
      </c>
    </row>
    <row r="8" ht="36" customHeight="1">
      <c r="A8" s="21" t="inlineStr">
        <is>
          <t>Negative cash position</t>
        </is>
      </c>
      <c r="B8" s="22" t="inlineStr">
        <is>
          <t>BAD</t>
        </is>
      </c>
      <c r="C8" s="22" t="inlineStr">
        <is>
          <t>YES</t>
        </is>
      </c>
      <c r="D8" s="23" t="inlineStr">
        <is>
          <t>Cash at end of period $-602,043 (LoC drawn). Beginning $-243,938.</t>
        </is>
      </c>
    </row>
    <row r="9" ht="36" customHeight="1">
      <c r="A9" s="24" t="inlineStr">
        <is>
          <t>A/R collection risk</t>
        </is>
      </c>
      <c r="B9" s="25" t="inlineStr">
        <is>
          <t>WARN</t>
        </is>
      </c>
      <c r="C9" s="25" t="inlineStr">
        <is>
          <t>YES</t>
        </is>
      </c>
      <c r="D9" s="26" t="inlineStr">
        <is>
          <t>Cash deteriorated by $-358,105 vs prior year-end.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</cols>
  <sheetData>
    <row r="1">
      <c r="A1" s="1" t="inlineStr">
        <is>
          <t>Raw snapshot.json values</t>
        </is>
      </c>
    </row>
    <row r="2">
      <c r="A2" s="2" t="inlineStr">
        <is>
          <t>Source of truth for every other tab. Edit at your own risk — formulas elsewhere reference these.</t>
        </is>
      </c>
    </row>
    <row r="4">
      <c r="A4" s="3" t="inlineStr">
        <is>
          <t>Path</t>
        </is>
      </c>
      <c r="B4" s="3" t="inlineStr">
        <is>
          <t>Value</t>
        </is>
      </c>
    </row>
    <row r="5">
      <c r="A5" s="27" t="inlineStr">
        <is>
          <t>company.name</t>
        </is>
      </c>
      <c r="B5" s="13" t="inlineStr">
        <is>
          <t>Midwest Design Group LLC</t>
        </is>
      </c>
    </row>
    <row r="6">
      <c r="A6" s="27" t="inlineStr">
        <is>
          <t>company.industry</t>
        </is>
      </c>
      <c r="B6" s="13" t="inlineStr">
        <is>
          <t>Commercial and Institutional Building Construction</t>
        </is>
      </c>
    </row>
    <row r="7">
      <c r="A7" s="27" t="inlineStr">
        <is>
          <t>company.naics</t>
        </is>
      </c>
      <c r="B7" s="13" t="inlineStr">
        <is>
          <t>236220</t>
        </is>
      </c>
    </row>
    <row r="8">
      <c r="A8" s="27" t="inlineStr">
        <is>
          <t>asOf</t>
        </is>
      </c>
      <c r="B8" s="13" t="inlineStr">
        <is>
          <t>2026-05-07</t>
        </is>
      </c>
    </row>
    <row r="9">
      <c r="A9" s="27" t="inlineStr">
        <is>
          <t>generatedAt</t>
        </is>
      </c>
      <c r="B9" s="13" t="inlineStr">
        <is>
          <t>2026-05-07T03:26:00.310537+00:00</t>
        </is>
      </c>
    </row>
    <row r="10">
      <c r="A10" s="27" t="inlineStr">
        <is>
          <t>source</t>
        </is>
      </c>
      <c r="B10" s="13" t="inlineStr">
        <is>
          <t>QuickBooks Online (live, via QuickBooks MCP)</t>
        </is>
      </c>
    </row>
    <row r="11">
      <c r="A11" s="27" t="inlineStr">
        <is>
          <t>periods.current.periodStart</t>
        </is>
      </c>
      <c r="B11" s="13" t="inlineStr">
        <is>
          <t>2026-01-01</t>
        </is>
      </c>
    </row>
    <row r="12">
      <c r="A12" s="27" t="inlineStr">
        <is>
          <t>periods.current.periodEnd</t>
        </is>
      </c>
      <c r="B12" s="13" t="inlineStr">
        <is>
          <t>2026-05-07</t>
        </is>
      </c>
    </row>
    <row r="13">
      <c r="A13" s="27" t="inlineStr">
        <is>
          <t>periods.current.revenue</t>
        </is>
      </c>
      <c r="B13" s="5" t="n">
        <v>19376770.19</v>
      </c>
    </row>
    <row r="14">
      <c r="A14" s="27" t="inlineStr">
        <is>
          <t>periods.current.cogs</t>
        </is>
      </c>
      <c r="B14" s="5" t="n">
        <v>14108989.66</v>
      </c>
    </row>
    <row r="15">
      <c r="A15" s="27" t="inlineStr">
        <is>
          <t>periods.current.grossProfit</t>
        </is>
      </c>
      <c r="B15" s="5" t="n">
        <v>5267780.53</v>
      </c>
    </row>
    <row r="16">
      <c r="A16" s="27" t="inlineStr">
        <is>
          <t>periods.current.operatingExpenses</t>
        </is>
      </c>
      <c r="B16" s="5" t="n">
        <v>3480138.73</v>
      </c>
    </row>
    <row r="17">
      <c r="A17" s="27" t="inlineStr">
        <is>
          <t>periods.current.netIncome</t>
        </is>
      </c>
      <c r="B17" s="5" t="n">
        <v>1661587.75</v>
      </c>
    </row>
    <row r="18">
      <c r="A18" s="27" t="inlineStr">
        <is>
          <t>periods.current.grossMarginPct</t>
        </is>
      </c>
      <c r="B18" s="6" t="n">
        <v>0.2718606082616702</v>
      </c>
    </row>
    <row r="19">
      <c r="A19" s="27" t="inlineStr">
        <is>
          <t>periods.current.netMarginPct</t>
        </is>
      </c>
      <c r="B19" s="6" t="n">
        <v>0.08575153308354315</v>
      </c>
    </row>
    <row r="20">
      <c r="A20" s="27" t="inlineStr">
        <is>
          <t>periods.prior.periodStart</t>
        </is>
      </c>
      <c r="B20" s="13" t="inlineStr">
        <is>
          <t>2025-01-01</t>
        </is>
      </c>
    </row>
    <row r="21">
      <c r="A21" s="27" t="inlineStr">
        <is>
          <t>periods.prior.periodEnd</t>
        </is>
      </c>
      <c r="B21" s="13" t="inlineStr">
        <is>
          <t>2025-12-31</t>
        </is>
      </c>
    </row>
    <row r="22">
      <c r="A22" s="27" t="inlineStr">
        <is>
          <t>periods.prior.revenue</t>
        </is>
      </c>
      <c r="B22" s="5" t="n">
        <v>40491815.42</v>
      </c>
    </row>
    <row r="23">
      <c r="A23" s="27" t="inlineStr">
        <is>
          <t>periods.prior.cogs</t>
        </is>
      </c>
      <c r="B23" s="5" t="n">
        <v>27755136.44</v>
      </c>
    </row>
    <row r="24">
      <c r="A24" s="27" t="inlineStr">
        <is>
          <t>periods.prior.grossProfit</t>
        </is>
      </c>
      <c r="B24" s="5" t="n">
        <v>12736678.98</v>
      </c>
    </row>
    <row r="25">
      <c r="A25" s="27" t="inlineStr">
        <is>
          <t>periods.prior.operatingExpenses</t>
        </is>
      </c>
      <c r="B25" s="5" t="n">
        <v>9925912.359999999</v>
      </c>
    </row>
    <row r="26">
      <c r="A26" s="27" t="inlineStr">
        <is>
          <t>periods.prior.netIncome</t>
        </is>
      </c>
      <c r="B26" s="5" t="n">
        <v>2810766.62</v>
      </c>
    </row>
    <row r="27">
      <c r="A27" s="27" t="inlineStr">
        <is>
          <t>periods.prior.grossMarginPct</t>
        </is>
      </c>
      <c r="B27" s="6" t="n">
        <v>0.314549467537803</v>
      </c>
    </row>
    <row r="28">
      <c r="A28" s="27" t="inlineStr">
        <is>
          <t>periods.prior.netMarginPct</t>
        </is>
      </c>
      <c r="B28" s="6" t="n">
        <v>0.06941567304022843</v>
      </c>
    </row>
    <row r="29">
      <c r="A29" s="27" t="inlineStr">
        <is>
          <t>periods.prior2.periodStart</t>
        </is>
      </c>
      <c r="B29" s="13" t="inlineStr">
        <is>
          <t>2024-01-01</t>
        </is>
      </c>
    </row>
    <row r="30">
      <c r="A30" s="27" t="inlineStr">
        <is>
          <t>periods.prior2.periodEnd</t>
        </is>
      </c>
      <c r="B30" s="13" t="inlineStr">
        <is>
          <t>2024-12-31</t>
        </is>
      </c>
    </row>
    <row r="31">
      <c r="A31" s="27" t="inlineStr">
        <is>
          <t>periods.prior2.revenue</t>
        </is>
      </c>
      <c r="B31" s="5" t="n">
        <v>39537774.9</v>
      </c>
    </row>
    <row r="32">
      <c r="A32" s="27" t="inlineStr">
        <is>
          <t>periods.prior2.cogs</t>
        </is>
      </c>
      <c r="B32" s="5" t="n">
        <v>28435216.93</v>
      </c>
    </row>
    <row r="33">
      <c r="A33" s="27" t="inlineStr">
        <is>
          <t>periods.prior2.grossProfit</t>
        </is>
      </c>
      <c r="B33" s="5" t="n">
        <v>11102557.97</v>
      </c>
    </row>
    <row r="34">
      <c r="A34" s="27" t="inlineStr">
        <is>
          <t>periods.prior2.operatingExpenses</t>
        </is>
      </c>
      <c r="B34" s="5" t="n">
        <v>8249044.14</v>
      </c>
    </row>
    <row r="35">
      <c r="A35" s="27" t="inlineStr">
        <is>
          <t>periods.prior2.netIncome</t>
        </is>
      </c>
      <c r="B35" s="5" t="n">
        <v>2899162.56</v>
      </c>
    </row>
    <row r="36">
      <c r="A36" s="27" t="inlineStr">
        <is>
          <t>periods.prior2.grossMarginPct</t>
        </is>
      </c>
      <c r="B36" s="6" t="n">
        <v>0.2808088719732179</v>
      </c>
    </row>
    <row r="37">
      <c r="A37" s="27" t="inlineStr">
        <is>
          <t>periods.prior2.netMarginPct</t>
        </is>
      </c>
      <c r="B37" s="6" t="n">
        <v>0.07332639652415061</v>
      </c>
    </row>
    <row r="38">
      <c r="A38" s="27" t="inlineStr">
        <is>
          <t>cashFlow.current.periodStart</t>
        </is>
      </c>
      <c r="B38" s="13" t="inlineStr">
        <is>
          <t>2026-01-01</t>
        </is>
      </c>
    </row>
    <row r="39">
      <c r="A39" s="27" t="inlineStr">
        <is>
          <t>cashFlow.current.periodEnd</t>
        </is>
      </c>
      <c r="B39" s="13" t="inlineStr">
        <is>
          <t>2026-05-07</t>
        </is>
      </c>
    </row>
    <row r="40">
      <c r="A40" s="27" t="inlineStr">
        <is>
          <t>cashFlow.current.operating</t>
        </is>
      </c>
      <c r="B40" s="5" t="n">
        <v>760034.3</v>
      </c>
    </row>
    <row r="41">
      <c r="A41" s="27" t="inlineStr">
        <is>
          <t>cashFlow.current.investing</t>
        </is>
      </c>
      <c r="B41" s="5" t="n">
        <v>212852.1</v>
      </c>
    </row>
    <row r="42">
      <c r="A42" s="27" t="inlineStr">
        <is>
          <t>cashFlow.current.financing</t>
        </is>
      </c>
      <c r="B42" s="5" t="n">
        <v>-1330991.51</v>
      </c>
    </row>
    <row r="43">
      <c r="A43" s="27" t="inlineStr">
        <is>
          <t>cashFlow.current.netCashChange</t>
        </is>
      </c>
      <c r="B43" s="5" t="n">
        <v>-358105.11</v>
      </c>
    </row>
    <row r="44">
      <c r="A44" s="27" t="inlineStr">
        <is>
          <t>cashFlow.current.cashBeginning</t>
        </is>
      </c>
      <c r="B44" s="5" t="n">
        <v>-243937.55</v>
      </c>
    </row>
    <row r="45">
      <c r="A45" s="27" t="inlineStr">
        <is>
          <t>cashFlow.current.cashEnding</t>
        </is>
      </c>
      <c r="B45" s="5" t="n">
        <v>-602042.66</v>
      </c>
    </row>
    <row r="46">
      <c r="A46" s="27" t="inlineStr">
        <is>
          <t>cashFlow.prior.periodStart</t>
        </is>
      </c>
      <c r="B46" s="13" t="inlineStr">
        <is>
          <t>2025-01-01</t>
        </is>
      </c>
    </row>
    <row r="47">
      <c r="A47" s="27" t="inlineStr">
        <is>
          <t>cashFlow.prior.periodEnd</t>
        </is>
      </c>
      <c r="B47" s="13" t="inlineStr">
        <is>
          <t>2025-12-31</t>
        </is>
      </c>
    </row>
    <row r="48">
      <c r="A48" s="27" t="inlineStr">
        <is>
          <t>cashFlow.prior.operating</t>
        </is>
      </c>
      <c r="B48" s="5" t="n">
        <v>1607367.49</v>
      </c>
    </row>
    <row r="49">
      <c r="A49" s="27" t="inlineStr">
        <is>
          <t>cashFlow.prior.investing</t>
        </is>
      </c>
      <c r="B49" s="5" t="n">
        <v>179545.59</v>
      </c>
    </row>
    <row r="50">
      <c r="A50" s="27" t="inlineStr">
        <is>
          <t>cashFlow.prior.financing</t>
        </is>
      </c>
      <c r="B50" s="5" t="n">
        <v>-1432655.18</v>
      </c>
    </row>
    <row r="51">
      <c r="A51" s="27" t="inlineStr">
        <is>
          <t>cashFlow.prior.netCashChange</t>
        </is>
      </c>
      <c r="B51" s="5" t="n">
        <v>354257.9</v>
      </c>
    </row>
    <row r="52">
      <c r="A52" s="27" t="inlineStr">
        <is>
          <t>cashFlow.prior.cashBeginning</t>
        </is>
      </c>
      <c r="B52" s="5" t="n">
        <v>-598195.45</v>
      </c>
    </row>
    <row r="53">
      <c r="A53" s="27" t="inlineStr">
        <is>
          <t>cashFlow.prior.cashEnding</t>
        </is>
      </c>
      <c r="B53" s="5" t="n">
        <v>-243937.55</v>
      </c>
    </row>
    <row r="54">
      <c r="A54" s="27" t="inlineStr">
        <is>
          <t>forecast.completedMonths</t>
        </is>
      </c>
      <c r="B54" s="5" t="n">
        <v>5</v>
      </c>
    </row>
    <row r="55">
      <c r="A55" s="27" t="inlineStr">
        <is>
          <t>forecast.remainingMonths</t>
        </is>
      </c>
      <c r="B55" s="5" t="n">
        <v>7</v>
      </c>
    </row>
    <row r="56">
      <c r="A56" s="27" t="inlineStr">
        <is>
          <t>forecast.ytdRevenue</t>
        </is>
      </c>
      <c r="B56" s="5" t="n">
        <v>19376770.19</v>
      </c>
    </row>
    <row r="57">
      <c r="A57" s="27" t="inlineStr">
        <is>
          <t>forecast.ytdGrossProfit</t>
        </is>
      </c>
      <c r="B57" s="5" t="n">
        <v>5267780.53</v>
      </c>
    </row>
    <row r="58">
      <c r="A58" s="27" t="inlineStr">
        <is>
          <t>forecast.ytdOperatingExpenses</t>
        </is>
      </c>
      <c r="B58" s="5" t="n">
        <v>3480138.73</v>
      </c>
    </row>
    <row r="59">
      <c r="A59" s="27" t="inlineStr">
        <is>
          <t>forecast.ytdNetIncome</t>
        </is>
      </c>
      <c r="B59" s="5" t="n">
        <v>1661587.75</v>
      </c>
    </row>
    <row r="60">
      <c r="A60" s="27" t="inlineStr">
        <is>
          <t>forecast.avgMonthlyRevenue</t>
        </is>
      </c>
      <c r="B60" s="5" t="n">
        <v>3875354.04</v>
      </c>
    </row>
    <row r="61">
      <c r="A61" s="27" t="inlineStr">
        <is>
          <t>forecast.avgMonthlyGrossProfit</t>
        </is>
      </c>
      <c r="B61" s="5" t="n">
        <v>1053556.11</v>
      </c>
    </row>
    <row r="62">
      <c r="A62" s="27" t="inlineStr">
        <is>
          <t>forecast.avgMonthlyOperatingExpenses</t>
        </is>
      </c>
      <c r="B62" s="5" t="n">
        <v>696027.75</v>
      </c>
    </row>
    <row r="63">
      <c r="A63" s="27" t="inlineStr">
        <is>
          <t>forecast.avgMonthlyNetIncome</t>
        </is>
      </c>
      <c r="B63" s="5" t="n">
        <v>332317.55</v>
      </c>
    </row>
    <row r="64">
      <c r="A64" s="27" t="inlineStr">
        <is>
          <t>forecast.yearEndRevenue</t>
        </is>
      </c>
      <c r="B64" s="5" t="n">
        <v>46504248.46</v>
      </c>
    </row>
    <row r="65">
      <c r="A65" s="27" t="inlineStr">
        <is>
          <t>forecast.yearEndGrossProfit</t>
        </is>
      </c>
      <c r="B65" s="5" t="n">
        <v>12642673.27</v>
      </c>
    </row>
    <row r="66">
      <c r="A66" s="27" t="inlineStr">
        <is>
          <t>forecast.yearEndOperatingExpenses</t>
        </is>
      </c>
      <c r="B66" s="5" t="n">
        <v>8352332.95</v>
      </c>
    </row>
    <row r="67">
      <c r="A67" s="27" t="inlineStr">
        <is>
          <t>forecast.yearEndNetIncome</t>
        </is>
      </c>
      <c r="B67" s="5" t="n">
        <v>3987810.6</v>
      </c>
    </row>
    <row r="68">
      <c r="A68" s="27" t="inlineStr">
        <is>
          <t>forecast.runRateRevenue</t>
        </is>
      </c>
      <c r="B68" s="5" t="n">
        <v>46504248.46</v>
      </c>
    </row>
    <row r="69">
      <c r="A69" s="27" t="inlineStr">
        <is>
          <t>forecast.runRateGrossProfit</t>
        </is>
      </c>
      <c r="B69" s="5" t="n">
        <v>12642673.27</v>
      </c>
    </row>
    <row r="70">
      <c r="A70" s="27" t="inlineStr">
        <is>
          <t>forecast.runRateOperatingExpenses</t>
        </is>
      </c>
      <c r="B70" s="5" t="n">
        <v>8352332.95</v>
      </c>
    </row>
    <row r="71">
      <c r="A71" s="27" t="inlineStr">
        <is>
          <t>forecast.runRateNetIncome</t>
        </is>
      </c>
      <c r="B71" s="5" t="n">
        <v>3987810.6</v>
      </c>
    </row>
    <row r="72">
      <c r="A72" s="27" t="inlineStr">
        <is>
          <t>forecast.yearEndGrossMarginPct</t>
        </is>
      </c>
      <c r="B72" s="6" t="n">
        <v>0.2718606081952797</v>
      </c>
    </row>
    <row r="73">
      <c r="A73" s="27" t="inlineStr">
        <is>
          <t>forecast.yearEndNetMarginPct</t>
        </is>
      </c>
      <c r="B73" s="6" t="n">
        <v>0.08575153307616747</v>
      </c>
    </row>
    <row r="74">
      <c r="A74" s="27" t="inlineStr">
        <is>
          <t>forecast.yearEndCash</t>
        </is>
      </c>
      <c r="B74" s="5" t="n">
        <v>-1103389.81</v>
      </c>
    </row>
    <row r="75">
      <c r="A75" s="27" t="inlineStr">
        <is>
          <t>forecast.yearEndOperatingCash</t>
        </is>
      </c>
      <c r="B75" s="5" t="n">
        <v>1824082.32</v>
      </c>
    </row>
    <row r="76">
      <c r="A76" s="27" t="inlineStr">
        <is>
          <t>verifiedMonths[0].periodStart</t>
        </is>
      </c>
      <c r="B76" s="13" t="inlineStr">
        <is>
          <t>2025-01-01</t>
        </is>
      </c>
    </row>
    <row r="77">
      <c r="A77" s="27" t="inlineStr">
        <is>
          <t>verifiedMonths[0].periodEnd</t>
        </is>
      </c>
      <c r="B77" s="13" t="inlineStr">
        <is>
          <t>2025-01-31</t>
        </is>
      </c>
    </row>
    <row r="78">
      <c r="A78" s="27" t="inlineStr">
        <is>
          <t>verifiedMonths[0].revenue</t>
        </is>
      </c>
      <c r="B78" s="5" t="n">
        <v>2041295.53</v>
      </c>
    </row>
    <row r="79">
      <c r="A79" s="27" t="inlineStr">
        <is>
          <t>verifiedMonths[0].cogs</t>
        </is>
      </c>
      <c r="B79" s="5" t="n">
        <v>1705779.19</v>
      </c>
    </row>
    <row r="80">
      <c r="A80" s="27" t="inlineStr">
        <is>
          <t>verifiedMonths[0].grossProfit</t>
        </is>
      </c>
      <c r="B80" s="5" t="n">
        <v>335516.34</v>
      </c>
    </row>
    <row r="81">
      <c r="A81" s="27" t="inlineStr">
        <is>
          <t>verifiedMonths[0].operatingExpenses</t>
        </is>
      </c>
      <c r="B81" s="5" t="n">
        <v>917633.4300000001</v>
      </c>
    </row>
    <row r="82">
      <c r="A82" s="27" t="inlineStr">
        <is>
          <t>verifiedMonths[0].netIncome</t>
        </is>
      </c>
      <c r="B82" s="5" t="n">
        <v>-582117</v>
      </c>
    </row>
    <row r="83">
      <c r="A83" s="27" t="inlineStr">
        <is>
          <t>verifiedMonths[0].grossMarginPct</t>
        </is>
      </c>
      <c r="B83" s="6" t="n">
        <v>0.1643644122416709</v>
      </c>
    </row>
    <row r="84">
      <c r="A84" s="27" t="inlineStr">
        <is>
          <t>verifiedMonths[0].netMarginPct</t>
        </is>
      </c>
      <c r="B84" s="6" t="n">
        <v>-0.285170369231152</v>
      </c>
    </row>
    <row r="85">
      <c r="A85" s="27" t="inlineStr">
        <is>
          <t>verifiedMonths[0].month</t>
        </is>
      </c>
      <c r="B85" s="13" t="inlineStr">
        <is>
          <t>2025-01</t>
        </is>
      </c>
    </row>
    <row r="86">
      <c r="A86" s="27" t="inlineStr">
        <is>
          <t>verifiedMonths[1].periodStart</t>
        </is>
      </c>
      <c r="B86" s="13" t="inlineStr">
        <is>
          <t>2025-04-01</t>
        </is>
      </c>
    </row>
    <row r="87">
      <c r="A87" s="27" t="inlineStr">
        <is>
          <t>verifiedMonths[1].periodEnd</t>
        </is>
      </c>
      <c r="B87" s="13" t="inlineStr">
        <is>
          <t>2025-04-30</t>
        </is>
      </c>
    </row>
    <row r="88">
      <c r="A88" s="27" t="inlineStr">
        <is>
          <t>verifiedMonths[1].revenue</t>
        </is>
      </c>
      <c r="B88" s="5" t="n">
        <v>2424157.48</v>
      </c>
    </row>
    <row r="89">
      <c r="A89" s="27" t="inlineStr">
        <is>
          <t>verifiedMonths[1].cogs</t>
        </is>
      </c>
      <c r="B89" s="5" t="n">
        <v>1668995.34</v>
      </c>
    </row>
    <row r="90">
      <c r="A90" s="27" t="inlineStr">
        <is>
          <t>verifiedMonths[1].grossProfit</t>
        </is>
      </c>
      <c r="B90" s="5" t="n">
        <v>755162.14</v>
      </c>
    </row>
    <row r="91">
      <c r="A91" s="27" t="inlineStr">
        <is>
          <t>verifiedMonths[1].operatingExpenses</t>
        </is>
      </c>
      <c r="B91" s="5" t="n">
        <v>836162.72</v>
      </c>
    </row>
    <row r="92">
      <c r="A92" s="27" t="inlineStr">
        <is>
          <t>verifiedMonths[1].netIncome</t>
        </is>
      </c>
      <c r="B92" s="5" t="n">
        <v>-69968.27</v>
      </c>
    </row>
    <row r="93">
      <c r="A93" s="27" t="inlineStr">
        <is>
          <t>verifiedMonths[1].grossMarginPct</t>
        </is>
      </c>
      <c r="B93" s="6" t="n">
        <v>0.3115152980902874</v>
      </c>
    </row>
    <row r="94">
      <c r="A94" s="27" t="inlineStr">
        <is>
          <t>verifiedMonths[1].netMarginPct</t>
        </is>
      </c>
      <c r="B94" s="6" t="n">
        <v>-0.02886292271738056</v>
      </c>
    </row>
    <row r="95">
      <c r="A95" s="27" t="inlineStr">
        <is>
          <t>verifiedMonths[1].month</t>
        </is>
      </c>
      <c r="B95" s="13" t="inlineStr">
        <is>
          <t>2025-04</t>
        </is>
      </c>
    </row>
    <row r="96">
      <c r="A96" s="27" t="inlineStr">
        <is>
          <t>verifiedMonths[2].periodStart</t>
        </is>
      </c>
      <c r="B96" s="13" t="inlineStr">
        <is>
          <t>2026-03-01</t>
        </is>
      </c>
    </row>
    <row r="97">
      <c r="A97" s="27" t="inlineStr">
        <is>
          <t>verifiedMonths[2].periodEnd</t>
        </is>
      </c>
      <c r="B97" s="13" t="inlineStr">
        <is>
          <t>2026-03-31</t>
        </is>
      </c>
    </row>
    <row r="98">
      <c r="A98" s="27" t="inlineStr">
        <is>
          <t>verifiedMonths[2].revenue</t>
        </is>
      </c>
      <c r="B98" s="5" t="n">
        <v>5290349.77</v>
      </c>
    </row>
    <row r="99">
      <c r="A99" s="27" t="inlineStr">
        <is>
          <t>verifiedMonths[2].cogs</t>
        </is>
      </c>
      <c r="B99" s="5" t="n">
        <v>3616852.68</v>
      </c>
    </row>
    <row r="100">
      <c r="A100" s="27" t="inlineStr">
        <is>
          <t>verifiedMonths[2].grossProfit</t>
        </is>
      </c>
      <c r="B100" s="5" t="n">
        <v>1673497.09</v>
      </c>
    </row>
    <row r="101">
      <c r="A101" s="27" t="inlineStr">
        <is>
          <t>verifiedMonths[2].operatingExpenses</t>
        </is>
      </c>
      <c r="B101" s="5" t="n">
        <v>897079.72</v>
      </c>
    </row>
    <row r="102">
      <c r="A102" s="27" t="inlineStr">
        <is>
          <t>verifiedMonths[2].netIncome</t>
        </is>
      </c>
      <c r="B102" s="5" t="n">
        <v>790908.5600000001</v>
      </c>
    </row>
    <row r="103">
      <c r="A103" s="27" t="inlineStr">
        <is>
          <t>verifiedMonths[2].grossMarginPct</t>
        </is>
      </c>
      <c r="B103" s="6" t="n">
        <v>0.3163301412488649</v>
      </c>
    </row>
    <row r="104">
      <c r="A104" s="27" t="inlineStr">
        <is>
          <t>verifiedMonths[2].netMarginPct</t>
        </is>
      </c>
      <c r="B104" s="6" t="n">
        <v>0.1495002399434925</v>
      </c>
    </row>
    <row r="105">
      <c r="A105" s="27" t="inlineStr">
        <is>
          <t>verifiedMonths[2].month</t>
        </is>
      </c>
      <c r="B105" s="13" t="inlineStr">
        <is>
          <t>2026-03</t>
        </is>
      </c>
    </row>
    <row r="106">
      <c r="A106" s="27" t="inlineStr">
        <is>
          <t>verifiedMonths[3].periodStart</t>
        </is>
      </c>
      <c r="B106" s="13" t="inlineStr">
        <is>
          <t>2026-04-01</t>
        </is>
      </c>
    </row>
    <row r="107">
      <c r="A107" s="27" t="inlineStr">
        <is>
          <t>verifiedMonths[3].periodEnd</t>
        </is>
      </c>
      <c r="B107" s="13" t="inlineStr">
        <is>
          <t>2026-04-30</t>
        </is>
      </c>
    </row>
    <row r="108">
      <c r="A108" s="27" t="inlineStr">
        <is>
          <t>verifiedMonths[3].revenue</t>
        </is>
      </c>
      <c r="B108" s="5" t="n">
        <v>4593904.49</v>
      </c>
    </row>
    <row r="109">
      <c r="A109" s="27" t="inlineStr">
        <is>
          <t>verifiedMonths[3].cogs</t>
        </is>
      </c>
      <c r="B109" s="5" t="n">
        <v>3242912.67</v>
      </c>
    </row>
    <row r="110">
      <c r="A110" s="27" t="inlineStr">
        <is>
          <t>verifiedMonths[3].grossProfit</t>
        </is>
      </c>
      <c r="B110" s="5" t="n">
        <v>1350991.82</v>
      </c>
    </row>
    <row r="111">
      <c r="A111" s="27" t="inlineStr">
        <is>
          <t>verifiedMonths[3].operatingExpenses</t>
        </is>
      </c>
      <c r="B111" s="5" t="n">
        <v>713341.59</v>
      </c>
    </row>
    <row r="112">
      <c r="A112" s="27" t="inlineStr">
        <is>
          <t>verifiedMonths[3].netIncome</t>
        </is>
      </c>
      <c r="B112" s="5" t="n">
        <v>677429.8100000001</v>
      </c>
    </row>
    <row r="113">
      <c r="A113" s="27" t="inlineStr">
        <is>
          <t>verifiedMonths[3].grossMarginPct</t>
        </is>
      </c>
      <c r="B113" s="6" t="n">
        <v>0.2940835672445598</v>
      </c>
    </row>
    <row r="114">
      <c r="A114" s="27" t="inlineStr">
        <is>
          <t>verifiedMonths[3].netMarginPct</t>
        </is>
      </c>
      <c r="B114" s="6" t="n">
        <v>0.1474627544988424</v>
      </c>
    </row>
    <row r="115">
      <c r="A115" s="27" t="inlineStr">
        <is>
          <t>verifiedMonths[3].month</t>
        </is>
      </c>
      <c r="B115" s="13" t="inlineStr">
        <is>
          <t>2026-04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2026-05-07T03:58:43Z</dcterms:created>
  <dcterms:modified xsi:type="dcterms:W3CDTF">2026-05-07T03:58:43Z</dcterms:modified>
</cp:coreProperties>
</file>