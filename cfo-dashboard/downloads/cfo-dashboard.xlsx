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Summary" sheetId="1" state="visible" r:id="rId1"/>
    <sheet name="2. P&amp;L Dashboard" sheetId="2" state="visible" r:id="rId2"/>
    <sheet name="3. Period Comparison" sheetId="3" state="visible" r:id="rId3"/>
    <sheet name="4. Deep Dive" sheetId="4" state="visible" r:id="rId4"/>
    <sheet name="5. Forecast" sheetId="5" state="visible" r:id="rId5"/>
    <sheet name="6. Trends" sheetId="6" state="visible" r:id="rId6"/>
    <sheet name="7. Segments" sheetId="7" state="visible" r:id="rId7"/>
    <sheet name="8. Working Capital" sheetId="8" state="visible" r:id="rId8"/>
    <sheet name="9. Scenarios" sheetId="9" state="visible" r:id="rId9"/>
    <sheet name="10. Industry Benchmark" sheetId="10" state="visible" r:id="rId10"/>
    <sheet name="11. Action Flags" sheetId="11" state="visible" r:id="rId11"/>
    <sheet name="12. Raw snapshot.js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;[Red]-&quot;$&quot;#,##0"/>
    <numFmt numFmtId="165" formatCode="0.00%;[Red]-0.00%"/>
    <numFmt numFmtId="166" formatCode="0.0&quot;x&quot;"/>
  </numFmts>
  <fonts count="10">
    <font>
      <name val="Calibri"/>
      <family val="2"/>
      <color theme="1"/>
      <sz val="11"/>
      <scheme val="minor"/>
    </font>
    <font>
      <name val="Calibri"/>
      <b val="1"/>
      <color rgb="000B1220"/>
      <sz val="18"/>
    </font>
    <font>
      <name val="Calibri"/>
      <i val="1"/>
      <color rgb="00666666"/>
      <sz val="10"/>
    </font>
    <font>
      <name val="Calibri"/>
      <b val="1"/>
      <color rgb="00FFFFFF"/>
      <sz val="11"/>
    </font>
    <font>
      <b val="1"/>
    </font>
    <font/>
    <font>
      <name val="Calibri"/>
      <b val="1"/>
      <sz val="11"/>
    </font>
    <font>
      <b val="1"/>
      <sz val="12"/>
    </font>
    <font>
      <name val="Calibri"/>
      <b val="1"/>
      <color rgb="00333333"/>
      <sz val="12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4D8DF6"/>
      </patternFill>
    </fill>
    <fill>
      <patternFill patternType="solid">
        <fgColor rgb="00EAF1FE"/>
      </patternFill>
    </fill>
    <fill>
      <patternFill patternType="solid">
        <fgColor rgb="00FCE0E0"/>
      </patternFill>
    </fill>
    <fill>
      <patternFill patternType="solid">
        <fgColor rgb="00DDF7E7"/>
      </patternFill>
    </fill>
    <fill>
      <patternFill patternType="solid">
        <fgColor rgb="00FFF1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164" fontId="6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164" fontId="7" fillId="3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2" customWidth="1" min="5" max="5"/>
    <col width="18" customWidth="1" min="6" max="6"/>
  </cols>
  <sheetData>
    <row r="1" ht="28" customHeight="1">
      <c r="A1" s="1" t="inlineStr">
        <is>
          <t>CFO Dashboard — Midwest Design Group LLC</t>
        </is>
      </c>
    </row>
    <row r="2">
      <c r="A2" s="2" t="inlineStr">
        <is>
          <t>Commercial and Institutional Building Construction (NAICS 236220)  ·  As of 2026-05-07  ·  Source: QuickBooks Online (live, via QuickBooks MCP)</t>
        </is>
      </c>
    </row>
    <row r="4">
      <c r="A4" s="3" t="inlineStr">
        <is>
          <t>Metric</t>
        </is>
      </c>
      <c r="B4" s="3" t="inlineStr">
        <is>
          <t>Current (YTD 2026)</t>
        </is>
      </c>
      <c r="C4" s="3" t="inlineStr">
        <is>
          <t>Prior (FY 2025)</t>
        </is>
      </c>
      <c r="D4" s="3" t="inlineStr">
        <is>
          <t>Δ vs prior</t>
        </is>
      </c>
      <c r="E4" s="3" t="inlineStr">
        <is>
          <t>Δ %</t>
        </is>
      </c>
      <c r="F4" s="3" t="inlineStr">
        <is>
          <t>2 yrs prior (FY 2024)</t>
        </is>
      </c>
    </row>
    <row r="5">
      <c r="A5" s="4" t="inlineStr">
        <is>
          <t>Revenue</t>
        </is>
      </c>
      <c r="B5" s="5" t="n">
        <v>19376770.19</v>
      </c>
      <c r="C5" s="5" t="n">
        <v>40491815.42</v>
      </c>
      <c r="D5" s="5">
        <f>B5-C5</f>
        <v/>
      </c>
      <c r="E5" s="6">
        <f>IFERROR((B5-C5)/ABS(C5),"")</f>
        <v/>
      </c>
      <c r="F5" s="5" t="n">
        <v>39537774.9</v>
      </c>
    </row>
    <row r="6">
      <c r="A6" s="4" t="inlineStr">
        <is>
          <t>Gross Profit</t>
        </is>
      </c>
      <c r="B6" s="5" t="n">
        <v>5267780.53</v>
      </c>
      <c r="C6" s="5" t="n">
        <v>12736678.98</v>
      </c>
      <c r="D6" s="5">
        <f>B6-C6</f>
        <v/>
      </c>
      <c r="E6" s="6">
        <f>IFERROR((B6-C6)/ABS(C6),"")</f>
        <v/>
      </c>
      <c r="F6" s="5" t="n">
        <v>11102557.97</v>
      </c>
    </row>
    <row r="7">
      <c r="A7" s="4" t="inlineStr">
        <is>
          <t>Gross Margin %</t>
        </is>
      </c>
      <c r="B7" s="6" t="n">
        <v>0.2718606082616702</v>
      </c>
      <c r="C7" s="6" t="n">
        <v>0.314549467537803</v>
      </c>
      <c r="D7" s="6">
        <f>B7-C7</f>
        <v/>
      </c>
      <c r="E7" s="6">
        <f>IFERROR((B7-C7)/ABS(C7),"")</f>
        <v/>
      </c>
      <c r="F7" s="6" t="n">
        <v>0.2808088719732179</v>
      </c>
    </row>
    <row r="8">
      <c r="A8" s="4" t="inlineStr">
        <is>
          <t>Operating Expenses</t>
        </is>
      </c>
      <c r="B8" s="5" t="n">
        <v>3480138.73</v>
      </c>
      <c r="C8" s="5" t="n">
        <v>9925912.359999999</v>
      </c>
      <c r="D8" s="5">
        <f>B8-C8</f>
        <v/>
      </c>
      <c r="E8" s="6">
        <f>IFERROR((B8-C8)/ABS(C8),"")</f>
        <v/>
      </c>
      <c r="F8" s="5" t="n">
        <v>8249044.14</v>
      </c>
    </row>
    <row r="9">
      <c r="A9" s="4" t="inlineStr">
        <is>
          <t>Net Income</t>
        </is>
      </c>
      <c r="B9" s="5" t="n">
        <v>1661587.75</v>
      </c>
      <c r="C9" s="5" t="n">
        <v>2810766.62</v>
      </c>
      <c r="D9" s="5">
        <f>B9-C9</f>
        <v/>
      </c>
      <c r="E9" s="6">
        <f>IFERROR((B9-C9)/ABS(C9),"")</f>
        <v/>
      </c>
      <c r="F9" s="5" t="n">
        <v>2899162.56</v>
      </c>
    </row>
    <row r="10">
      <c r="A10" s="4" t="inlineStr">
        <is>
          <t>Net Margin %</t>
        </is>
      </c>
      <c r="B10" s="6" t="n">
        <v>0.08575153308354315</v>
      </c>
      <c r="C10" s="6" t="n">
        <v>0.06941567304022843</v>
      </c>
      <c r="D10" s="6">
        <f>B10-C10</f>
        <v/>
      </c>
      <c r="E10" s="6">
        <f>IFERROR((B10-C10)/ABS(C10),"")</f>
        <v/>
      </c>
      <c r="F10" s="6" t="n">
        <v>0.07332639652415061</v>
      </c>
    </row>
    <row r="11">
      <c r="A11" s="4" t="inlineStr">
        <is>
          <t>Cash Position (end of period)</t>
        </is>
      </c>
      <c r="B11" s="5" t="n">
        <v>-602042.66</v>
      </c>
      <c r="C11" s="5" t="n">
        <v>-243937.55</v>
      </c>
      <c r="D11" s="5">
        <f>B11-C11</f>
        <v/>
      </c>
      <c r="E11" s="6">
        <f>IFERROR((B11-C11)/ABS(C11),"")</f>
        <v/>
      </c>
    </row>
    <row r="12">
      <c r="A12" s="4" t="inlineStr">
        <is>
          <t>Operating cash YTD</t>
        </is>
      </c>
      <c r="B12" s="5" t="n">
        <v>760034.3</v>
      </c>
      <c r="C12" s="5" t="n">
        <v>1607367.49</v>
      </c>
      <c r="D12" s="5">
        <f>B12-C12</f>
        <v/>
      </c>
      <c r="E12" s="6">
        <f>IFERROR((B12-C12)/ABS(C12),"")</f>
        <v/>
      </c>
    </row>
    <row r="14">
      <c r="A14" s="2" t="inlineStr">
        <is>
          <t>Δ and Δ% are live Excel formulas — edit B/C columns and they recompute.</t>
        </is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Profit &amp; Loss</t>
        </is>
      </c>
    </row>
    <row r="2">
      <c r="A2" s="2" t="inlineStr">
        <is>
          <t>YTD 2026 (2026-01-01 → 2026-05-07) vs FY 2025</t>
        </is>
      </c>
    </row>
    <row r="4">
      <c r="A4" s="3" t="inlineStr">
        <is>
          <t>Line item</t>
        </is>
      </c>
      <c r="B4" s="3" t="inlineStr">
        <is>
          <t>YTD 2026</t>
        </is>
      </c>
      <c r="C4" s="3" t="inlineStr">
        <is>
          <t>FY 2025</t>
        </is>
      </c>
      <c r="D4" s="3" t="inlineStr">
        <is>
          <t>$ Variance</t>
        </is>
      </c>
      <c r="E4" s="3" t="inlineStr">
        <is>
          <t>% Variance</t>
        </is>
      </c>
    </row>
    <row r="5">
      <c r="A5" s="7" t="inlineStr">
        <is>
          <t>Revenue</t>
        </is>
      </c>
      <c r="B5" s="5" t="n">
        <v>19376770.19</v>
      </c>
      <c r="C5" s="5" t="n">
        <v>40491815.42</v>
      </c>
      <c r="D5" s="5">
        <f>B5-C5</f>
        <v/>
      </c>
      <c r="E5" s="6">
        <f>IFERROR((B5-C5)/ABS(C5),"")</f>
        <v/>
      </c>
    </row>
    <row r="6">
      <c r="A6" s="8" t="inlineStr">
        <is>
          <t xml:space="preserve">  Cost of Goods Sold (COGS)</t>
        </is>
      </c>
      <c r="B6" s="5" t="n">
        <v>14108989.66</v>
      </c>
      <c r="C6" s="5" t="n">
        <v>27755136.44</v>
      </c>
      <c r="D6" s="5">
        <f>B6-C6</f>
        <v/>
      </c>
      <c r="E6" s="6">
        <f>IFERROR((B6-C6)/ABS(C6),"")</f>
        <v/>
      </c>
    </row>
    <row r="7">
      <c r="A7" s="9" t="inlineStr">
        <is>
          <t>Gross Profit (Revenue − COGS)</t>
        </is>
      </c>
      <c r="B7" s="10">
        <f>B5-B6</f>
        <v/>
      </c>
      <c r="C7" s="10">
        <f>C5-C6</f>
        <v/>
      </c>
      <c r="D7" s="11">
        <f>B7-C7</f>
        <v/>
      </c>
      <c r="E7" s="12">
        <f>IFERROR((B7-C7)/ABS(C7),"")</f>
        <v/>
      </c>
    </row>
    <row r="8">
      <c r="A8" s="13" t="inlineStr">
        <is>
          <t xml:space="preserve">  Gross Margin %</t>
        </is>
      </c>
      <c r="B8" s="6">
        <f>IFERROR(B7/B5,0)</f>
        <v/>
      </c>
      <c r="C8" s="6">
        <f>IFERROR(C7/C5,0)</f>
        <v/>
      </c>
      <c r="D8" s="6">
        <f>B8-C8</f>
        <v/>
      </c>
      <c r="E8" s="13" t="inlineStr"/>
    </row>
    <row r="9">
      <c r="A9" s="8" t="inlineStr">
        <is>
          <t xml:space="preserve">  Operating Expenses</t>
        </is>
      </c>
      <c r="B9" s="5" t="n">
        <v>3480138.73</v>
      </c>
      <c r="C9" s="5" t="n">
        <v>9925912.359999999</v>
      </c>
      <c r="D9" s="5">
        <f>B9-C9</f>
        <v/>
      </c>
      <c r="E9" s="6">
        <f>IFERROR((B9-C9)/ABS(C9),"")</f>
        <v/>
      </c>
    </row>
    <row r="10">
      <c r="A10" s="14" t="inlineStr">
        <is>
          <t>Net Income (Revenue − COGS − OpEx)</t>
        </is>
      </c>
      <c r="B10" s="15">
        <f>B7-B9</f>
        <v/>
      </c>
      <c r="C10" s="15">
        <f>C7-C9</f>
        <v/>
      </c>
      <c r="D10" s="11">
        <f>B10-C10</f>
        <v/>
      </c>
      <c r="E10" s="12">
        <f>IFERROR((B10-C10)/ABS(C10),"")</f>
        <v/>
      </c>
    </row>
    <row r="11">
      <c r="A11" s="13" t="inlineStr">
        <is>
          <t xml:space="preserve">  Net Margin %</t>
        </is>
      </c>
      <c r="B11" s="6">
        <f>IFERROR(B10/B5,0)</f>
        <v/>
      </c>
      <c r="C11" s="6">
        <f>IFERROR(C10/C5,0)</f>
        <v/>
      </c>
      <c r="D11" s="6">
        <f>B11-C11</f>
        <v/>
      </c>
      <c r="E11" s="13" t="inlineStr"/>
    </row>
    <row r="13">
      <c r="A13" s="2" t="inlineStr">
        <is>
          <t>All bold rows are live Excel formulas. Change Revenue or COGS and Gross Profit, GM%, Net Income, NM% all recompute.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Period Comparison</t>
        </is>
      </c>
    </row>
    <row r="2">
      <c r="A2" s="2" t="inlineStr">
        <is>
          <t>Year-over-year + 2-year CAGR for every key metric.</t>
        </is>
      </c>
    </row>
    <row r="4">
      <c r="A4" s="3" t="inlineStr">
        <is>
          <t>Metric</t>
        </is>
      </c>
      <c r="B4" s="3" t="inlineStr">
        <is>
          <t>YTD 2026</t>
        </is>
      </c>
      <c r="C4" s="3" t="inlineStr">
        <is>
          <t>FY 2025</t>
        </is>
      </c>
      <c r="D4" s="3" t="inlineStr">
        <is>
          <t>FY 2024</t>
        </is>
      </c>
      <c r="E4" s="3" t="inlineStr">
        <is>
          <t>YoY %</t>
        </is>
      </c>
      <c r="F4" s="3" t="inlineStr">
        <is>
          <t>2-yr CAGR</t>
        </is>
      </c>
    </row>
    <row r="5">
      <c r="A5" s="4" t="inlineStr">
        <is>
          <t>Revenue</t>
        </is>
      </c>
      <c r="B5" s="5" t="n">
        <v>19376770.19</v>
      </c>
      <c r="C5" s="5" t="n">
        <v>40491815.42</v>
      </c>
      <c r="D5" s="5" t="n">
        <v>39537774.9</v>
      </c>
      <c r="E5" s="6">
        <f>IFERROR((B5-C5)/ABS(C5),"")</f>
        <v/>
      </c>
      <c r="F5" s="6">
        <f>IFERROR((B5/D5)^(1/2)-1,"")</f>
        <v/>
      </c>
    </row>
    <row r="6">
      <c r="A6" s="4" t="inlineStr">
        <is>
          <t>Gross Profit</t>
        </is>
      </c>
      <c r="B6" s="5" t="n">
        <v>5267780.53</v>
      </c>
      <c r="C6" s="5" t="n">
        <v>12736678.98</v>
      </c>
      <c r="D6" s="5" t="n">
        <v>11102557.97</v>
      </c>
      <c r="E6" s="6">
        <f>IFERROR((B6-C6)/ABS(C6),"")</f>
        <v/>
      </c>
      <c r="F6" s="6">
        <f>IFERROR((B6/D6)^(1/2)-1,"")</f>
        <v/>
      </c>
    </row>
    <row r="7">
      <c r="A7" s="4" t="inlineStr">
        <is>
          <t>Gross Margin %</t>
        </is>
      </c>
      <c r="B7" s="6" t="n">
        <v>0.2718606082616702</v>
      </c>
      <c r="C7" s="6" t="n">
        <v>0.314549467537803</v>
      </c>
      <c r="D7" s="6" t="n">
        <v>0.2808088719732179</v>
      </c>
      <c r="E7" s="6">
        <f>IFERROR((B7-C7)/ABS(C7),"")</f>
        <v/>
      </c>
    </row>
    <row r="8">
      <c r="A8" s="4" t="inlineStr">
        <is>
          <t>Operating Expenses</t>
        </is>
      </c>
      <c r="B8" s="5" t="n">
        <v>3480138.73</v>
      </c>
      <c r="C8" s="5" t="n">
        <v>9925912.359999999</v>
      </c>
      <c r="D8" s="5" t="n">
        <v>8249044.14</v>
      </c>
      <c r="E8" s="6">
        <f>IFERROR((B8-C8)/ABS(C8),"")</f>
        <v/>
      </c>
      <c r="F8" s="6">
        <f>IFERROR((B8/D8)^(1/2)-1,"")</f>
        <v/>
      </c>
    </row>
    <row r="9">
      <c r="A9" s="4" t="inlineStr">
        <is>
          <t>Net Income</t>
        </is>
      </c>
      <c r="B9" s="5" t="n">
        <v>1661587.75</v>
      </c>
      <c r="C9" s="5" t="n">
        <v>2810766.62</v>
      </c>
      <c r="D9" s="5" t="n">
        <v>2899162.56</v>
      </c>
      <c r="E9" s="6">
        <f>IFERROR((B9-C9)/ABS(C9),"")</f>
        <v/>
      </c>
      <c r="F9" s="6">
        <f>IFERROR((B9/D9)^(1/2)-1,"")</f>
        <v/>
      </c>
    </row>
    <row r="10">
      <c r="A10" s="4" t="inlineStr">
        <is>
          <t>Net Margin %</t>
        </is>
      </c>
      <c r="B10" s="6" t="n">
        <v>0.08575153308354315</v>
      </c>
      <c r="C10" s="6" t="n">
        <v>0.06941567304022843</v>
      </c>
      <c r="D10" s="6" t="n">
        <v>0.07332639652415061</v>
      </c>
      <c r="E10" s="6">
        <f>IFERROR((B10-C10)/ABS(C10),"")</f>
        <v/>
      </c>
    </row>
    <row r="13">
      <c r="A13" s="16" t="inlineStr">
        <is>
          <t>Month vs Month (verified months)</t>
        </is>
      </c>
    </row>
    <row r="14">
      <c r="A14" s="3" t="inlineStr">
        <is>
          <t>Month</t>
        </is>
      </c>
      <c r="B14" s="3" t="inlineStr">
        <is>
          <t>Revenue</t>
        </is>
      </c>
      <c r="C14" s="3" t="inlineStr">
        <is>
          <t>COGS</t>
        </is>
      </c>
      <c r="D14" s="3" t="inlineStr">
        <is>
          <t>Gross Profit</t>
        </is>
      </c>
      <c r="E14" s="3" t="inlineStr">
        <is>
          <t>GM %</t>
        </is>
      </c>
      <c r="F14" s="3" t="inlineStr">
        <is>
          <t>OpEx</t>
        </is>
      </c>
      <c r="G14" s="3" t="inlineStr">
        <is>
          <t>Net Income</t>
        </is>
      </c>
      <c r="H14" s="3" t="inlineStr">
        <is>
          <t>NM %</t>
        </is>
      </c>
    </row>
    <row r="15">
      <c r="A15" s="13" t="inlineStr">
        <is>
          <t>2025-01</t>
        </is>
      </c>
      <c r="B15" s="5" t="n">
        <v>2041295.53</v>
      </c>
      <c r="C15" s="5" t="n">
        <v>1705779.19</v>
      </c>
      <c r="D15" s="5">
        <f>B15-C15</f>
        <v/>
      </c>
      <c r="E15" s="6">
        <f>IFERROR(D15/B15,0)</f>
        <v/>
      </c>
      <c r="F15" s="5" t="n">
        <v>917633.4300000001</v>
      </c>
      <c r="G15" s="5">
        <f>D15-F15</f>
        <v/>
      </c>
      <c r="H15" s="6">
        <f>IFERROR(G15/B15,0)</f>
        <v/>
      </c>
    </row>
    <row r="16">
      <c r="A16" s="13" t="inlineStr">
        <is>
          <t>2025-04</t>
        </is>
      </c>
      <c r="B16" s="5" t="n">
        <v>2424157.48</v>
      </c>
      <c r="C16" s="5" t="n">
        <v>1668995.34</v>
      </c>
      <c r="D16" s="5">
        <f>B16-C16</f>
        <v/>
      </c>
      <c r="E16" s="6">
        <f>IFERROR(D16/B16,0)</f>
        <v/>
      </c>
      <c r="F16" s="5" t="n">
        <v>836162.72</v>
      </c>
      <c r="G16" s="5">
        <f>D16-F16</f>
        <v/>
      </c>
      <c r="H16" s="6">
        <f>IFERROR(G16/B16,0)</f>
        <v/>
      </c>
    </row>
    <row r="17">
      <c r="A17" s="13" t="inlineStr">
        <is>
          <t>2026-03</t>
        </is>
      </c>
      <c r="B17" s="5" t="n">
        <v>5290349.77</v>
      </c>
      <c r="C17" s="5" t="n">
        <v>3616852.68</v>
      </c>
      <c r="D17" s="5">
        <f>B17-C17</f>
        <v/>
      </c>
      <c r="E17" s="6">
        <f>IFERROR(D17/B17,0)</f>
        <v/>
      </c>
      <c r="F17" s="5" t="n">
        <v>897079.72</v>
      </c>
      <c r="G17" s="5">
        <f>D17-F17</f>
        <v/>
      </c>
      <c r="H17" s="6">
        <f>IFERROR(G17/B17,0)</f>
        <v/>
      </c>
    </row>
    <row r="18">
      <c r="A18" s="13" t="inlineStr">
        <is>
          <t>2026-04</t>
        </is>
      </c>
      <c r="B18" s="5" t="n">
        <v>4593904.49</v>
      </c>
      <c r="C18" s="5" t="n">
        <v>3242912.67</v>
      </c>
      <c r="D18" s="5">
        <f>B18-C18</f>
        <v/>
      </c>
      <c r="E18" s="6">
        <f>IFERROR(D18/B18,0)</f>
        <v/>
      </c>
      <c r="F18" s="5" t="n">
        <v>713341.59</v>
      </c>
      <c r="G18" s="5">
        <f>D18-F18</f>
        <v/>
      </c>
      <c r="H18" s="6">
        <f>IFERROR(G18/B18,0)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Deep Dive Analysis</t>
        </is>
      </c>
    </row>
    <row r="4">
      <c r="A4" s="16" t="inlineStr">
        <is>
          <t>Revenue &amp; profitability mix</t>
        </is>
      </c>
    </row>
    <row r="5">
      <c r="A5" s="3" t="inlineStr">
        <is>
          <t>Metric</t>
        </is>
      </c>
      <c r="B5" s="3" t="inlineStr">
        <is>
          <t>YTD 2026</t>
        </is>
      </c>
      <c r="C5" s="3" t="inlineStr">
        <is>
          <t>FY 2025</t>
        </is>
      </c>
      <c r="D5" s="3" t="inlineStr">
        <is>
          <t>Δ</t>
        </is>
      </c>
    </row>
    <row r="6">
      <c r="A6" s="4" t="inlineStr">
        <is>
          <t>Revenue</t>
        </is>
      </c>
      <c r="B6" s="5" t="n">
        <v>19376770.19</v>
      </c>
      <c r="C6" s="5" t="n">
        <v>40491815.42</v>
      </c>
      <c r="D6" s="5">
        <f>B6-C6</f>
        <v/>
      </c>
    </row>
    <row r="7">
      <c r="A7" s="4" t="inlineStr">
        <is>
          <t>COGS</t>
        </is>
      </c>
      <c r="B7" s="5" t="n">
        <v>14108989.66</v>
      </c>
      <c r="C7" s="5" t="n">
        <v>27755136.44</v>
      </c>
      <c r="D7" s="5">
        <f>B7-C7</f>
        <v/>
      </c>
    </row>
    <row r="8">
      <c r="A8" s="4" t="inlineStr">
        <is>
          <t>Gross Profit</t>
        </is>
      </c>
      <c r="B8" s="5" t="n">
        <v>5267780.53</v>
      </c>
      <c r="C8" s="5" t="n">
        <v>12736678.98</v>
      </c>
      <c r="D8" s="5">
        <f>B8-C8</f>
        <v/>
      </c>
    </row>
    <row r="9">
      <c r="A9" s="4" t="inlineStr">
        <is>
          <t>Gross Margin %</t>
        </is>
      </c>
      <c r="B9" s="6" t="n">
        <v>0.2718606082616702</v>
      </c>
      <c r="C9" s="6" t="n">
        <v>0.314549467537803</v>
      </c>
      <c r="D9" s="6">
        <f>B9-C9</f>
        <v/>
      </c>
    </row>
    <row r="10">
      <c r="A10" s="4" t="inlineStr">
        <is>
          <t>Operating Expenses</t>
        </is>
      </c>
      <c r="B10" s="5" t="n">
        <v>3480138.73</v>
      </c>
      <c r="C10" s="5" t="n">
        <v>9925912.359999999</v>
      </c>
      <c r="D10" s="5">
        <f>B10-C10</f>
        <v/>
      </c>
    </row>
    <row r="11">
      <c r="A11" s="4" t="inlineStr">
        <is>
          <t>Net Income</t>
        </is>
      </c>
      <c r="B11" s="5" t="n">
        <v>1661587.75</v>
      </c>
      <c r="C11" s="5" t="n">
        <v>2810766.62</v>
      </c>
      <c r="D11" s="5">
        <f>B11-C11</f>
        <v/>
      </c>
    </row>
    <row r="14">
      <c r="A14" s="16" t="inlineStr">
        <is>
          <t>Cash flow decomposition (live formula sums)</t>
        </is>
      </c>
    </row>
    <row r="15">
      <c r="A15" s="3" t="inlineStr">
        <is>
          <t>Activity</t>
        </is>
      </c>
      <c r="B15" s="3" t="inlineStr">
        <is>
          <t>YTD 2026</t>
        </is>
      </c>
      <c r="C15" s="3" t="inlineStr">
        <is>
          <t>FY 2025</t>
        </is>
      </c>
      <c r="D15" s="3" t="inlineStr">
        <is>
          <t>Δ</t>
        </is>
      </c>
    </row>
    <row r="16">
      <c r="A16" s="13" t="inlineStr">
        <is>
          <t>Operating activities</t>
        </is>
      </c>
      <c r="B16" s="5" t="n">
        <v>760034.3</v>
      </c>
      <c r="C16" s="5" t="n">
        <v>1607367.49</v>
      </c>
      <c r="D16" s="5">
        <f>B16-C16</f>
        <v/>
      </c>
    </row>
    <row r="17">
      <c r="A17" s="13" t="inlineStr">
        <is>
          <t>Investing activities</t>
        </is>
      </c>
      <c r="B17" s="5" t="n">
        <v>212852.1</v>
      </c>
      <c r="C17" s="5" t="n">
        <v>179545.59</v>
      </c>
      <c r="D17" s="5">
        <f>B17-C17</f>
        <v/>
      </c>
    </row>
    <row r="18">
      <c r="A18" s="13" t="inlineStr">
        <is>
          <t>Financing activities</t>
        </is>
      </c>
      <c r="B18" s="5" t="n">
        <v>-1330991.51</v>
      </c>
      <c r="C18" s="5" t="n">
        <v>-1432655.18</v>
      </c>
      <c r="D18" s="5">
        <f>B18-C18</f>
        <v/>
      </c>
    </row>
    <row r="19">
      <c r="A19" s="7" t="inlineStr">
        <is>
          <t>Net cash change (live sum of above)</t>
        </is>
      </c>
      <c r="B19" s="17">
        <f>SUM(B16:B18)</f>
        <v/>
      </c>
      <c r="C19" s="17">
        <f>SUM(C16:C18)</f>
        <v/>
      </c>
      <c r="D19" s="11">
        <f>B19-C19</f>
        <v/>
      </c>
    </row>
    <row r="20">
      <c r="A20" s="13" t="inlineStr">
        <is>
          <t>Cash at beginning</t>
        </is>
      </c>
      <c r="B20" s="5" t="n">
        <v>-243937.55</v>
      </c>
      <c r="C20" s="5" t="n">
        <v>-598195.45</v>
      </c>
      <c r="D20" s="5">
        <f>B20-C20</f>
        <v/>
      </c>
    </row>
    <row r="21">
      <c r="A21" s="7" t="inlineStr">
        <is>
          <t>Cash at end of period (live: beginning + net change)</t>
        </is>
      </c>
      <c r="B21" s="17">
        <f>B20+B19</f>
        <v/>
      </c>
      <c r="C21" s="17">
        <f>C20+C19</f>
        <v/>
      </c>
      <c r="D21" s="11">
        <f>B21-C21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4" customWidth="1" min="4" max="4"/>
    <col width="24" customWidth="1" min="5" max="5"/>
  </cols>
  <sheetData>
    <row r="1">
      <c r="A1" s="1" t="inlineStr">
        <is>
          <t>Forecast &amp; Year-End Projection</t>
        </is>
      </c>
    </row>
    <row r="2">
      <c r="A2" s="2" t="inlineStr">
        <is>
          <t>5 of 12 months completed · 7 remaining. Year-End Forecast = YTD + (Avg Monthly × Remaining).</t>
        </is>
      </c>
    </row>
    <row r="4">
      <c r="A4" s="3" t="inlineStr">
        <is>
          <t>Metric</t>
        </is>
      </c>
      <c r="B4" s="3" t="inlineStr">
        <is>
          <t>YTD actual</t>
        </is>
      </c>
      <c r="C4" s="3" t="inlineStr">
        <is>
          <t>Avg monthly</t>
        </is>
      </c>
      <c r="D4" s="3" t="inlineStr">
        <is>
          <t>Year-end forecast (live)</t>
        </is>
      </c>
      <c r="E4" s="3" t="inlineStr">
        <is>
          <t>Run-rate (avg × 12, live)</t>
        </is>
      </c>
    </row>
    <row r="5">
      <c r="A5" s="4" t="inlineStr">
        <is>
          <t>Revenue</t>
        </is>
      </c>
      <c r="B5" s="5" t="n">
        <v>19376770.19</v>
      </c>
      <c r="C5" s="5" t="n">
        <v>3875354.04</v>
      </c>
      <c r="D5" s="5">
        <f>B5+C5*7</f>
        <v/>
      </c>
      <c r="E5" s="5">
        <f>C5*12</f>
        <v/>
      </c>
    </row>
    <row r="6">
      <c r="A6" s="4" t="inlineStr">
        <is>
          <t>Gross Profit</t>
        </is>
      </c>
      <c r="B6" s="5" t="n">
        <v>5267780.53</v>
      </c>
      <c r="C6" s="5" t="n">
        <v>1053556.11</v>
      </c>
      <c r="D6" s="5">
        <f>B6+C6*7</f>
        <v/>
      </c>
      <c r="E6" s="5">
        <f>C6*12</f>
        <v/>
      </c>
    </row>
    <row r="7">
      <c r="A7" s="4" t="inlineStr">
        <is>
          <t>Operating Expenses</t>
        </is>
      </c>
      <c r="B7" s="5" t="n">
        <v>3480138.73</v>
      </c>
      <c r="C7" s="5" t="n">
        <v>696027.75</v>
      </c>
      <c r="D7" s="5">
        <f>B7+C7*7</f>
        <v/>
      </c>
      <c r="E7" s="5">
        <f>C7*12</f>
        <v/>
      </c>
    </row>
    <row r="8">
      <c r="A8" s="4" t="inlineStr">
        <is>
          <t>Net Income</t>
        </is>
      </c>
      <c r="B8" s="5" t="n">
        <v>1661587.75</v>
      </c>
      <c r="C8" s="5" t="n">
        <v>332317.55</v>
      </c>
      <c r="D8" s="5">
        <f>B8+C8*7</f>
        <v/>
      </c>
      <c r="E8" s="5">
        <f>C8*12</f>
        <v/>
      </c>
    </row>
    <row r="10">
      <c r="A10" s="4" t="inlineStr">
        <is>
          <t>Year-end Gross Margin %</t>
        </is>
      </c>
      <c r="D10" s="6">
        <f>D6/D5</f>
        <v/>
      </c>
    </row>
    <row r="11">
      <c r="A11" s="4" t="inlineStr">
        <is>
          <t>Year-end Net Margin %</t>
        </is>
      </c>
      <c r="D11" s="6">
        <f>D8/D5</f>
        <v/>
      </c>
    </row>
    <row r="12">
      <c r="A12" s="4" t="inlineStr">
        <is>
          <t>Year-end Cash position</t>
        </is>
      </c>
      <c r="D12" s="5" t="n">
        <v>-1103389.81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2" customWidth="1" min="8" max="8"/>
  </cols>
  <sheetData>
    <row r="1">
      <c r="A1" s="1" t="inlineStr">
        <is>
          <t>Trends</t>
        </is>
      </c>
    </row>
    <row r="2">
      <c r="A2" s="2" t="inlineStr">
        <is>
          <t>Annual trend uses verified totals; monthly trend uses individually verified per-month QB queries.</t>
        </is>
      </c>
    </row>
    <row r="4">
      <c r="A4" s="3" t="inlineStr">
        <is>
          <t>Period</t>
        </is>
      </c>
      <c r="B4" s="3" t="inlineStr">
        <is>
          <t>Revenue</t>
        </is>
      </c>
      <c r="C4" s="3" t="inlineStr">
        <is>
          <t>Gross Profit</t>
        </is>
      </c>
      <c r="D4" s="3" t="inlineStr">
        <is>
          <t>GM %</t>
        </is>
      </c>
      <c r="E4" s="3" t="inlineStr">
        <is>
          <t>Net Income</t>
        </is>
      </c>
      <c r="F4" s="3" t="inlineStr">
        <is>
          <t>NM %</t>
        </is>
      </c>
    </row>
    <row r="5">
      <c r="A5" s="4" t="inlineStr">
        <is>
          <t>FY 2024</t>
        </is>
      </c>
      <c r="B5" s="5" t="n">
        <v>39537774.9</v>
      </c>
      <c r="C5" s="5" t="n">
        <v>11102557.97</v>
      </c>
      <c r="D5" s="6" t="n">
        <v>0.2808088719732179</v>
      </c>
      <c r="E5" s="5" t="n">
        <v>2899162.56</v>
      </c>
      <c r="F5" s="6" t="n">
        <v>0.07332639652415061</v>
      </c>
    </row>
    <row r="6">
      <c r="A6" s="4" t="inlineStr">
        <is>
          <t>FY 2025</t>
        </is>
      </c>
      <c r="B6" s="5" t="n">
        <v>40491815.42</v>
      </c>
      <c r="C6" s="5" t="n">
        <v>12736678.98</v>
      </c>
      <c r="D6" s="6" t="n">
        <v>0.314549467537803</v>
      </c>
      <c r="E6" s="5" t="n">
        <v>2810766.62</v>
      </c>
      <c r="F6" s="6" t="n">
        <v>0.06941567304022843</v>
      </c>
    </row>
    <row r="7">
      <c r="A7" s="4" t="inlineStr">
        <is>
          <t>YTD 2026</t>
        </is>
      </c>
      <c r="B7" s="5" t="n">
        <v>19376770.19</v>
      </c>
      <c r="C7" s="5" t="n">
        <v>5267780.53</v>
      </c>
      <c r="D7" s="6" t="n">
        <v>0.2718606082616702</v>
      </c>
      <c r="E7" s="5" t="n">
        <v>1661587.75</v>
      </c>
      <c r="F7" s="6" t="n">
        <v>0.08575153308354315</v>
      </c>
    </row>
    <row r="8">
      <c r="A8" s="4" t="inlineStr">
        <is>
          <t>2026 forecast</t>
        </is>
      </c>
      <c r="B8" s="5" t="n">
        <v>46504248.46</v>
      </c>
      <c r="C8" s="5" t="n">
        <v>12642673.27</v>
      </c>
      <c r="D8" s="6" t="n">
        <v>0.2718606081952797</v>
      </c>
      <c r="E8" s="5" t="n">
        <v>3987810.6</v>
      </c>
      <c r="F8" s="6" t="n">
        <v>0.08575153307616747</v>
      </c>
    </row>
    <row r="11">
      <c r="A11" s="16" t="inlineStr">
        <is>
          <t>Verified monthly P&amp;L</t>
        </is>
      </c>
    </row>
    <row r="12">
      <c r="A12" s="3" t="inlineStr">
        <is>
          <t>Month</t>
        </is>
      </c>
      <c r="B12" s="3" t="inlineStr">
        <is>
          <t>Revenue</t>
        </is>
      </c>
      <c r="C12" s="3" t="inlineStr">
        <is>
          <t>COGS</t>
        </is>
      </c>
      <c r="D12" s="3" t="inlineStr">
        <is>
          <t>Gross Profit</t>
        </is>
      </c>
      <c r="E12" s="3" t="inlineStr">
        <is>
          <t>OpEx</t>
        </is>
      </c>
      <c r="F12" s="3" t="inlineStr">
        <is>
          <t>Net Income</t>
        </is>
      </c>
      <c r="G12" s="3" t="inlineStr">
        <is>
          <t>GM %</t>
        </is>
      </c>
      <c r="H12" s="3" t="inlineStr">
        <is>
          <t>NM %</t>
        </is>
      </c>
    </row>
    <row r="13">
      <c r="A13" s="13" t="inlineStr">
        <is>
          <t>2025-01</t>
        </is>
      </c>
      <c r="B13" s="5" t="n">
        <v>2041295.53</v>
      </c>
      <c r="C13" s="5" t="n">
        <v>1705779.19</v>
      </c>
      <c r="D13" s="5" t="n">
        <v>335516.34</v>
      </c>
      <c r="E13" s="5" t="n">
        <v>917633.4300000001</v>
      </c>
      <c r="F13" s="5" t="n">
        <v>-582117</v>
      </c>
      <c r="G13" s="6" t="n">
        <v>0.1643644122416709</v>
      </c>
      <c r="H13" s="6" t="n">
        <v>-0.285170369231152</v>
      </c>
    </row>
    <row r="14">
      <c r="A14" s="13" t="inlineStr">
        <is>
          <t>2025-04</t>
        </is>
      </c>
      <c r="B14" s="5" t="n">
        <v>2424157.48</v>
      </c>
      <c r="C14" s="5" t="n">
        <v>1668995.34</v>
      </c>
      <c r="D14" s="5" t="n">
        <v>755162.14</v>
      </c>
      <c r="E14" s="5" t="n">
        <v>836162.72</v>
      </c>
      <c r="F14" s="5" t="n">
        <v>-69968.27</v>
      </c>
      <c r="G14" s="6" t="n">
        <v>0.3115152980902874</v>
      </c>
      <c r="H14" s="6" t="n">
        <v>-0.02886292271738056</v>
      </c>
    </row>
    <row r="15">
      <c r="A15" s="13" t="inlineStr">
        <is>
          <t>2026-03</t>
        </is>
      </c>
      <c r="B15" s="5" t="n">
        <v>5290349.77</v>
      </c>
      <c r="C15" s="5" t="n">
        <v>3616852.68</v>
      </c>
      <c r="D15" s="5" t="n">
        <v>1673497.09</v>
      </c>
      <c r="E15" s="5" t="n">
        <v>897079.72</v>
      </c>
      <c r="F15" s="5" t="n">
        <v>790908.5600000001</v>
      </c>
      <c r="G15" s="6" t="n">
        <v>0.3163301412488649</v>
      </c>
      <c r="H15" s="6" t="n">
        <v>0.1495002399434925</v>
      </c>
    </row>
    <row r="16">
      <c r="A16" s="13" t="inlineStr">
        <is>
          <t>2026-04</t>
        </is>
      </c>
      <c r="B16" s="5" t="n">
        <v>4593904.49</v>
      </c>
      <c r="C16" s="5" t="n">
        <v>3242912.67</v>
      </c>
      <c r="D16" s="5" t="n">
        <v>1350991.82</v>
      </c>
      <c r="E16" s="5" t="n">
        <v>713341.59</v>
      </c>
      <c r="F16" s="5" t="n">
        <v>677429.8100000001</v>
      </c>
      <c r="G16" s="6" t="n">
        <v>0.2940835672445598</v>
      </c>
      <c r="H16" s="6" t="n">
        <v>0.1474627544988424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Segments &amp; Cost Structure</t>
        </is>
      </c>
    </row>
    <row r="2">
      <c r="A2" s="2" t="inlineStr">
        <is>
          <t>Revenue mix, COGS structure, and OpEx structure for FP&amp;A and Strategy.</t>
        </is>
      </c>
    </row>
    <row r="4">
      <c r="A4" s="16" t="inlineStr">
        <is>
          <t>Revenue by income account</t>
        </is>
      </c>
    </row>
    <row r="5">
      <c r="A5" s="3" t="inlineStr">
        <is>
          <t>Account</t>
        </is>
      </c>
      <c r="B5" s="3" t="inlineStr">
        <is>
          <t>YTD 2026</t>
        </is>
      </c>
      <c r="C5" s="3" t="inlineStr">
        <is>
          <t>% of revenue (live)</t>
        </is>
      </c>
      <c r="D5" s="3" t="inlineStr">
        <is>
          <t>FY 2025</t>
        </is>
      </c>
    </row>
    <row r="6">
      <c r="A6" s="13" t="inlineStr">
        <is>
          <t>Drywall Division Material Income</t>
        </is>
      </c>
      <c r="B6" s="5" t="n">
        <v>20720.33</v>
      </c>
      <c r="C6" s="6">
        <f>B6/19376770.19</f>
        <v/>
      </c>
      <c r="D6" s="5" t="n">
        <v>2824148.9</v>
      </c>
    </row>
    <row r="7">
      <c r="A7" s="13" t="inlineStr">
        <is>
          <t>Drywall Supply Arbor Income</t>
        </is>
      </c>
      <c r="B7" s="5" t="n">
        <v>571765.41</v>
      </c>
      <c r="C7" s="6">
        <f>B7/19376770.19</f>
        <v/>
      </c>
      <c r="D7" s="5" t="n">
        <v>959002.74</v>
      </c>
    </row>
    <row r="8">
      <c r="A8" s="13" t="inlineStr">
        <is>
          <t>Drywall Supply Pulte Income</t>
        </is>
      </c>
      <c r="B8" s="5" t="n">
        <v>16823.83</v>
      </c>
      <c r="C8" s="6">
        <f>B8/19376770.19</f>
        <v/>
      </c>
      <c r="D8" s="5" t="n">
        <v>6230.22</v>
      </c>
    </row>
    <row r="9">
      <c r="A9" s="13" t="inlineStr">
        <is>
          <t>Engineering Project Income</t>
        </is>
      </c>
      <c r="B9" s="5" t="n">
        <v>206725</v>
      </c>
      <c r="C9" s="6">
        <f>B9/19376770.19</f>
        <v/>
      </c>
      <c r="D9" s="5" t="n">
        <v>709295</v>
      </c>
    </row>
    <row r="10">
      <c r="A10" s="13" t="inlineStr">
        <is>
          <t>Sales</t>
        </is>
      </c>
      <c r="B10" s="5" t="n">
        <v>4820</v>
      </c>
      <c r="C10" s="6">
        <f>B10/19376770.19</f>
        <v/>
      </c>
      <c r="D10" s="5" t="n">
        <v>13469.39</v>
      </c>
    </row>
    <row r="11">
      <c r="A11" s="13" t="inlineStr">
        <is>
          <t>Service/Fee Income</t>
        </is>
      </c>
      <c r="B11" s="5" t="n">
        <v>15924134.62</v>
      </c>
      <c r="C11" s="6">
        <f>B11/19376770.19</f>
        <v/>
      </c>
      <c r="D11" s="5" t="n">
        <v>33721642.66</v>
      </c>
    </row>
    <row r="12">
      <c r="A12" s="13" t="inlineStr">
        <is>
          <t>WIP Adj - Net change</t>
        </is>
      </c>
      <c r="B12" s="5" t="n">
        <v>2347599</v>
      </c>
      <c r="C12" s="6">
        <f>B12/19376770.19</f>
        <v/>
      </c>
      <c r="D12" s="5" t="n">
        <v>-1464686.27</v>
      </c>
    </row>
    <row r="15">
      <c r="A15" s="16" t="inlineStr">
        <is>
          <t>COGS structure (3 buckets)</t>
        </is>
      </c>
    </row>
    <row r="16">
      <c r="A16" s="3" t="inlineStr">
        <is>
          <t>Bucket</t>
        </is>
      </c>
      <c r="B16" s="3" t="inlineStr">
        <is>
          <t>YTD 2026</t>
        </is>
      </c>
      <c r="C16" s="3" t="inlineStr">
        <is>
          <t>% of COGS (live)</t>
        </is>
      </c>
      <c r="D16" s="3" t="inlineStr">
        <is>
          <t>FY 2025</t>
        </is>
      </c>
    </row>
    <row r="17">
      <c r="A17" s="13" t="inlineStr">
        <is>
          <t>Labor (contractors + direct)</t>
        </is>
      </c>
      <c r="B17" s="5" t="n">
        <v>6261029.85</v>
      </c>
      <c r="C17" s="6">
        <f>B17/14108989.66</f>
        <v/>
      </c>
      <c r="D17" s="5" t="n">
        <v>213374.44</v>
      </c>
    </row>
    <row r="18">
      <c r="A18" s="13" t="inlineStr">
        <is>
          <t>Materials &amp; supply</t>
        </is>
      </c>
      <c r="B18" s="5" t="n">
        <v>2745051.1</v>
      </c>
      <c r="C18" s="6">
        <f>B18/14108989.66</f>
        <v/>
      </c>
      <c r="D18" s="5" t="n">
        <v>9213980.66</v>
      </c>
    </row>
    <row r="19">
      <c r="A19" s="13" t="inlineStr">
        <is>
          <t>Job site &amp; rental</t>
        </is>
      </c>
      <c r="B19" s="5" t="n">
        <v>529849.5</v>
      </c>
      <c r="C19" s="6">
        <f>B19/14108989.66</f>
        <v/>
      </c>
      <c r="D19" s="5" t="n">
        <v>734785.45</v>
      </c>
    </row>
    <row r="22">
      <c r="A22" s="16" t="inlineStr">
        <is>
          <t>OpEx structure (6 buckets)</t>
        </is>
      </c>
    </row>
    <row r="23">
      <c r="A23" s="3" t="inlineStr">
        <is>
          <t>Bucket</t>
        </is>
      </c>
      <c r="B23" s="3" t="inlineStr">
        <is>
          <t>YTD 2026</t>
        </is>
      </c>
      <c r="C23" s="3" t="inlineStr">
        <is>
          <t>% of OpEx (live)</t>
        </is>
      </c>
      <c r="D23" s="3" t="inlineStr">
        <is>
          <t>FY 2025</t>
        </is>
      </c>
      <c r="E23" s="3" t="inlineStr">
        <is>
          <t>Δ %</t>
        </is>
      </c>
    </row>
    <row r="24">
      <c r="A24" s="13" t="inlineStr">
        <is>
          <t>Payroll &amp; benefits</t>
        </is>
      </c>
      <c r="B24" s="5" t="n">
        <v>1928101.09</v>
      </c>
      <c r="C24" s="6">
        <f>B24/3480138.73</f>
        <v/>
      </c>
      <c r="D24" s="5" t="n">
        <v>5521265.96</v>
      </c>
      <c r="E24" s="6">
        <f>IFERROR((B24-D24)/ABS(D24),"")</f>
        <v/>
      </c>
    </row>
    <row r="25">
      <c r="A25" s="13" t="inlineStr">
        <is>
          <t>Facilities (rent + utilities)</t>
        </is>
      </c>
      <c r="B25" s="5" t="n">
        <v>757455.8100000001</v>
      </c>
      <c r="C25" s="6">
        <f>B25/3480138.73</f>
        <v/>
      </c>
      <c r="D25" s="5" t="n">
        <v>1286006.54</v>
      </c>
      <c r="E25" s="6">
        <f>IFERROR((B25-D25)/ABS(D25),"")</f>
        <v/>
      </c>
    </row>
    <row r="26">
      <c r="A26" s="13" t="inlineStr">
        <is>
          <t>Vehicle / fleet</t>
        </is>
      </c>
      <c r="B26" s="5" t="n">
        <v>72850.52</v>
      </c>
      <c r="C26" s="6">
        <f>B26/3480138.73</f>
        <v/>
      </c>
      <c r="D26" s="5" t="n">
        <v>267046.97</v>
      </c>
      <c r="E26" s="6">
        <f>IFERROR((B26-D26)/ABS(D26),"")</f>
        <v/>
      </c>
    </row>
    <row r="27">
      <c r="A27" s="13" t="inlineStr">
        <is>
          <t>Insurance &amp; professional</t>
        </is>
      </c>
      <c r="B27" s="5" t="n">
        <v>191337.16</v>
      </c>
      <c r="C27" s="6">
        <f>B27/3480138.73</f>
        <v/>
      </c>
      <c r="D27" s="5" t="n">
        <v>823266</v>
      </c>
      <c r="E27" s="6">
        <f>IFERROR((B27-D27)/ABS(D27),"")</f>
        <v/>
      </c>
    </row>
    <row r="28">
      <c r="A28" s="13" t="inlineStr">
        <is>
          <t>G&amp;A (office, IT, dues, travel, M&amp;E)</t>
        </is>
      </c>
      <c r="B28" s="5" t="n">
        <v>64541.24</v>
      </c>
      <c r="C28" s="6">
        <f>B28/3480138.73</f>
        <v/>
      </c>
      <c r="D28" s="5" t="n">
        <v>157841.59</v>
      </c>
      <c r="E28" s="6">
        <f>IFERROR((B28-D28)/ABS(D28),"")</f>
        <v/>
      </c>
    </row>
    <row r="29">
      <c r="A29" s="13" t="inlineStr">
        <is>
          <t>Other OpEx</t>
        </is>
      </c>
      <c r="B29" s="5" t="n">
        <v>221218.59</v>
      </c>
      <c r="C29" s="6">
        <f>B29/3480138.73</f>
        <v/>
      </c>
      <c r="D29" s="5" t="n">
        <v>981759.21</v>
      </c>
      <c r="E29" s="6">
        <f>IFERROR((B29-D29)/ABS(D29),"")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4" customWidth="1" min="4" max="4"/>
    <col width="22" customWidth="1" min="5" max="5"/>
  </cols>
  <sheetData>
    <row r="1">
      <c r="A1" s="1" t="inlineStr">
        <is>
          <t>Working Capital — Controller / Treasury view</t>
        </is>
      </c>
    </row>
    <row r="2">
      <c r="A2" s="2" t="inlineStr">
        <is>
          <t>A/R, A/P, retainage, inventory, WIP. Drives free cash flow conversion.</t>
        </is>
      </c>
    </row>
    <row r="4">
      <c r="A4" s="3" t="inlineStr">
        <is>
          <t>Account</t>
        </is>
      </c>
      <c r="B4" s="3" t="inlineStr">
        <is>
          <t>YTD 2026</t>
        </is>
      </c>
      <c r="C4" s="3" t="inlineStr">
        <is>
          <t>FY 2025</t>
        </is>
      </c>
      <c r="D4" s="3" t="inlineStr">
        <is>
          <t>Δ %</t>
        </is>
      </c>
      <c r="E4" s="3" t="inlineStr">
        <is>
          <t>Cash impact</t>
        </is>
      </c>
    </row>
    <row r="5">
      <c r="A5" s="13" t="inlineStr">
        <is>
          <t>Accounts Receivable</t>
        </is>
      </c>
      <c r="B5" s="5" t="n">
        <v>-649262.0699999999</v>
      </c>
      <c r="C5" s="5" t="n">
        <v>-733947.11</v>
      </c>
      <c r="D5" s="6">
        <f>IFERROR((B5-C5)/ABS(C5),"")</f>
        <v/>
      </c>
      <c r="E5" s="18" t="inlineStr">
        <is>
          <t>Use of cash</t>
        </is>
      </c>
    </row>
    <row r="6">
      <c r="A6" s="13" t="inlineStr">
        <is>
          <t>Accounts Payable</t>
        </is>
      </c>
      <c r="B6" s="5" t="n">
        <v>286831.19</v>
      </c>
      <c r="C6" s="5" t="n">
        <v>712464.46</v>
      </c>
      <c r="D6" s="6">
        <f>IFERROR((B6-C6)/ABS(C6),"")</f>
        <v/>
      </c>
      <c r="E6" s="19" t="inlineStr">
        <is>
          <t>Source of cash</t>
        </is>
      </c>
    </row>
    <row r="7">
      <c r="A7" s="13" t="inlineStr">
        <is>
          <t>Retainage Receivable</t>
        </is>
      </c>
      <c r="B7" s="5" t="n">
        <v>-837450.48</v>
      </c>
      <c r="C7" s="5" t="n">
        <v>-2438809.88</v>
      </c>
      <c r="D7" s="6">
        <f>IFERROR((B7-C7)/ABS(C7),"")</f>
        <v/>
      </c>
      <c r="E7" s="18" t="inlineStr">
        <is>
          <t>Use of cash</t>
        </is>
      </c>
    </row>
    <row r="8">
      <c r="A8" s="13" t="inlineStr">
        <is>
          <t>Drywall Inventory</t>
        </is>
      </c>
      <c r="B8" s="5" t="n">
        <v>193111.88</v>
      </c>
      <c r="C8" s="5" t="n">
        <v>362396.12</v>
      </c>
      <c r="D8" s="6">
        <f>IFERROR((B8-C8)/ABS(C8),"")</f>
        <v/>
      </c>
      <c r="E8" s="19" t="inlineStr">
        <is>
          <t>Source of cash</t>
        </is>
      </c>
    </row>
    <row r="9">
      <c r="A9" s="13" t="inlineStr">
        <is>
          <t>WIP Overbillings</t>
        </is>
      </c>
      <c r="B9" s="5" t="n">
        <v>-1073267.83</v>
      </c>
      <c r="C9" s="5" t="n">
        <v>1249606.34</v>
      </c>
      <c r="D9" s="6">
        <f>IFERROR((B9-C9)/ABS(C9),"")</f>
        <v/>
      </c>
      <c r="E9" s="18" t="inlineStr">
        <is>
          <t>Use of cash</t>
        </is>
      </c>
    </row>
    <row r="10">
      <c r="A10" s="13" t="inlineStr">
        <is>
          <t>WIP Underbillings</t>
        </is>
      </c>
      <c r="B10" s="5" t="n">
        <v>-1274331.17</v>
      </c>
      <c r="C10" s="5" t="n">
        <v>215079.93</v>
      </c>
      <c r="D10" s="6">
        <f>IFERROR((B10-C10)/ABS(C10),"")</f>
        <v/>
      </c>
      <c r="E10" s="18" t="inlineStr">
        <is>
          <t>Use of cash</t>
        </is>
      </c>
    </row>
    <row r="11">
      <c r="A11" s="13" t="inlineStr">
        <is>
          <t>Line of Credit draw</t>
        </is>
      </c>
      <c r="B11" s="5" t="n">
        <v>2536373.04</v>
      </c>
      <c r="C11" s="5" t="n">
        <v>-460964.34</v>
      </c>
      <c r="D11" s="6">
        <f>IFERROR((B11-C11)/ABS(C11),"")</f>
        <v/>
      </c>
      <c r="E11" s="19" t="inlineStr">
        <is>
          <t>Source of cash</t>
        </is>
      </c>
    </row>
    <row r="12">
      <c r="A12" s="7" t="inlineStr">
        <is>
          <t>Total working-capital change (live sum)</t>
        </is>
      </c>
      <c r="B12" s="17">
        <f>SUM(B5:B11)</f>
        <v/>
      </c>
      <c r="C12" s="17">
        <f>SUM(C5:C11)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Scenario Modeling — FP&amp;A / Strategy</t>
        </is>
      </c>
    </row>
    <row r="2">
      <c r="A2" s="2" t="inlineStr">
        <is>
          <t>Inputs in B6:B8 are the only cells you edit. Year-end outcome below recomputes automatically.</t>
        </is>
      </c>
    </row>
    <row r="4">
      <c r="A4" s="16" t="inlineStr">
        <is>
          <t>Inputs</t>
        </is>
      </c>
    </row>
    <row r="5">
      <c r="A5" s="13" t="inlineStr">
        <is>
          <t>YTD revenue (locked)</t>
        </is>
      </c>
      <c r="B5" s="5" t="n">
        <v>19376770.19</v>
      </c>
    </row>
    <row r="6">
      <c r="A6" s="4" t="inlineStr">
        <is>
          <t>2H revenue growth vs run-rate (e.g., 0.05 = +5%)</t>
        </is>
      </c>
      <c r="B6" s="20" t="n">
        <v>0</v>
      </c>
    </row>
    <row r="7">
      <c r="A7" s="4" t="inlineStr">
        <is>
          <t>Gross margin shift (pts; e.g., -0.01 = -1pt)</t>
        </is>
      </c>
      <c r="B7" s="20" t="n">
        <v>0</v>
      </c>
    </row>
    <row r="8">
      <c r="A8" s="4" t="inlineStr">
        <is>
          <t>OpEx % vs run-rate (e.g., 0.10 = +10%)</t>
        </is>
      </c>
      <c r="B8" s="20" t="n">
        <v>0</v>
      </c>
    </row>
    <row r="10">
      <c r="A10" s="16" t="inlineStr">
        <is>
          <t>Year-end outcome (live)</t>
        </is>
      </c>
    </row>
    <row r="11">
      <c r="A11" s="3" t="inlineStr">
        <is>
          <t>Metric</t>
        </is>
      </c>
      <c r="B11" s="3" t="inlineStr">
        <is>
          <t>Base forecast</t>
        </is>
      </c>
      <c r="C11" s="3" t="inlineStr">
        <is>
          <t>Scenario</t>
        </is>
      </c>
      <c r="D11" s="3" t="inlineStr">
        <is>
          <t>Δ vs base</t>
        </is>
      </c>
    </row>
    <row r="12">
      <c r="A12" s="4" t="inlineStr">
        <is>
          <t>Revenue</t>
        </is>
      </c>
      <c r="B12" s="5" t="n">
        <v>46504248.46</v>
      </c>
      <c r="C12" s="5">
        <f>B5+(3875354.04*7)*(1+$B$6)</f>
        <v/>
      </c>
      <c r="D12" s="5">
        <f>C12-B12</f>
        <v/>
      </c>
    </row>
    <row r="13">
      <c r="A13" s="4" t="inlineStr">
        <is>
          <t>Gross Margin %</t>
        </is>
      </c>
      <c r="B13" s="6" t="n">
        <v>0.2718606081952797</v>
      </c>
      <c r="C13" s="6">
        <f>0.2718606081952797+$B$7</f>
        <v/>
      </c>
      <c r="D13" s="6">
        <f>C13-B13</f>
        <v/>
      </c>
    </row>
    <row r="14">
      <c r="A14" s="4" t="inlineStr">
        <is>
          <t>Gross Profit</t>
        </is>
      </c>
      <c r="B14" s="5" t="n">
        <v>12642673.27</v>
      </c>
      <c r="C14" s="5">
        <f>C12*C13</f>
        <v/>
      </c>
      <c r="D14" s="5">
        <f>C14-B14</f>
        <v/>
      </c>
    </row>
    <row r="15">
      <c r="A15" s="4" t="inlineStr">
        <is>
          <t>Operating Expenses</t>
        </is>
      </c>
      <c r="B15" s="5" t="n">
        <v>8352332.95</v>
      </c>
      <c r="C15" s="5">
        <f>3480138.73+(696027.75*7)*(1+$B$8)</f>
        <v/>
      </c>
      <c r="D15" s="5">
        <f>C15-B15</f>
        <v/>
      </c>
    </row>
    <row r="16">
      <c r="A16" s="4" t="inlineStr">
        <is>
          <t>Net Income</t>
        </is>
      </c>
      <c r="B16" s="5" t="n">
        <v>3987810.6</v>
      </c>
      <c r="C16" s="5">
        <f>C14-C15</f>
        <v/>
      </c>
      <c r="D16" s="5">
        <f>C16-B16</f>
        <v/>
      </c>
    </row>
    <row r="17">
      <c r="A17" s="4" t="inlineStr">
        <is>
          <t>Net Margin %</t>
        </is>
      </c>
      <c r="B17" s="6" t="n">
        <v>0.08575153307616747</v>
      </c>
      <c r="C17" s="6">
        <f>C16/C12</f>
        <v/>
      </c>
      <c r="D17" s="6">
        <f>C17-B17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1" t="inlineStr">
        <is>
          <t>Industry Benchmark — Strategy</t>
        </is>
      </c>
    </row>
    <row r="2">
      <c r="A2" s="2" t="inlineStr">
        <is>
          <t>Commercial And Institutional Building Construction  ·  NAICS 236220  ·  IN  ·  Mar 2025 - Feb 2026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Annualized profit (12-mo)</t>
        </is>
      </c>
      <c r="B5" s="5" t="n">
        <v>3757685.49</v>
      </c>
    </row>
    <row r="6">
      <c r="A6" s="4" t="inlineStr">
        <is>
          <t>IN regional average</t>
        </is>
      </c>
      <c r="B6" s="5" t="n">
        <v>101486.51</v>
      </c>
    </row>
    <row r="7">
      <c r="A7" s="4" t="inlineStr">
        <is>
          <t>Above regional average by (live)</t>
        </is>
      </c>
      <c r="B7" s="6">
        <f>(B5-B6)/B6</f>
        <v/>
      </c>
    </row>
    <row r="8">
      <c r="A8" s="4" t="inlineStr">
        <is>
          <t>Multiple vs regional (live)</t>
        </is>
      </c>
      <c r="B8" s="21">
        <f>B5/B6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70" customWidth="1" min="4" max="4"/>
  </cols>
  <sheetData>
    <row r="1">
      <c r="A1" s="1" t="inlineStr">
        <is>
          <t>Action Flags</t>
        </is>
      </c>
    </row>
    <row r="2">
      <c r="A2" s="2" t="inlineStr">
        <is>
          <t>Computed live from current period vs prior + forecast. Severities: bad / warn / good.</t>
        </is>
      </c>
    </row>
    <row r="4">
      <c r="A4" s="3" t="inlineStr">
        <is>
          <t>Flag</t>
        </is>
      </c>
      <c r="B4" s="3" t="inlineStr">
        <is>
          <t>Severity</t>
        </is>
      </c>
      <c r="C4" s="3" t="inlineStr">
        <is>
          <t>Triggered?</t>
        </is>
      </c>
      <c r="D4" s="3" t="inlineStr">
        <is>
          <t>Detail</t>
        </is>
      </c>
    </row>
    <row r="5" ht="36" customHeight="1">
      <c r="A5" s="22" t="inlineStr">
        <is>
          <t>Revenue trajectory above prior year</t>
        </is>
      </c>
      <c r="B5" s="19" t="inlineStr">
        <is>
          <t>GOOD</t>
        </is>
      </c>
      <c r="C5" s="19" t="inlineStr">
        <is>
          <t>YES</t>
        </is>
      </c>
      <c r="D5" s="23" t="inlineStr">
        <is>
          <t>Run-rate $46,504,248 vs FY 2025 $40,491,815.</t>
        </is>
      </c>
    </row>
    <row r="6" ht="36" customHeight="1">
      <c r="A6" s="24" t="inlineStr">
        <is>
          <t>Gross margin compression vs prior year</t>
        </is>
      </c>
      <c r="B6" s="18" t="inlineStr">
        <is>
          <t>BAD</t>
        </is>
      </c>
      <c r="C6" s="18" t="inlineStr">
        <is>
          <t>YES</t>
        </is>
      </c>
      <c r="D6" s="25" t="inlineStr">
        <is>
          <t>GM% 27.19% vs prior 31.45% (-4.27pt).</t>
        </is>
      </c>
    </row>
    <row r="7" ht="36" customHeight="1">
      <c r="A7" s="24" t="inlineStr">
        <is>
          <t>Negative net cash flow YTD</t>
        </is>
      </c>
      <c r="B7" s="18" t="inlineStr">
        <is>
          <t>BAD</t>
        </is>
      </c>
      <c r="C7" s="18" t="inlineStr">
        <is>
          <t>YES</t>
        </is>
      </c>
      <c r="D7" s="25" t="inlineStr">
        <is>
          <t>YTD net cash $-358,105 (Op $760,034 + Inv $212,852 + Fin $-1,330,992).</t>
        </is>
      </c>
    </row>
    <row r="8" ht="36" customHeight="1">
      <c r="A8" s="24" t="inlineStr">
        <is>
          <t>Negative cash position</t>
        </is>
      </c>
      <c r="B8" s="18" t="inlineStr">
        <is>
          <t>BAD</t>
        </is>
      </c>
      <c r="C8" s="18" t="inlineStr">
        <is>
          <t>YES</t>
        </is>
      </c>
      <c r="D8" s="25" t="inlineStr">
        <is>
          <t>Cash at end of period $-602,043 (LoC drawn). Beginning $-243,938.</t>
        </is>
      </c>
    </row>
    <row r="9" ht="36" customHeight="1">
      <c r="A9" s="26" t="inlineStr">
        <is>
          <t>A/R collection risk</t>
        </is>
      </c>
      <c r="B9" s="27" t="inlineStr">
        <is>
          <t>WARN</t>
        </is>
      </c>
      <c r="C9" s="27" t="inlineStr">
        <is>
          <t>YES</t>
        </is>
      </c>
      <c r="D9" s="28" t="inlineStr">
        <is>
          <t>Cash deteriorated by $-358,105 vs prior year-end.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>
      <c r="A1" s="1" t="inlineStr">
        <is>
          <t>Raw snapshot.json values</t>
        </is>
      </c>
    </row>
    <row r="2">
      <c r="A2" s="2" t="inlineStr">
        <is>
          <t>Source of truth for every other tab. Edit at your own risk — formulas elsewhere reference these.</t>
        </is>
      </c>
    </row>
    <row r="4">
      <c r="A4" s="3" t="inlineStr">
        <is>
          <t>Path</t>
        </is>
      </c>
      <c r="B4" s="3" t="inlineStr">
        <is>
          <t>Value</t>
        </is>
      </c>
    </row>
    <row r="5">
      <c r="A5" s="29" t="inlineStr">
        <is>
          <t>company.name</t>
        </is>
      </c>
      <c r="B5" s="13" t="inlineStr">
        <is>
          <t>Midwest Design Group LLC</t>
        </is>
      </c>
    </row>
    <row r="6">
      <c r="A6" s="29" t="inlineStr">
        <is>
          <t>company.industry</t>
        </is>
      </c>
      <c r="B6" s="13" t="inlineStr">
        <is>
          <t>Commercial and Institutional Building Construction</t>
        </is>
      </c>
    </row>
    <row r="7">
      <c r="A7" s="29" t="inlineStr">
        <is>
          <t>company.naics</t>
        </is>
      </c>
      <c r="B7" s="13" t="inlineStr">
        <is>
          <t>236220</t>
        </is>
      </c>
    </row>
    <row r="8">
      <c r="A8" s="29" t="inlineStr">
        <is>
          <t>company.state</t>
        </is>
      </c>
      <c r="B8" s="13" t="inlineStr">
        <is>
          <t>IN</t>
        </is>
      </c>
    </row>
    <row r="9">
      <c r="A9" s="29" t="inlineStr">
        <is>
          <t>asOf</t>
        </is>
      </c>
      <c r="B9" s="13" t="inlineStr">
        <is>
          <t>2026-05-07</t>
        </is>
      </c>
    </row>
    <row r="10">
      <c r="A10" s="29" t="inlineStr">
        <is>
          <t>generatedAt</t>
        </is>
      </c>
      <c r="B10" s="13" t="inlineStr">
        <is>
          <t>2026-05-07T04:02:32.164249+00:00</t>
        </is>
      </c>
    </row>
    <row r="11">
      <c r="A11" s="29" t="inlineStr">
        <is>
          <t>source</t>
        </is>
      </c>
      <c r="B11" s="13" t="inlineStr">
        <is>
          <t>QuickBooks Online (live, via QuickBooks MCP)</t>
        </is>
      </c>
    </row>
    <row r="12">
      <c r="A12" s="29" t="inlineStr">
        <is>
          <t>personas[0].id</t>
        </is>
      </c>
      <c r="B12" s="13" t="inlineStr">
        <is>
          <t>cfo</t>
        </is>
      </c>
    </row>
    <row r="13">
      <c r="A13" s="29" t="inlineStr">
        <is>
          <t>personas[0].label</t>
        </is>
      </c>
      <c r="B13" s="13" t="inlineStr">
        <is>
          <t>CFO</t>
        </is>
      </c>
    </row>
    <row r="14">
      <c r="A14" s="29" t="inlineStr">
        <is>
          <t>personas[0].kpis[0]</t>
        </is>
      </c>
      <c r="B14" s="13" t="inlineStr">
        <is>
          <t>revenue</t>
        </is>
      </c>
    </row>
    <row r="15">
      <c r="A15" s="29" t="inlineStr">
        <is>
          <t>personas[0].kpis[1]</t>
        </is>
      </c>
      <c r="B15" s="13" t="inlineStr">
        <is>
          <t>grossProfit</t>
        </is>
      </c>
    </row>
    <row r="16">
      <c r="A16" s="29" t="inlineStr">
        <is>
          <t>personas[0].kpis[2]</t>
        </is>
      </c>
      <c r="B16" s="13" t="inlineStr">
        <is>
          <t>netIncome</t>
        </is>
      </c>
    </row>
    <row r="17">
      <c r="A17" s="29" t="inlineStr">
        <is>
          <t>personas[0].kpis[3]</t>
        </is>
      </c>
      <c r="B17" s="13" t="inlineStr">
        <is>
          <t>netMarginPct</t>
        </is>
      </c>
    </row>
    <row r="18">
      <c r="A18" s="29" t="inlineStr">
        <is>
          <t>personas[0].kpis[4]</t>
        </is>
      </c>
      <c r="B18" s="13" t="inlineStr">
        <is>
          <t>cashEnding</t>
        </is>
      </c>
    </row>
    <row r="19">
      <c r="A19" s="29" t="inlineStr">
        <is>
          <t>personas[0].kpis[5]</t>
        </is>
      </c>
      <c r="B19" s="13" t="inlineStr">
        <is>
          <t>yearEndForecast</t>
        </is>
      </c>
    </row>
    <row r="20">
      <c r="A20" s="29" t="inlineStr">
        <is>
          <t>personas[1].id</t>
        </is>
      </c>
      <c r="B20" s="13" t="inlineStr">
        <is>
          <t>fpa</t>
        </is>
      </c>
    </row>
    <row r="21">
      <c r="A21" s="29" t="inlineStr">
        <is>
          <t>personas[1].label</t>
        </is>
      </c>
      <c r="B21" s="13" t="inlineStr">
        <is>
          <t>FP&amp;A</t>
        </is>
      </c>
    </row>
    <row r="22">
      <c r="A22" s="29" t="inlineStr">
        <is>
          <t>personas[1].kpis[0]</t>
        </is>
      </c>
      <c r="B22" s="13" t="inlineStr">
        <is>
          <t>revenue</t>
        </is>
      </c>
    </row>
    <row r="23">
      <c r="A23" s="29" t="inlineStr">
        <is>
          <t>personas[1].kpis[1]</t>
        </is>
      </c>
      <c r="B23" s="13" t="inlineStr">
        <is>
          <t>grossMarginPct</t>
        </is>
      </c>
    </row>
    <row r="24">
      <c r="A24" s="29" t="inlineStr">
        <is>
          <t>personas[1].kpis[2]</t>
        </is>
      </c>
      <c r="B24" s="13" t="inlineStr">
        <is>
          <t>operatingExpenses</t>
        </is>
      </c>
    </row>
    <row r="25">
      <c r="A25" s="29" t="inlineStr">
        <is>
          <t>personas[1].kpis[3]</t>
        </is>
      </c>
      <c r="B25" s="13" t="inlineStr">
        <is>
          <t>yearEndForecast</t>
        </is>
      </c>
    </row>
    <row r="26">
      <c r="A26" s="29" t="inlineStr">
        <is>
          <t>personas[1].kpis[4]</t>
        </is>
      </c>
      <c r="B26" s="13" t="inlineStr">
        <is>
          <t>varianceVsForecast</t>
        </is>
      </c>
    </row>
    <row r="27">
      <c r="A27" s="29" t="inlineStr">
        <is>
          <t>personas[1].kpis[5]</t>
        </is>
      </c>
      <c r="B27" s="13" t="inlineStr">
        <is>
          <t>monthlyTrend</t>
        </is>
      </c>
    </row>
    <row r="28">
      <c r="A28" s="29" t="inlineStr">
        <is>
          <t>personas[2].id</t>
        </is>
      </c>
      <c r="B28" s="13" t="inlineStr">
        <is>
          <t>controller</t>
        </is>
      </c>
    </row>
    <row r="29">
      <c r="A29" s="29" t="inlineStr">
        <is>
          <t>personas[2].label</t>
        </is>
      </c>
      <c r="B29" s="13" t="inlineStr">
        <is>
          <t>Controller</t>
        </is>
      </c>
    </row>
    <row r="30">
      <c r="A30" s="29" t="inlineStr">
        <is>
          <t>personas[2].kpis[0]</t>
        </is>
      </c>
      <c r="B30" s="13" t="inlineStr">
        <is>
          <t>netIncome</t>
        </is>
      </c>
    </row>
    <row r="31">
      <c r="A31" s="29" t="inlineStr">
        <is>
          <t>personas[2].kpis[1]</t>
        </is>
      </c>
      <c r="B31" s="13" t="inlineStr">
        <is>
          <t>operatingExpenses</t>
        </is>
      </c>
    </row>
    <row r="32">
      <c r="A32" s="29" t="inlineStr">
        <is>
          <t>personas[2].kpis[2]</t>
        </is>
      </c>
      <c r="B32" s="13" t="inlineStr">
        <is>
          <t>ar</t>
        </is>
      </c>
    </row>
    <row r="33">
      <c r="A33" s="29" t="inlineStr">
        <is>
          <t>personas[2].kpis[3]</t>
        </is>
      </c>
      <c r="B33" s="13" t="inlineStr">
        <is>
          <t>ap</t>
        </is>
      </c>
    </row>
    <row r="34">
      <c r="A34" s="29" t="inlineStr">
        <is>
          <t>personas[2].kpis[4]</t>
        </is>
      </c>
      <c r="B34" s="13" t="inlineStr">
        <is>
          <t>retainage</t>
        </is>
      </c>
    </row>
    <row r="35">
      <c r="A35" s="29" t="inlineStr">
        <is>
          <t>personas[2].kpis[5]</t>
        </is>
      </c>
      <c r="B35" s="13" t="inlineStr">
        <is>
          <t>wipNet</t>
        </is>
      </c>
    </row>
    <row r="36">
      <c r="A36" s="29" t="inlineStr">
        <is>
          <t>personas[3].id</t>
        </is>
      </c>
      <c r="B36" s="13" t="inlineStr">
        <is>
          <t>strategy</t>
        </is>
      </c>
    </row>
    <row r="37">
      <c r="A37" s="29" t="inlineStr">
        <is>
          <t>personas[3].label</t>
        </is>
      </c>
      <c r="B37" s="13" t="inlineStr">
        <is>
          <t>Strategy</t>
        </is>
      </c>
    </row>
    <row r="38">
      <c r="A38" s="29" t="inlineStr">
        <is>
          <t>personas[3].kpis[0]</t>
        </is>
      </c>
      <c r="B38" s="13" t="inlineStr">
        <is>
          <t>revenue</t>
        </is>
      </c>
    </row>
    <row r="39">
      <c r="A39" s="29" t="inlineStr">
        <is>
          <t>personas[3].kpis[1]</t>
        </is>
      </c>
      <c r="B39" s="13" t="inlineStr">
        <is>
          <t>yoyGrowth</t>
        </is>
      </c>
    </row>
    <row r="40">
      <c r="A40" s="29" t="inlineStr">
        <is>
          <t>personas[3].kpis[2]</t>
        </is>
      </c>
      <c r="B40" s="13" t="inlineStr">
        <is>
          <t>twoYearCagr</t>
        </is>
      </c>
    </row>
    <row r="41">
      <c r="A41" s="29" t="inlineStr">
        <is>
          <t>personas[3].kpis[3]</t>
        </is>
      </c>
      <c r="B41" s="13" t="inlineStr">
        <is>
          <t>vsRegional</t>
        </is>
      </c>
    </row>
    <row r="42">
      <c r="A42" s="29" t="inlineStr">
        <is>
          <t>personas[3].kpis[4]</t>
        </is>
      </c>
      <c r="B42" s="13" t="inlineStr">
        <is>
          <t>segmentMix</t>
        </is>
      </c>
    </row>
    <row r="43">
      <c r="A43" s="29" t="inlineStr">
        <is>
          <t>personas[3].kpis[5]</t>
        </is>
      </c>
      <c r="B43" s="13" t="inlineStr">
        <is>
          <t>marginExpansion</t>
        </is>
      </c>
    </row>
    <row r="44">
      <c r="A44" s="29" t="inlineStr">
        <is>
          <t>personas[4].id</t>
        </is>
      </c>
      <c r="B44" s="13" t="inlineStr">
        <is>
          <t>treasury</t>
        </is>
      </c>
    </row>
    <row r="45">
      <c r="A45" s="29" t="inlineStr">
        <is>
          <t>personas[4].label</t>
        </is>
      </c>
      <c r="B45" s="13" t="inlineStr">
        <is>
          <t>Treasury</t>
        </is>
      </c>
    </row>
    <row r="46">
      <c r="A46" s="29" t="inlineStr">
        <is>
          <t>personas[4].kpis[0]</t>
        </is>
      </c>
      <c r="B46" s="13" t="inlineStr">
        <is>
          <t>cashEnding</t>
        </is>
      </c>
    </row>
    <row r="47">
      <c r="A47" s="29" t="inlineStr">
        <is>
          <t>personas[4].kpis[1]</t>
        </is>
      </c>
      <c r="B47" s="13" t="inlineStr">
        <is>
          <t>operatingCash</t>
        </is>
      </c>
    </row>
    <row r="48">
      <c r="A48" s="29" t="inlineStr">
        <is>
          <t>personas[4].kpis[2]</t>
        </is>
      </c>
      <c r="B48" s="13" t="inlineStr">
        <is>
          <t>lineOfCreditDraw</t>
        </is>
      </c>
    </row>
    <row r="49">
      <c r="A49" s="29" t="inlineStr">
        <is>
          <t>personas[4].kpis[3]</t>
        </is>
      </c>
      <c r="B49" s="13" t="inlineStr">
        <is>
          <t>yearEndCash</t>
        </is>
      </c>
    </row>
    <row r="50">
      <c r="A50" s="29" t="inlineStr">
        <is>
          <t>personas[4].kpis[4]</t>
        </is>
      </c>
      <c r="B50" s="13" t="inlineStr">
        <is>
          <t>ar</t>
        </is>
      </c>
    </row>
    <row r="51">
      <c r="A51" s="29" t="inlineStr">
        <is>
          <t>personas[4].kpis[5]</t>
        </is>
      </c>
      <c r="B51" s="13" t="inlineStr">
        <is>
          <t>ap</t>
        </is>
      </c>
    </row>
    <row r="52">
      <c r="A52" s="29" t="inlineStr">
        <is>
          <t>periods.current.periodStart</t>
        </is>
      </c>
      <c r="B52" s="13" t="inlineStr">
        <is>
          <t>2026-01-01</t>
        </is>
      </c>
    </row>
    <row r="53">
      <c r="A53" s="29" t="inlineStr">
        <is>
          <t>periods.current.periodEnd</t>
        </is>
      </c>
      <c r="B53" s="13" t="inlineStr">
        <is>
          <t>2026-05-07</t>
        </is>
      </c>
    </row>
    <row r="54">
      <c r="A54" s="29" t="inlineStr">
        <is>
          <t>periods.current.revenue</t>
        </is>
      </c>
      <c r="B54" s="5" t="n">
        <v>19376770.19</v>
      </c>
    </row>
    <row r="55">
      <c r="A55" s="29" t="inlineStr">
        <is>
          <t>periods.current.cogs</t>
        </is>
      </c>
      <c r="B55" s="5" t="n">
        <v>14108989.66</v>
      </c>
    </row>
    <row r="56">
      <c r="A56" s="29" t="inlineStr">
        <is>
          <t>periods.current.grossProfit</t>
        </is>
      </c>
      <c r="B56" s="5" t="n">
        <v>5267780.53</v>
      </c>
    </row>
    <row r="57">
      <c r="A57" s="29" t="inlineStr">
        <is>
          <t>periods.current.operatingExpenses</t>
        </is>
      </c>
      <c r="B57" s="5" t="n">
        <v>3480138.73</v>
      </c>
    </row>
    <row r="58">
      <c r="A58" s="29" t="inlineStr">
        <is>
          <t>periods.current.netIncome</t>
        </is>
      </c>
      <c r="B58" s="5" t="n">
        <v>1661587.75</v>
      </c>
    </row>
    <row r="59">
      <c r="A59" s="29" t="inlineStr">
        <is>
          <t>periods.current.grossMarginPct</t>
        </is>
      </c>
      <c r="B59" s="6" t="n">
        <v>0.2718606082616702</v>
      </c>
    </row>
    <row r="60">
      <c r="A60" s="29" t="inlineStr">
        <is>
          <t>periods.current.netMarginPct</t>
        </is>
      </c>
      <c r="B60" s="6" t="n">
        <v>0.08575153308354315</v>
      </c>
    </row>
    <row r="61">
      <c r="A61" s="29" t="inlineStr">
        <is>
          <t>periods.current.segments.incomeAccounts[0].account</t>
        </is>
      </c>
      <c r="B61" s="13" t="inlineStr">
        <is>
          <t>Drywall Division Material Income</t>
        </is>
      </c>
    </row>
    <row r="62">
      <c r="A62" s="29" t="inlineStr">
        <is>
          <t>periods.current.segments.incomeAccounts[0].amount</t>
        </is>
      </c>
      <c r="B62" s="5" t="n">
        <v>20720.33</v>
      </c>
    </row>
    <row r="63">
      <c r="A63" s="29" t="inlineStr">
        <is>
          <t>periods.current.segments.incomeAccounts[1].account</t>
        </is>
      </c>
      <c r="B63" s="13" t="inlineStr">
        <is>
          <t>Drywall Supply Arbor Income</t>
        </is>
      </c>
    </row>
    <row r="64">
      <c r="A64" s="29" t="inlineStr">
        <is>
          <t>periods.current.segments.incomeAccounts[1].amount</t>
        </is>
      </c>
      <c r="B64" s="5" t="n">
        <v>571765.41</v>
      </c>
    </row>
    <row r="65">
      <c r="A65" s="29" t="inlineStr">
        <is>
          <t>periods.current.segments.incomeAccounts[2].account</t>
        </is>
      </c>
      <c r="B65" s="13" t="inlineStr">
        <is>
          <t>Drywall Supply Pulte Income</t>
        </is>
      </c>
    </row>
    <row r="66">
      <c r="A66" s="29" t="inlineStr">
        <is>
          <t>periods.current.segments.incomeAccounts[2].amount</t>
        </is>
      </c>
      <c r="B66" s="5" t="n">
        <v>16823.83</v>
      </c>
    </row>
    <row r="67">
      <c r="A67" s="29" t="inlineStr">
        <is>
          <t>periods.current.segments.incomeAccounts[3].account</t>
        </is>
      </c>
      <c r="B67" s="13" t="inlineStr">
        <is>
          <t>Engineering Project Income</t>
        </is>
      </c>
    </row>
    <row r="68">
      <c r="A68" s="29" t="inlineStr">
        <is>
          <t>periods.current.segments.incomeAccounts[3].amount</t>
        </is>
      </c>
      <c r="B68" s="5" t="n">
        <v>206725</v>
      </c>
    </row>
    <row r="69">
      <c r="A69" s="29" t="inlineStr">
        <is>
          <t>periods.current.segments.incomeAccounts[4].account</t>
        </is>
      </c>
      <c r="B69" s="13" t="inlineStr">
        <is>
          <t>Sales</t>
        </is>
      </c>
    </row>
    <row r="70">
      <c r="A70" s="29" t="inlineStr">
        <is>
          <t>periods.current.segments.incomeAccounts[4].amount</t>
        </is>
      </c>
      <c r="B70" s="5" t="n">
        <v>4820</v>
      </c>
    </row>
    <row r="71">
      <c r="A71" s="29" t="inlineStr">
        <is>
          <t>periods.current.segments.incomeAccounts[5].account</t>
        </is>
      </c>
      <c r="B71" s="13" t="inlineStr">
        <is>
          <t>Service/Fee Income</t>
        </is>
      </c>
    </row>
    <row r="72">
      <c r="A72" s="29" t="inlineStr">
        <is>
          <t>periods.current.segments.incomeAccounts[5].amount</t>
        </is>
      </c>
      <c r="B72" s="5" t="n">
        <v>15924134.62</v>
      </c>
    </row>
    <row r="73">
      <c r="A73" s="29" t="inlineStr">
        <is>
          <t>periods.current.segments.incomeAccounts[6].account</t>
        </is>
      </c>
      <c r="B73" s="13" t="inlineStr">
        <is>
          <t>WIP Adj - Net change</t>
        </is>
      </c>
    </row>
    <row r="74">
      <c r="A74" s="29" t="inlineStr">
        <is>
          <t>periods.current.segments.incomeAccounts[6].amount</t>
        </is>
      </c>
      <c r="B74" s="5" t="n">
        <v>2347599</v>
      </c>
    </row>
    <row r="75">
      <c r="A75" s="29" t="inlineStr">
        <is>
          <t>periods.current.segments.cogsBuckets[0].bucket</t>
        </is>
      </c>
      <c r="B75" s="13" t="inlineStr">
        <is>
          <t>Labor (contractors + direct)</t>
        </is>
      </c>
    </row>
    <row r="76">
      <c r="A76" s="29" t="inlineStr">
        <is>
          <t>periods.current.segments.cogsBuckets[0].amount</t>
        </is>
      </c>
      <c r="B76" s="5" t="n">
        <v>6261029.85</v>
      </c>
    </row>
    <row r="77">
      <c r="A77" s="29" t="inlineStr">
        <is>
          <t>periods.current.segments.cogsBuckets[1].bucket</t>
        </is>
      </c>
      <c r="B77" s="13" t="inlineStr">
        <is>
          <t>Materials &amp; supply</t>
        </is>
      </c>
    </row>
    <row r="78">
      <c r="A78" s="29" t="inlineStr">
        <is>
          <t>periods.current.segments.cogsBuckets[1].amount</t>
        </is>
      </c>
      <c r="B78" s="5" t="n">
        <v>2745051.1</v>
      </c>
    </row>
    <row r="79">
      <c r="A79" s="29" t="inlineStr">
        <is>
          <t>periods.current.segments.cogsBuckets[2].bucket</t>
        </is>
      </c>
      <c r="B79" s="13" t="inlineStr">
        <is>
          <t>Job site &amp; rental</t>
        </is>
      </c>
    </row>
    <row r="80">
      <c r="A80" s="29" t="inlineStr">
        <is>
          <t>periods.current.segments.cogsBuckets[2].amount</t>
        </is>
      </c>
      <c r="B80" s="5" t="n">
        <v>529849.5</v>
      </c>
    </row>
    <row r="81">
      <c r="A81" s="29" t="inlineStr">
        <is>
          <t>periods.current.segments.opexBuckets[0].bucket</t>
        </is>
      </c>
      <c r="B81" s="13" t="inlineStr">
        <is>
          <t>Payroll &amp; benefits</t>
        </is>
      </c>
    </row>
    <row r="82">
      <c r="A82" s="29" t="inlineStr">
        <is>
          <t>periods.current.segments.opexBuckets[0].amount</t>
        </is>
      </c>
      <c r="B82" s="5" t="n">
        <v>1928101.09</v>
      </c>
    </row>
    <row r="83">
      <c r="A83" s="29" t="inlineStr">
        <is>
          <t>periods.current.segments.opexBuckets[1].bucket</t>
        </is>
      </c>
      <c r="B83" s="13" t="inlineStr">
        <is>
          <t>Facilities (rent + utilities)</t>
        </is>
      </c>
    </row>
    <row r="84">
      <c r="A84" s="29" t="inlineStr">
        <is>
          <t>periods.current.segments.opexBuckets[1].amount</t>
        </is>
      </c>
      <c r="B84" s="5" t="n">
        <v>757455.8100000001</v>
      </c>
    </row>
    <row r="85">
      <c r="A85" s="29" t="inlineStr">
        <is>
          <t>periods.current.segments.opexBuckets[2].bucket</t>
        </is>
      </c>
      <c r="B85" s="13" t="inlineStr">
        <is>
          <t>Vehicle / fleet</t>
        </is>
      </c>
    </row>
    <row r="86">
      <c r="A86" s="29" t="inlineStr">
        <is>
          <t>periods.current.segments.opexBuckets[2].amount</t>
        </is>
      </c>
      <c r="B86" s="5" t="n">
        <v>72850.52</v>
      </c>
    </row>
    <row r="87">
      <c r="A87" s="29" t="inlineStr">
        <is>
          <t>periods.current.segments.opexBuckets[3].bucket</t>
        </is>
      </c>
      <c r="B87" s="13" t="inlineStr">
        <is>
          <t>Insurance &amp; professional</t>
        </is>
      </c>
    </row>
    <row r="88">
      <c r="A88" s="29" t="inlineStr">
        <is>
          <t>periods.current.segments.opexBuckets[3].amount</t>
        </is>
      </c>
      <c r="B88" s="5" t="n">
        <v>191337.16</v>
      </c>
    </row>
    <row r="89">
      <c r="A89" s="29" t="inlineStr">
        <is>
          <t>periods.current.segments.opexBuckets[4].bucket</t>
        </is>
      </c>
      <c r="B89" s="13" t="inlineStr">
        <is>
          <t>G&amp;A (office, IT, dues, travel, M&amp;E)</t>
        </is>
      </c>
    </row>
    <row r="90">
      <c r="A90" s="29" t="inlineStr">
        <is>
          <t>periods.current.segments.opexBuckets[4].amount</t>
        </is>
      </c>
      <c r="B90" s="5" t="n">
        <v>64541.24</v>
      </c>
    </row>
    <row r="91">
      <c r="A91" s="29" t="inlineStr">
        <is>
          <t>periods.current.segments.opexBuckets[5].bucket</t>
        </is>
      </c>
      <c r="B91" s="13" t="inlineStr">
        <is>
          <t>Other OpEx</t>
        </is>
      </c>
    </row>
    <row r="92">
      <c r="A92" s="29" t="inlineStr">
        <is>
          <t>periods.current.segments.opexBuckets[5].amount</t>
        </is>
      </c>
      <c r="B92" s="5" t="n">
        <v>221218.59</v>
      </c>
    </row>
    <row r="93">
      <c r="A93" s="29" t="inlineStr">
        <is>
          <t>periods.prior.periodStart</t>
        </is>
      </c>
      <c r="B93" s="13" t="inlineStr">
        <is>
          <t>2025-01-01</t>
        </is>
      </c>
    </row>
    <row r="94">
      <c r="A94" s="29" t="inlineStr">
        <is>
          <t>periods.prior.periodEnd</t>
        </is>
      </c>
      <c r="B94" s="13" t="inlineStr">
        <is>
          <t>2025-12-31</t>
        </is>
      </c>
    </row>
    <row r="95">
      <c r="A95" s="29" t="inlineStr">
        <is>
          <t>periods.prior.revenue</t>
        </is>
      </c>
      <c r="B95" s="5" t="n">
        <v>40491815.42</v>
      </c>
    </row>
    <row r="96">
      <c r="A96" s="29" t="inlineStr">
        <is>
          <t>periods.prior.cogs</t>
        </is>
      </c>
      <c r="B96" s="5" t="n">
        <v>27755136.44</v>
      </c>
    </row>
    <row r="97">
      <c r="A97" s="29" t="inlineStr">
        <is>
          <t>periods.prior.grossProfit</t>
        </is>
      </c>
      <c r="B97" s="5" t="n">
        <v>12736678.98</v>
      </c>
    </row>
    <row r="98">
      <c r="A98" s="29" t="inlineStr">
        <is>
          <t>periods.prior.operatingExpenses</t>
        </is>
      </c>
      <c r="B98" s="5" t="n">
        <v>9925912.359999999</v>
      </c>
    </row>
    <row r="99">
      <c r="A99" s="29" t="inlineStr">
        <is>
          <t>periods.prior.netIncome</t>
        </is>
      </c>
      <c r="B99" s="5" t="n">
        <v>2810766.62</v>
      </c>
    </row>
    <row r="100">
      <c r="A100" s="29" t="inlineStr">
        <is>
          <t>periods.prior.grossMarginPct</t>
        </is>
      </c>
      <c r="B100" s="6" t="n">
        <v>0.314549467537803</v>
      </c>
    </row>
    <row r="101">
      <c r="A101" s="29" t="inlineStr">
        <is>
          <t>periods.prior.netMarginPct</t>
        </is>
      </c>
      <c r="B101" s="6" t="n">
        <v>0.06941567304022843</v>
      </c>
    </row>
    <row r="102">
      <c r="A102" s="29" t="inlineStr">
        <is>
          <t>periods.prior.segments.incomeAccounts[0].account</t>
        </is>
      </c>
      <c r="B102" s="13" t="inlineStr">
        <is>
          <t>Billable Expense Income</t>
        </is>
      </c>
    </row>
    <row r="103">
      <c r="A103" s="29" t="inlineStr">
        <is>
          <t>periods.prior.segments.incomeAccounts[0].amount</t>
        </is>
      </c>
      <c r="B103" s="5" t="n">
        <v>543</v>
      </c>
    </row>
    <row r="104">
      <c r="A104" s="29" t="inlineStr">
        <is>
          <t>periods.prior.segments.incomeAccounts[1].account</t>
        </is>
      </c>
      <c r="B104" s="13" t="inlineStr">
        <is>
          <t>Doors and Windows</t>
        </is>
      </c>
    </row>
    <row r="105">
      <c r="A105" s="29" t="inlineStr">
        <is>
          <t>periods.prior.segments.incomeAccounts[1].amount</t>
        </is>
      </c>
      <c r="B105" s="5" t="n">
        <v>4594.5</v>
      </c>
    </row>
    <row r="106">
      <c r="A106" s="29" t="inlineStr">
        <is>
          <t>periods.prior.segments.incomeAccounts[2].account</t>
        </is>
      </c>
      <c r="B106" s="13" t="inlineStr">
        <is>
          <t>Drywall Division Delivery Income</t>
        </is>
      </c>
    </row>
    <row r="107">
      <c r="A107" s="29" t="inlineStr">
        <is>
          <t>periods.prior.segments.incomeAccounts[2].amount</t>
        </is>
      </c>
      <c r="B107" s="5" t="n">
        <v>201.04</v>
      </c>
    </row>
    <row r="108">
      <c r="A108" s="29" t="inlineStr">
        <is>
          <t>periods.prior.segments.incomeAccounts[3].account</t>
        </is>
      </c>
      <c r="B108" s="13" t="inlineStr">
        <is>
          <t>Drywall Division Material Income</t>
        </is>
      </c>
    </row>
    <row r="109">
      <c r="A109" s="29" t="inlineStr">
        <is>
          <t>periods.prior.segments.incomeAccounts[3].amount</t>
        </is>
      </c>
      <c r="B109" s="5" t="n">
        <v>2824148.9</v>
      </c>
    </row>
    <row r="110">
      <c r="A110" s="29" t="inlineStr">
        <is>
          <t>periods.prior.segments.incomeAccounts[4].account</t>
        </is>
      </c>
      <c r="B110" s="13" t="inlineStr">
        <is>
          <t>Drywall Supply Arbor Income</t>
        </is>
      </c>
    </row>
    <row r="111">
      <c r="A111" s="29" t="inlineStr">
        <is>
          <t>periods.prior.segments.incomeAccounts[4].amount</t>
        </is>
      </c>
      <c r="B111" s="5" t="n">
        <v>959002.74</v>
      </c>
    </row>
    <row r="112">
      <c r="A112" s="29" t="inlineStr">
        <is>
          <t>periods.prior.segments.incomeAccounts[5].account</t>
        </is>
      </c>
      <c r="B112" s="13" t="inlineStr">
        <is>
          <t>Drywall Supply Century Income</t>
        </is>
      </c>
    </row>
    <row r="113">
      <c r="A113" s="29" t="inlineStr">
        <is>
          <t>periods.prior.segments.incomeAccounts[5].amount</t>
        </is>
      </c>
      <c r="B113" s="5" t="n">
        <v>105734.39</v>
      </c>
    </row>
    <row r="114">
      <c r="A114" s="29" t="inlineStr">
        <is>
          <t>periods.prior.segments.incomeAccounts[6].account</t>
        </is>
      </c>
      <c r="B114" s="13" t="inlineStr">
        <is>
          <t>Drywall Supply HD Boom Scatter Income</t>
        </is>
      </c>
    </row>
    <row r="115">
      <c r="A115" s="29" t="inlineStr">
        <is>
          <t>periods.prior.segments.incomeAccounts[6].amount</t>
        </is>
      </c>
      <c r="B115" s="5" t="n">
        <v>174372.44</v>
      </c>
    </row>
    <row r="116">
      <c r="A116" s="29" t="inlineStr">
        <is>
          <t>periods.prior.segments.incomeAccounts[7].account</t>
        </is>
      </c>
      <c r="B116" s="13" t="inlineStr">
        <is>
          <t>Drywall Supply Pulte Income</t>
        </is>
      </c>
    </row>
    <row r="117">
      <c r="A117" s="29" t="inlineStr">
        <is>
          <t>periods.prior.segments.incomeAccounts[7].amount</t>
        </is>
      </c>
      <c r="B117" s="5" t="n">
        <v>6230.22</v>
      </c>
    </row>
    <row r="118">
      <c r="A118" s="29" t="inlineStr">
        <is>
          <t>periods.prior.segments.incomeAccounts[8].account</t>
        </is>
      </c>
      <c r="B118" s="13" t="inlineStr">
        <is>
          <t>Drywall Tax</t>
        </is>
      </c>
    </row>
    <row r="119">
      <c r="A119" s="29" t="inlineStr">
        <is>
          <t>periods.prior.segments.incomeAccounts[8].amount</t>
        </is>
      </c>
      <c r="B119" s="5" t="n">
        <v>67.77</v>
      </c>
    </row>
    <row r="120">
      <c r="A120" s="29" t="inlineStr">
        <is>
          <t>periods.prior.segments.incomeAccounts[9].account</t>
        </is>
      </c>
      <c r="B120" s="13" t="inlineStr">
        <is>
          <t>Engineering Project Income</t>
        </is>
      </c>
    </row>
    <row r="121">
      <c r="A121" s="29" t="inlineStr">
        <is>
          <t>periods.prior.segments.incomeAccounts[9].amount</t>
        </is>
      </c>
      <c r="B121" s="5" t="n">
        <v>709295</v>
      </c>
    </row>
    <row r="122">
      <c r="A122" s="29" t="inlineStr">
        <is>
          <t>periods.prior.segments.incomeAccounts[10].account</t>
        </is>
      </c>
      <c r="B122" s="13" t="inlineStr">
        <is>
          <t>Finishes</t>
        </is>
      </c>
    </row>
    <row r="123">
      <c r="A123" s="29" t="inlineStr">
        <is>
          <t>periods.prior.segments.incomeAccounts[10].amount</t>
        </is>
      </c>
      <c r="B123" s="5" t="n">
        <v>76310.00999999999</v>
      </c>
    </row>
    <row r="124">
      <c r="A124" s="29" t="inlineStr">
        <is>
          <t>periods.prior.segments.incomeAccounts[11].account</t>
        </is>
      </c>
      <c r="B124" s="13" t="inlineStr">
        <is>
          <t>Sales</t>
        </is>
      </c>
    </row>
    <row r="125">
      <c r="A125" s="29" t="inlineStr">
        <is>
          <t>periods.prior.segments.incomeAccounts[11].amount</t>
        </is>
      </c>
      <c r="B125" s="5" t="n">
        <v>13469.39</v>
      </c>
    </row>
    <row r="126">
      <c r="A126" s="29" t="inlineStr">
        <is>
          <t>periods.prior.segments.incomeAccounts[12].account</t>
        </is>
      </c>
      <c r="B126" s="13" t="inlineStr">
        <is>
          <t>Service/Fee Income</t>
        </is>
      </c>
    </row>
    <row r="127">
      <c r="A127" s="29" t="inlineStr">
        <is>
          <t>periods.prior.segments.incomeAccounts[12].amount</t>
        </is>
      </c>
      <c r="B127" s="5" t="n">
        <v>33721642.66</v>
      </c>
    </row>
    <row r="128">
      <c r="A128" s="29" t="inlineStr">
        <is>
          <t>periods.prior.segments.incomeAccounts[13].account</t>
        </is>
      </c>
      <c r="B128" s="13" t="inlineStr">
        <is>
          <t>Specialties</t>
        </is>
      </c>
    </row>
    <row r="129">
      <c r="A129" s="29" t="inlineStr">
        <is>
          <t>periods.prior.segments.incomeAccounts[13].amount</t>
        </is>
      </c>
      <c r="B129" s="5" t="n">
        <v>2713.5</v>
      </c>
    </row>
    <row r="130">
      <c r="A130" s="29" t="inlineStr">
        <is>
          <t>periods.prior.segments.incomeAccounts[14].account</t>
        </is>
      </c>
      <c r="B130" s="13" t="inlineStr">
        <is>
          <t>WIP Adj - Net change</t>
        </is>
      </c>
    </row>
    <row r="131">
      <c r="A131" s="29" t="inlineStr">
        <is>
          <t>periods.prior.segments.incomeAccounts[14].amount</t>
        </is>
      </c>
      <c r="B131" s="5" t="n">
        <v>-1464686.27</v>
      </c>
    </row>
    <row r="132">
      <c r="A132" s="29" t="inlineStr">
        <is>
          <t>periods.prior.segments.cogsBuckets[0].bucket</t>
        </is>
      </c>
      <c r="B132" s="13" t="inlineStr">
        <is>
          <t>Labor (contractors + direct)</t>
        </is>
      </c>
    </row>
    <row r="133">
      <c r="A133" s="29" t="inlineStr">
        <is>
          <t>periods.prior.segments.cogsBuckets[0].amount</t>
        </is>
      </c>
      <c r="B133" s="5" t="n">
        <v>213374.44</v>
      </c>
    </row>
    <row r="134">
      <c r="A134" s="29" t="inlineStr">
        <is>
          <t>periods.prior.segments.cogsBuckets[1].bucket</t>
        </is>
      </c>
      <c r="B134" s="13" t="inlineStr">
        <is>
          <t>Materials &amp; supply</t>
        </is>
      </c>
    </row>
    <row r="135">
      <c r="A135" s="29" t="inlineStr">
        <is>
          <t>periods.prior.segments.cogsBuckets[1].amount</t>
        </is>
      </c>
      <c r="B135" s="5" t="n">
        <v>9213980.66</v>
      </c>
    </row>
    <row r="136">
      <c r="A136" s="29" t="inlineStr">
        <is>
          <t>periods.prior.segments.cogsBuckets[2].bucket</t>
        </is>
      </c>
      <c r="B136" s="13" t="inlineStr">
        <is>
          <t>Job site &amp; rental</t>
        </is>
      </c>
    </row>
    <row r="137">
      <c r="A137" s="29" t="inlineStr">
        <is>
          <t>periods.prior.segments.cogsBuckets[2].amount</t>
        </is>
      </c>
      <c r="B137" s="5" t="n">
        <v>734785.45</v>
      </c>
    </row>
    <row r="138">
      <c r="A138" s="29" t="inlineStr">
        <is>
          <t>periods.prior.segments.cogsBuckets[3].bucket</t>
        </is>
      </c>
      <c r="B138" s="13" t="inlineStr">
        <is>
          <t>Other COGS</t>
        </is>
      </c>
    </row>
    <row r="139">
      <c r="A139" s="29" t="inlineStr">
        <is>
          <t>periods.prior.segments.cogsBuckets[3].amount</t>
        </is>
      </c>
      <c r="B139" s="5" t="n">
        <v>-11150.24</v>
      </c>
    </row>
    <row r="140">
      <c r="A140" s="29" t="inlineStr">
        <is>
          <t>periods.prior.segments.opexBuckets[0].bucket</t>
        </is>
      </c>
      <c r="B140" s="13" t="inlineStr">
        <is>
          <t>Payroll &amp; benefits</t>
        </is>
      </c>
    </row>
    <row r="141">
      <c r="A141" s="29" t="inlineStr">
        <is>
          <t>periods.prior.segments.opexBuckets[0].amount</t>
        </is>
      </c>
      <c r="B141" s="5" t="n">
        <v>5521265.96</v>
      </c>
    </row>
    <row r="142">
      <c r="A142" s="29" t="inlineStr">
        <is>
          <t>periods.prior.segments.opexBuckets[1].bucket</t>
        </is>
      </c>
      <c r="B142" s="13" t="inlineStr">
        <is>
          <t>Facilities (rent + utilities)</t>
        </is>
      </c>
    </row>
    <row r="143">
      <c r="A143" s="29" t="inlineStr">
        <is>
          <t>periods.prior.segments.opexBuckets[1].amount</t>
        </is>
      </c>
      <c r="B143" s="5" t="n">
        <v>1286006.54</v>
      </c>
    </row>
    <row r="144">
      <c r="A144" s="29" t="inlineStr">
        <is>
          <t>periods.prior.segments.opexBuckets[2].bucket</t>
        </is>
      </c>
      <c r="B144" s="13" t="inlineStr">
        <is>
          <t>Vehicle / fleet</t>
        </is>
      </c>
    </row>
    <row r="145">
      <c r="A145" s="29" t="inlineStr">
        <is>
          <t>periods.prior.segments.opexBuckets[2].amount</t>
        </is>
      </c>
      <c r="B145" s="5" t="n">
        <v>267046.97</v>
      </c>
    </row>
    <row r="146">
      <c r="A146" s="29" t="inlineStr">
        <is>
          <t>periods.prior.segments.opexBuckets[3].bucket</t>
        </is>
      </c>
      <c r="B146" s="13" t="inlineStr">
        <is>
          <t>Insurance &amp; professional</t>
        </is>
      </c>
    </row>
    <row r="147">
      <c r="A147" s="29" t="inlineStr">
        <is>
          <t>periods.prior.segments.opexBuckets[3].amount</t>
        </is>
      </c>
      <c r="B147" s="5" t="n">
        <v>823266</v>
      </c>
    </row>
    <row r="148">
      <c r="A148" s="29" t="inlineStr">
        <is>
          <t>periods.prior.segments.opexBuckets[4].bucket</t>
        </is>
      </c>
      <c r="B148" s="13" t="inlineStr">
        <is>
          <t>G&amp;A (office, IT, dues, travel, M&amp;E)</t>
        </is>
      </c>
    </row>
    <row r="149">
      <c r="A149" s="29" t="inlineStr">
        <is>
          <t>periods.prior.segments.opexBuckets[4].amount</t>
        </is>
      </c>
      <c r="B149" s="5" t="n">
        <v>157841.59</v>
      </c>
    </row>
    <row r="150">
      <c r="A150" s="29" t="inlineStr">
        <is>
          <t>periods.prior.segments.opexBuckets[5].bucket</t>
        </is>
      </c>
      <c r="B150" s="13" t="inlineStr">
        <is>
          <t>Other OpEx</t>
        </is>
      </c>
    </row>
    <row r="151">
      <c r="A151" s="29" t="inlineStr">
        <is>
          <t>periods.prior.segments.opexBuckets[5].amount</t>
        </is>
      </c>
      <c r="B151" s="5" t="n">
        <v>981759.21</v>
      </c>
    </row>
    <row r="152">
      <c r="A152" s="29" t="inlineStr">
        <is>
          <t>periods.prior2.periodStart</t>
        </is>
      </c>
      <c r="B152" s="13" t="inlineStr">
        <is>
          <t>2024-01-01</t>
        </is>
      </c>
    </row>
    <row r="153">
      <c r="A153" s="29" t="inlineStr">
        <is>
          <t>periods.prior2.periodEnd</t>
        </is>
      </c>
      <c r="B153" s="13" t="inlineStr">
        <is>
          <t>2024-12-31</t>
        </is>
      </c>
    </row>
    <row r="154">
      <c r="A154" s="29" t="inlineStr">
        <is>
          <t>periods.prior2.revenue</t>
        </is>
      </c>
      <c r="B154" s="5" t="n">
        <v>39537774.9</v>
      </c>
    </row>
    <row r="155">
      <c r="A155" s="29" t="inlineStr">
        <is>
          <t>periods.prior2.cogs</t>
        </is>
      </c>
      <c r="B155" s="5" t="n">
        <v>28435216.93</v>
      </c>
    </row>
    <row r="156">
      <c r="A156" s="29" t="inlineStr">
        <is>
          <t>periods.prior2.grossProfit</t>
        </is>
      </c>
      <c r="B156" s="5" t="n">
        <v>11102557.97</v>
      </c>
    </row>
    <row r="157">
      <c r="A157" s="29" t="inlineStr">
        <is>
          <t>periods.prior2.operatingExpenses</t>
        </is>
      </c>
      <c r="B157" s="5" t="n">
        <v>8249044.14</v>
      </c>
    </row>
    <row r="158">
      <c r="A158" s="29" t="inlineStr">
        <is>
          <t>periods.prior2.netIncome</t>
        </is>
      </c>
      <c r="B158" s="5" t="n">
        <v>2899162.56</v>
      </c>
    </row>
    <row r="159">
      <c r="A159" s="29" t="inlineStr">
        <is>
          <t>periods.prior2.grossMarginPct</t>
        </is>
      </c>
      <c r="B159" s="6" t="n">
        <v>0.2808088719732179</v>
      </c>
    </row>
    <row r="160">
      <c r="A160" s="29" t="inlineStr">
        <is>
          <t>periods.prior2.netMarginPct</t>
        </is>
      </c>
      <c r="B160" s="6" t="n">
        <v>0.07332639652415061</v>
      </c>
    </row>
    <row r="161">
      <c r="A161" s="29" t="inlineStr">
        <is>
          <t>cashFlow.current.periodStart</t>
        </is>
      </c>
      <c r="B161" s="13" t="inlineStr">
        <is>
          <t>2026-01-01</t>
        </is>
      </c>
    </row>
    <row r="162">
      <c r="A162" s="29" t="inlineStr">
        <is>
          <t>cashFlow.current.periodEnd</t>
        </is>
      </c>
      <c r="B162" s="13" t="inlineStr">
        <is>
          <t>2026-05-07</t>
        </is>
      </c>
    </row>
    <row r="163">
      <c r="A163" s="29" t="inlineStr">
        <is>
          <t>cashFlow.current.operating</t>
        </is>
      </c>
      <c r="B163" s="5" t="n">
        <v>760034.3</v>
      </c>
    </row>
    <row r="164">
      <c r="A164" s="29" t="inlineStr">
        <is>
          <t>cashFlow.current.investing</t>
        </is>
      </c>
      <c r="B164" s="5" t="n">
        <v>212852.1</v>
      </c>
    </row>
    <row r="165">
      <c r="A165" s="29" t="inlineStr">
        <is>
          <t>cashFlow.current.financing</t>
        </is>
      </c>
      <c r="B165" s="5" t="n">
        <v>-1330991.51</v>
      </c>
    </row>
    <row r="166">
      <c r="A166" s="29" t="inlineStr">
        <is>
          <t>cashFlow.current.netCashChange</t>
        </is>
      </c>
      <c r="B166" s="5" t="n">
        <v>-358105.11</v>
      </c>
    </row>
    <row r="167">
      <c r="A167" s="29" t="inlineStr">
        <is>
          <t>cashFlow.current.cashBeginning</t>
        </is>
      </c>
      <c r="B167" s="5" t="n">
        <v>-243937.55</v>
      </c>
    </row>
    <row r="168">
      <c r="A168" s="29" t="inlineStr">
        <is>
          <t>cashFlow.current.cashEnding</t>
        </is>
      </c>
      <c r="B168" s="5" t="n">
        <v>-602042.66</v>
      </c>
    </row>
    <row r="169">
      <c r="A169" s="29" t="inlineStr">
        <is>
          <t>cashFlow.current.netIncome</t>
        </is>
      </c>
      <c r="B169" s="5" t="n">
        <v>1661587.75</v>
      </c>
    </row>
    <row r="170">
      <c r="A170" s="29" t="inlineStr">
        <is>
          <t>cashFlow.current.workingCapital.accountsPayableChange</t>
        </is>
      </c>
      <c r="B170" s="5" t="n">
        <v>286831.19</v>
      </c>
    </row>
    <row r="171">
      <c r="A171" s="29" t="inlineStr">
        <is>
          <t>cashFlow.current.workingCapital.accountsReceivableChange</t>
        </is>
      </c>
      <c r="B171" s="5" t="n">
        <v>-649262.0699999999</v>
      </c>
    </row>
    <row r="172">
      <c r="A172" s="29" t="inlineStr">
        <is>
          <t>cashFlow.current.workingCapital.retainageReceivableChange</t>
        </is>
      </c>
      <c r="B172" s="5" t="n">
        <v>-837450.48</v>
      </c>
    </row>
    <row r="173">
      <c r="A173" s="29" t="inlineStr">
        <is>
          <t>cashFlow.current.workingCapital.inventoryDrywallChange</t>
        </is>
      </c>
      <c r="B173" s="5" t="n">
        <v>193111.88</v>
      </c>
    </row>
    <row r="174">
      <c r="A174" s="29" t="inlineStr">
        <is>
          <t>cashFlow.current.workingCapital.wipOverbillingsChange</t>
        </is>
      </c>
      <c r="B174" s="5" t="n">
        <v>-1073267.83</v>
      </c>
    </row>
    <row r="175">
      <c r="A175" s="29" t="inlineStr">
        <is>
          <t>cashFlow.current.workingCapital.wipUnderbillingsChange</t>
        </is>
      </c>
      <c r="B175" s="5" t="n">
        <v>-1274331.17</v>
      </c>
    </row>
    <row r="176">
      <c r="A176" s="29" t="inlineStr">
        <is>
          <t>cashFlow.current.workingCapital.accruedBonusesChange</t>
        </is>
      </c>
      <c r="B176" s="5" t="n">
        <v>224000</v>
      </c>
    </row>
    <row r="177">
      <c r="A177" s="29" t="inlineStr">
        <is>
          <t>cashFlow.current.workingCapital.accruedPayrollChange</t>
        </is>
      </c>
      <c r="B177" s="5" t="n">
        <v>-149000</v>
      </c>
    </row>
    <row r="178">
      <c r="A178" s="29" t="inlineStr">
        <is>
          <t>cashFlow.current.workingCapital.lineOfCreditDraw</t>
        </is>
      </c>
      <c r="B178" s="5" t="n">
        <v>2536373.04</v>
      </c>
    </row>
    <row r="179">
      <c r="A179" s="29" t="inlineStr">
        <is>
          <t>cashFlow.current.workingCapital.lineOfCreditCapXChange</t>
        </is>
      </c>
      <c r="B179" s="5" t="n">
        <v>-27802.23</v>
      </c>
    </row>
    <row r="180">
      <c r="A180" s="29" t="inlineStr">
        <is>
          <t>cashFlow.prior.periodStart</t>
        </is>
      </c>
      <c r="B180" s="13" t="inlineStr">
        <is>
          <t>2025-01-01</t>
        </is>
      </c>
    </row>
    <row r="181">
      <c r="A181" s="29" t="inlineStr">
        <is>
          <t>cashFlow.prior.periodEnd</t>
        </is>
      </c>
      <c r="B181" s="13" t="inlineStr">
        <is>
          <t>2025-12-31</t>
        </is>
      </c>
    </row>
    <row r="182">
      <c r="A182" s="29" t="inlineStr">
        <is>
          <t>cashFlow.prior.operating</t>
        </is>
      </c>
      <c r="B182" s="5" t="n">
        <v>1607367.49</v>
      </c>
    </row>
    <row r="183">
      <c r="A183" s="29" t="inlineStr">
        <is>
          <t>cashFlow.prior.investing</t>
        </is>
      </c>
      <c r="B183" s="5" t="n">
        <v>179545.59</v>
      </c>
    </row>
    <row r="184">
      <c r="A184" s="29" t="inlineStr">
        <is>
          <t>cashFlow.prior.financing</t>
        </is>
      </c>
      <c r="B184" s="5" t="n">
        <v>-1432655.18</v>
      </c>
    </row>
    <row r="185">
      <c r="A185" s="29" t="inlineStr">
        <is>
          <t>cashFlow.prior.netCashChange</t>
        </is>
      </c>
      <c r="B185" s="5" t="n">
        <v>354257.9</v>
      </c>
    </row>
    <row r="186">
      <c r="A186" s="29" t="inlineStr">
        <is>
          <t>cashFlow.prior.cashBeginning</t>
        </is>
      </c>
      <c r="B186" s="5" t="n">
        <v>-598195.45</v>
      </c>
    </row>
    <row r="187">
      <c r="A187" s="29" t="inlineStr">
        <is>
          <t>cashFlow.prior.cashEnding</t>
        </is>
      </c>
      <c r="B187" s="5" t="n">
        <v>-243937.55</v>
      </c>
    </row>
    <row r="188">
      <c r="A188" s="29" t="inlineStr">
        <is>
          <t>cashFlow.prior.netIncome</t>
        </is>
      </c>
      <c r="B188" s="5" t="n">
        <v>2810766.62</v>
      </c>
    </row>
    <row r="189">
      <c r="A189" s="29" t="inlineStr">
        <is>
          <t>cashFlow.prior.workingCapital.accountsPayableChange</t>
        </is>
      </c>
      <c r="B189" s="5" t="n">
        <v>712464.46</v>
      </c>
    </row>
    <row r="190">
      <c r="A190" s="29" t="inlineStr">
        <is>
          <t>cashFlow.prior.workingCapital.accountsReceivableChange</t>
        </is>
      </c>
      <c r="B190" s="5" t="n">
        <v>-733947.11</v>
      </c>
    </row>
    <row r="191">
      <c r="A191" s="29" t="inlineStr">
        <is>
          <t>cashFlow.prior.workingCapital.retainageReceivableChange</t>
        </is>
      </c>
      <c r="B191" s="5" t="n">
        <v>-2438809.88</v>
      </c>
    </row>
    <row r="192">
      <c r="A192" s="29" t="inlineStr">
        <is>
          <t>cashFlow.prior.workingCapital.inventoryDrywallChange</t>
        </is>
      </c>
      <c r="B192" s="5" t="n">
        <v>362396.12</v>
      </c>
    </row>
    <row r="193">
      <c r="A193" s="29" t="inlineStr">
        <is>
          <t>cashFlow.prior.workingCapital.wipOverbillingsChange</t>
        </is>
      </c>
      <c r="B193" s="5" t="n">
        <v>1249606.34</v>
      </c>
    </row>
    <row r="194">
      <c r="A194" s="29" t="inlineStr">
        <is>
          <t>cashFlow.prior.workingCapital.wipUnderbillingsChange</t>
        </is>
      </c>
      <c r="B194" s="5" t="n">
        <v>215079.93</v>
      </c>
    </row>
    <row r="195">
      <c r="A195" s="29" t="inlineStr">
        <is>
          <t>cashFlow.prior.workingCapital.accruedBonusesChange</t>
        </is>
      </c>
      <c r="B195" s="5" t="n">
        <v>-9352.09</v>
      </c>
    </row>
    <row r="196">
      <c r="A196" s="29" t="inlineStr">
        <is>
          <t>cashFlow.prior.workingCapital.accruedPayrollChange</t>
        </is>
      </c>
      <c r="B196" s="5" t="n">
        <v>11000</v>
      </c>
    </row>
    <row r="197">
      <c r="A197" s="29" t="inlineStr">
        <is>
          <t>cashFlow.prior.workingCapital.accruedCommissionsChange</t>
        </is>
      </c>
      <c r="B197" s="5" t="n">
        <v>-37000</v>
      </c>
    </row>
    <row r="198">
      <c r="A198" s="29" t="inlineStr">
        <is>
          <t>cashFlow.prior.workingCapital.lineOfCreditDraw</t>
        </is>
      </c>
      <c r="B198" s="5" t="n">
        <v>-460964.34</v>
      </c>
    </row>
    <row r="199">
      <c r="A199" s="29" t="inlineStr">
        <is>
          <t>cashFlow.prior.workingCapital.lineOfCreditCapXChange</t>
        </is>
      </c>
      <c r="B199" s="5" t="n">
        <v>-67265.75999999999</v>
      </c>
    </row>
    <row r="200">
      <c r="A200" s="29" t="inlineStr">
        <is>
          <t>cashFlow.prior.workingCapital.leaseLiabilityCurrentChange</t>
        </is>
      </c>
      <c r="B200" s="5" t="n">
        <v>-112868</v>
      </c>
    </row>
    <row r="201">
      <c r="A201" s="29" t="inlineStr">
        <is>
          <t>cashFlow.prior.workingCapital.leaseLiabilityNoncurrentChange</t>
        </is>
      </c>
      <c r="B201" s="5" t="n">
        <v>-959670</v>
      </c>
    </row>
    <row r="202">
      <c r="A202" s="29" t="inlineStr">
        <is>
          <t>cashFlow.prior.workingCapital.rouAssetOperatingLeasesChange</t>
        </is>
      </c>
      <c r="B202" s="5" t="n">
        <v>967660</v>
      </c>
    </row>
    <row r="203">
      <c r="A203" s="29" t="inlineStr">
        <is>
          <t>workingCapital.current.ar</t>
        </is>
      </c>
      <c r="B203" s="5" t="n">
        <v>-649262.0699999999</v>
      </c>
    </row>
    <row r="204">
      <c r="A204" s="29" t="inlineStr">
        <is>
          <t>workingCapital.current.ap</t>
        </is>
      </c>
      <c r="B204" s="5" t="n">
        <v>286831.19</v>
      </c>
    </row>
    <row r="205">
      <c r="A205" s="29" t="inlineStr">
        <is>
          <t>workingCapital.current.retainage</t>
        </is>
      </c>
      <c r="B205" s="5" t="n">
        <v>-837450.48</v>
      </c>
    </row>
    <row r="206">
      <c r="A206" s="29" t="inlineStr">
        <is>
          <t>workingCapital.current.inventory</t>
        </is>
      </c>
      <c r="B206" s="5" t="n">
        <v>193111.88</v>
      </c>
    </row>
    <row r="207">
      <c r="A207" s="29" t="inlineStr">
        <is>
          <t>workingCapital.current.wipOverbillings</t>
        </is>
      </c>
      <c r="B207" s="5" t="n">
        <v>-1073267.83</v>
      </c>
    </row>
    <row r="208">
      <c r="A208" s="29" t="inlineStr">
        <is>
          <t>workingCapital.current.wipUnderbillings</t>
        </is>
      </c>
      <c r="B208" s="5" t="n">
        <v>-1274331.17</v>
      </c>
    </row>
    <row r="209">
      <c r="A209" s="29" t="inlineStr">
        <is>
          <t>workingCapital.current.lineOfCreditDraw</t>
        </is>
      </c>
      <c r="B209" s="5" t="n">
        <v>2536373.04</v>
      </c>
    </row>
    <row r="210">
      <c r="A210" s="29" t="inlineStr">
        <is>
          <t>workingCapital.current.totalWorkingCapitalChange</t>
        </is>
      </c>
      <c r="B210" s="5" t="n">
        <v>-3354368.48</v>
      </c>
    </row>
    <row r="211">
      <c r="A211" s="29" t="inlineStr">
        <is>
          <t>workingCapital.prior.ar</t>
        </is>
      </c>
      <c r="B211" s="5" t="n">
        <v>-733947.11</v>
      </c>
    </row>
    <row r="212">
      <c r="A212" s="29" t="inlineStr">
        <is>
          <t>workingCapital.prior.ap</t>
        </is>
      </c>
      <c r="B212" s="5" t="n">
        <v>712464.46</v>
      </c>
    </row>
    <row r="213">
      <c r="A213" s="29" t="inlineStr">
        <is>
          <t>workingCapital.prior.retainage</t>
        </is>
      </c>
      <c r="B213" s="5" t="n">
        <v>-2438809.88</v>
      </c>
    </row>
    <row r="214">
      <c r="A214" s="29" t="inlineStr">
        <is>
          <t>workingCapital.prior.inventory</t>
        </is>
      </c>
      <c r="B214" s="5" t="n">
        <v>362396.12</v>
      </c>
    </row>
    <row r="215">
      <c r="A215" s="29" t="inlineStr">
        <is>
          <t>workingCapital.prior.wipOverbillings</t>
        </is>
      </c>
      <c r="B215" s="5" t="n">
        <v>1249606.34</v>
      </c>
    </row>
    <row r="216">
      <c r="A216" s="29" t="inlineStr">
        <is>
          <t>workingCapital.prior.wipUnderbillings</t>
        </is>
      </c>
      <c r="B216" s="5" t="n">
        <v>215079.93</v>
      </c>
    </row>
    <row r="217">
      <c r="A217" s="29" t="inlineStr">
        <is>
          <t>workingCapital.prior.lineOfCreditDraw</t>
        </is>
      </c>
      <c r="B217" s="5" t="n">
        <v>-460964.34</v>
      </c>
    </row>
    <row r="218">
      <c r="A218" s="29" t="inlineStr">
        <is>
          <t>workingCapital.prior.totalWorkingCapitalChange</t>
        </is>
      </c>
      <c r="B218" s="5" t="n">
        <v>-633210.1399999997</v>
      </c>
    </row>
    <row r="219">
      <c r="A219" s="29" t="inlineStr">
        <is>
          <t>forecast.completedMonths</t>
        </is>
      </c>
      <c r="B219" s="5" t="n">
        <v>5</v>
      </c>
    </row>
    <row r="220">
      <c r="A220" s="29" t="inlineStr">
        <is>
          <t>forecast.remainingMonths</t>
        </is>
      </c>
      <c r="B220" s="5" t="n">
        <v>7</v>
      </c>
    </row>
    <row r="221">
      <c r="A221" s="29" t="inlineStr">
        <is>
          <t>forecast.ytdRevenue</t>
        </is>
      </c>
      <c r="B221" s="5" t="n">
        <v>19376770.19</v>
      </c>
    </row>
    <row r="222">
      <c r="A222" s="29" t="inlineStr">
        <is>
          <t>forecast.ytdGrossProfit</t>
        </is>
      </c>
      <c r="B222" s="5" t="n">
        <v>5267780.53</v>
      </c>
    </row>
    <row r="223">
      <c r="A223" s="29" t="inlineStr">
        <is>
          <t>forecast.ytdOperatingExpenses</t>
        </is>
      </c>
      <c r="B223" s="5" t="n">
        <v>3480138.73</v>
      </c>
    </row>
    <row r="224">
      <c r="A224" s="29" t="inlineStr">
        <is>
          <t>forecast.ytdNetIncome</t>
        </is>
      </c>
      <c r="B224" s="5" t="n">
        <v>1661587.75</v>
      </c>
    </row>
    <row r="225">
      <c r="A225" s="29" t="inlineStr">
        <is>
          <t>forecast.avgMonthlyRevenue</t>
        </is>
      </c>
      <c r="B225" s="5" t="n">
        <v>3875354.04</v>
      </c>
    </row>
    <row r="226">
      <c r="A226" s="29" t="inlineStr">
        <is>
          <t>forecast.avgMonthlyGrossProfit</t>
        </is>
      </c>
      <c r="B226" s="5" t="n">
        <v>1053556.11</v>
      </c>
    </row>
    <row r="227">
      <c r="A227" s="29" t="inlineStr">
        <is>
          <t>forecast.avgMonthlyOperatingExpenses</t>
        </is>
      </c>
      <c r="B227" s="5" t="n">
        <v>696027.75</v>
      </c>
    </row>
    <row r="228">
      <c r="A228" s="29" t="inlineStr">
        <is>
          <t>forecast.avgMonthlyNetIncome</t>
        </is>
      </c>
      <c r="B228" s="5" t="n">
        <v>332317.55</v>
      </c>
    </row>
    <row r="229">
      <c r="A229" s="29" t="inlineStr">
        <is>
          <t>forecast.yearEndRevenue</t>
        </is>
      </c>
      <c r="B229" s="5" t="n">
        <v>46504248.46</v>
      </c>
    </row>
    <row r="230">
      <c r="A230" s="29" t="inlineStr">
        <is>
          <t>forecast.yearEndGrossProfit</t>
        </is>
      </c>
      <c r="B230" s="5" t="n">
        <v>12642673.27</v>
      </c>
    </row>
    <row r="231">
      <c r="A231" s="29" t="inlineStr">
        <is>
          <t>forecast.yearEndOperatingExpenses</t>
        </is>
      </c>
      <c r="B231" s="5" t="n">
        <v>8352332.95</v>
      </c>
    </row>
    <row r="232">
      <c r="A232" s="29" t="inlineStr">
        <is>
          <t>forecast.yearEndNetIncome</t>
        </is>
      </c>
      <c r="B232" s="5" t="n">
        <v>3987810.6</v>
      </c>
    </row>
    <row r="233">
      <c r="A233" s="29" t="inlineStr">
        <is>
          <t>forecast.runRateRevenue</t>
        </is>
      </c>
      <c r="B233" s="5" t="n">
        <v>46504248.46</v>
      </c>
    </row>
    <row r="234">
      <c r="A234" s="29" t="inlineStr">
        <is>
          <t>forecast.runRateGrossProfit</t>
        </is>
      </c>
      <c r="B234" s="5" t="n">
        <v>12642673.27</v>
      </c>
    </row>
    <row r="235">
      <c r="A235" s="29" t="inlineStr">
        <is>
          <t>forecast.runRateOperatingExpenses</t>
        </is>
      </c>
      <c r="B235" s="5" t="n">
        <v>8352332.95</v>
      </c>
    </row>
    <row r="236">
      <c r="A236" s="29" t="inlineStr">
        <is>
          <t>forecast.runRateNetIncome</t>
        </is>
      </c>
      <c r="B236" s="5" t="n">
        <v>3987810.6</v>
      </c>
    </row>
    <row r="237">
      <c r="A237" s="29" t="inlineStr">
        <is>
          <t>forecast.yearEndGrossMarginPct</t>
        </is>
      </c>
      <c r="B237" s="6" t="n">
        <v>0.2718606081952797</v>
      </c>
    </row>
    <row r="238">
      <c r="A238" s="29" t="inlineStr">
        <is>
          <t>forecast.yearEndNetMarginPct</t>
        </is>
      </c>
      <c r="B238" s="6" t="n">
        <v>0.08575153307616747</v>
      </c>
    </row>
    <row r="239">
      <c r="A239" s="29" t="inlineStr">
        <is>
          <t>forecast.yearEndCash</t>
        </is>
      </c>
      <c r="B239" s="5" t="n">
        <v>-1103389.81</v>
      </c>
    </row>
    <row r="240">
      <c r="A240" s="29" t="inlineStr">
        <is>
          <t>forecast.yearEndOperatingCash</t>
        </is>
      </c>
      <c r="B240" s="5" t="n">
        <v>1824082.32</v>
      </c>
    </row>
    <row r="241">
      <c r="A241" s="29" t="inlineStr">
        <is>
          <t>verifiedMonths[0].periodStart</t>
        </is>
      </c>
      <c r="B241" s="13" t="inlineStr">
        <is>
          <t>2025-01-01</t>
        </is>
      </c>
    </row>
    <row r="242">
      <c r="A242" s="29" t="inlineStr">
        <is>
          <t>verifiedMonths[0].periodEnd</t>
        </is>
      </c>
      <c r="B242" s="13" t="inlineStr">
        <is>
          <t>2025-01-31</t>
        </is>
      </c>
    </row>
    <row r="243">
      <c r="A243" s="29" t="inlineStr">
        <is>
          <t>verifiedMonths[0].revenue</t>
        </is>
      </c>
      <c r="B243" s="5" t="n">
        <v>2041295.53</v>
      </c>
    </row>
    <row r="244">
      <c r="A244" s="29" t="inlineStr">
        <is>
          <t>verifiedMonths[0].cogs</t>
        </is>
      </c>
      <c r="B244" s="5" t="n">
        <v>1705779.19</v>
      </c>
    </row>
    <row r="245">
      <c r="A245" s="29" t="inlineStr">
        <is>
          <t>verifiedMonths[0].grossProfit</t>
        </is>
      </c>
      <c r="B245" s="5" t="n">
        <v>335516.34</v>
      </c>
    </row>
    <row r="246">
      <c r="A246" s="29" t="inlineStr">
        <is>
          <t>verifiedMonths[0].operatingExpenses</t>
        </is>
      </c>
      <c r="B246" s="5" t="n">
        <v>917633.4300000001</v>
      </c>
    </row>
    <row r="247">
      <c r="A247" s="29" t="inlineStr">
        <is>
          <t>verifiedMonths[0].netIncome</t>
        </is>
      </c>
      <c r="B247" s="5" t="n">
        <v>-582117</v>
      </c>
    </row>
    <row r="248">
      <c r="A248" s="29" t="inlineStr">
        <is>
          <t>verifiedMonths[0].grossMarginPct</t>
        </is>
      </c>
      <c r="B248" s="6" t="n">
        <v>0.1643644122416709</v>
      </c>
    </row>
    <row r="249">
      <c r="A249" s="29" t="inlineStr">
        <is>
          <t>verifiedMonths[0].netMarginPct</t>
        </is>
      </c>
      <c r="B249" s="6" t="n">
        <v>-0.285170369231152</v>
      </c>
    </row>
    <row r="250">
      <c r="A250" s="29" t="inlineStr">
        <is>
          <t>verifiedMonths[0].month</t>
        </is>
      </c>
      <c r="B250" s="13" t="inlineStr">
        <is>
          <t>2025-01</t>
        </is>
      </c>
    </row>
    <row r="251">
      <c r="A251" s="29" t="inlineStr">
        <is>
          <t>verifiedMonths[1].periodStart</t>
        </is>
      </c>
      <c r="B251" s="13" t="inlineStr">
        <is>
          <t>2025-04-01</t>
        </is>
      </c>
    </row>
    <row r="252">
      <c r="A252" s="29" t="inlineStr">
        <is>
          <t>verifiedMonths[1].periodEnd</t>
        </is>
      </c>
      <c r="B252" s="13" t="inlineStr">
        <is>
          <t>2025-04-30</t>
        </is>
      </c>
    </row>
    <row r="253">
      <c r="A253" s="29" t="inlineStr">
        <is>
          <t>verifiedMonths[1].revenue</t>
        </is>
      </c>
      <c r="B253" s="5" t="n">
        <v>2424157.48</v>
      </c>
    </row>
    <row r="254">
      <c r="A254" s="29" t="inlineStr">
        <is>
          <t>verifiedMonths[1].cogs</t>
        </is>
      </c>
      <c r="B254" s="5" t="n">
        <v>1668995.34</v>
      </c>
    </row>
    <row r="255">
      <c r="A255" s="29" t="inlineStr">
        <is>
          <t>verifiedMonths[1].grossProfit</t>
        </is>
      </c>
      <c r="B255" s="5" t="n">
        <v>755162.14</v>
      </c>
    </row>
    <row r="256">
      <c r="A256" s="29" t="inlineStr">
        <is>
          <t>verifiedMonths[1].operatingExpenses</t>
        </is>
      </c>
      <c r="B256" s="5" t="n">
        <v>836162.72</v>
      </c>
    </row>
    <row r="257">
      <c r="A257" s="29" t="inlineStr">
        <is>
          <t>verifiedMonths[1].netIncome</t>
        </is>
      </c>
      <c r="B257" s="5" t="n">
        <v>-69968.27</v>
      </c>
    </row>
    <row r="258">
      <c r="A258" s="29" t="inlineStr">
        <is>
          <t>verifiedMonths[1].grossMarginPct</t>
        </is>
      </c>
      <c r="B258" s="6" t="n">
        <v>0.3115152980902874</v>
      </c>
    </row>
    <row r="259">
      <c r="A259" s="29" t="inlineStr">
        <is>
          <t>verifiedMonths[1].netMarginPct</t>
        </is>
      </c>
      <c r="B259" s="6" t="n">
        <v>-0.02886292271738056</v>
      </c>
    </row>
    <row r="260">
      <c r="A260" s="29" t="inlineStr">
        <is>
          <t>verifiedMonths[1].month</t>
        </is>
      </c>
      <c r="B260" s="13" t="inlineStr">
        <is>
          <t>2025-04</t>
        </is>
      </c>
    </row>
    <row r="261">
      <c r="A261" s="29" t="inlineStr">
        <is>
          <t>verifiedMonths[2].periodStart</t>
        </is>
      </c>
      <c r="B261" s="13" t="inlineStr">
        <is>
          <t>2026-03-01</t>
        </is>
      </c>
    </row>
    <row r="262">
      <c r="A262" s="29" t="inlineStr">
        <is>
          <t>verifiedMonths[2].periodEnd</t>
        </is>
      </c>
      <c r="B262" s="13" t="inlineStr">
        <is>
          <t>2026-03-31</t>
        </is>
      </c>
    </row>
    <row r="263">
      <c r="A263" s="29" t="inlineStr">
        <is>
          <t>verifiedMonths[2].revenue</t>
        </is>
      </c>
      <c r="B263" s="5" t="n">
        <v>5290349.77</v>
      </c>
    </row>
    <row r="264">
      <c r="A264" s="29" t="inlineStr">
        <is>
          <t>verifiedMonths[2].cogs</t>
        </is>
      </c>
      <c r="B264" s="5" t="n">
        <v>3616852.68</v>
      </c>
    </row>
    <row r="265">
      <c r="A265" s="29" t="inlineStr">
        <is>
          <t>verifiedMonths[2].grossProfit</t>
        </is>
      </c>
      <c r="B265" s="5" t="n">
        <v>1673497.09</v>
      </c>
    </row>
    <row r="266">
      <c r="A266" s="29" t="inlineStr">
        <is>
          <t>verifiedMonths[2].operatingExpenses</t>
        </is>
      </c>
      <c r="B266" s="5" t="n">
        <v>897079.72</v>
      </c>
    </row>
    <row r="267">
      <c r="A267" s="29" t="inlineStr">
        <is>
          <t>verifiedMonths[2].netIncome</t>
        </is>
      </c>
      <c r="B267" s="5" t="n">
        <v>790908.5600000001</v>
      </c>
    </row>
    <row r="268">
      <c r="A268" s="29" t="inlineStr">
        <is>
          <t>verifiedMonths[2].grossMarginPct</t>
        </is>
      </c>
      <c r="B268" s="6" t="n">
        <v>0.3163301412488649</v>
      </c>
    </row>
    <row r="269">
      <c r="A269" s="29" t="inlineStr">
        <is>
          <t>verifiedMonths[2].netMarginPct</t>
        </is>
      </c>
      <c r="B269" s="6" t="n">
        <v>0.1495002399434925</v>
      </c>
    </row>
    <row r="270">
      <c r="A270" s="29" t="inlineStr">
        <is>
          <t>verifiedMonths[2].month</t>
        </is>
      </c>
      <c r="B270" s="13" t="inlineStr">
        <is>
          <t>2026-03</t>
        </is>
      </c>
    </row>
    <row r="271">
      <c r="A271" s="29" t="inlineStr">
        <is>
          <t>verifiedMonths[3].periodStart</t>
        </is>
      </c>
      <c r="B271" s="13" t="inlineStr">
        <is>
          <t>2026-04-01</t>
        </is>
      </c>
    </row>
    <row r="272">
      <c r="A272" s="29" t="inlineStr">
        <is>
          <t>verifiedMonths[3].periodEnd</t>
        </is>
      </c>
      <c r="B272" s="13" t="inlineStr">
        <is>
          <t>2026-04-30</t>
        </is>
      </c>
    </row>
    <row r="273">
      <c r="A273" s="29" t="inlineStr">
        <is>
          <t>verifiedMonths[3].revenue</t>
        </is>
      </c>
      <c r="B273" s="5" t="n">
        <v>4593904.49</v>
      </c>
    </row>
    <row r="274">
      <c r="A274" s="29" t="inlineStr">
        <is>
          <t>verifiedMonths[3].cogs</t>
        </is>
      </c>
      <c r="B274" s="5" t="n">
        <v>3242912.67</v>
      </c>
    </row>
    <row r="275">
      <c r="A275" s="29" t="inlineStr">
        <is>
          <t>verifiedMonths[3].grossProfit</t>
        </is>
      </c>
      <c r="B275" s="5" t="n">
        <v>1350991.82</v>
      </c>
    </row>
    <row r="276">
      <c r="A276" s="29" t="inlineStr">
        <is>
          <t>verifiedMonths[3].operatingExpenses</t>
        </is>
      </c>
      <c r="B276" s="5" t="n">
        <v>713341.59</v>
      </c>
    </row>
    <row r="277">
      <c r="A277" s="29" t="inlineStr">
        <is>
          <t>verifiedMonths[3].netIncome</t>
        </is>
      </c>
      <c r="B277" s="5" t="n">
        <v>677429.8100000001</v>
      </c>
    </row>
    <row r="278">
      <c r="A278" s="29" t="inlineStr">
        <is>
          <t>verifiedMonths[3].grossMarginPct</t>
        </is>
      </c>
      <c r="B278" s="6" t="n">
        <v>0.2940835672445598</v>
      </c>
    </row>
    <row r="279">
      <c r="A279" s="29" t="inlineStr">
        <is>
          <t>verifiedMonths[3].netMarginPct</t>
        </is>
      </c>
      <c r="B279" s="6" t="n">
        <v>0.1474627544988424</v>
      </c>
    </row>
    <row r="280">
      <c r="A280" s="29" t="inlineStr">
        <is>
          <t>verifiedMonths[3].month</t>
        </is>
      </c>
      <c r="B280" s="13" t="inlineStr">
        <is>
          <t>2026-04</t>
        </is>
      </c>
    </row>
    <row r="281">
      <c r="A281" s="29" t="inlineStr">
        <is>
          <t>benchmark.companyName</t>
        </is>
      </c>
      <c r="B281" s="13" t="inlineStr">
        <is>
          <t>Midwest Design Group LLC</t>
        </is>
      </c>
    </row>
    <row r="282">
      <c r="A282" s="29" t="inlineStr">
        <is>
          <t>benchmark.metricType</t>
        </is>
      </c>
      <c r="B282" s="13" t="inlineStr">
        <is>
          <t>profit</t>
        </is>
      </c>
    </row>
    <row r="283">
      <c r="A283" s="29" t="inlineStr">
        <is>
          <t>benchmark.metricLabel</t>
        </is>
      </c>
      <c r="B283" s="13" t="inlineStr">
        <is>
          <t>Yearly Profit</t>
        </is>
      </c>
    </row>
    <row r="284">
      <c r="A284" s="29" t="inlineStr">
        <is>
          <t>benchmark.metricValue</t>
        </is>
      </c>
      <c r="B284" s="5" t="n">
        <v>3757685.49</v>
      </c>
    </row>
    <row r="285">
      <c r="A285" s="29" t="inlineStr">
        <is>
          <t>benchmark.regionalAverage</t>
        </is>
      </c>
      <c r="B285" s="5" t="n">
        <v>101486.51</v>
      </c>
    </row>
    <row r="286">
      <c r="A286" s="29" t="inlineStr">
        <is>
          <t>benchmark.nationalAverage</t>
        </is>
      </c>
      <c r="B286" s="13" t="inlineStr">
        <is>
          <t>None</t>
        </is>
      </c>
    </row>
    <row r="287">
      <c r="A287" s="29" t="inlineStr">
        <is>
          <t>benchmark.vsRegionalPercent</t>
        </is>
      </c>
      <c r="B287" s="5" t="n">
        <v>3602.65</v>
      </c>
    </row>
    <row r="288">
      <c r="A288" s="29" t="inlineStr">
        <is>
          <t>benchmark.vsNationalPercent</t>
        </is>
      </c>
      <c r="B288" s="6" t="n">
        <v>0</v>
      </c>
    </row>
    <row r="289">
      <c r="A289" s="29" t="inlineStr">
        <is>
          <t>benchmark.isAboveRegional</t>
        </is>
      </c>
      <c r="B289" s="6" t="b">
        <v>1</v>
      </c>
    </row>
    <row r="290">
      <c r="A290" s="29" t="inlineStr">
        <is>
          <t>benchmark.isAboveNational</t>
        </is>
      </c>
      <c r="B290" s="6" t="b">
        <v>0</v>
      </c>
    </row>
    <row r="291">
      <c r="A291" s="29" t="inlineStr">
        <is>
          <t>benchmark.location</t>
        </is>
      </c>
      <c r="B291" s="13" t="inlineStr">
        <is>
          <t>IN</t>
        </is>
      </c>
    </row>
    <row r="292">
      <c r="A292" s="29" t="inlineStr">
        <is>
          <t>benchmark.naicsCode</t>
        </is>
      </c>
      <c r="B292" s="13" t="inlineStr">
        <is>
          <t>236220</t>
        </is>
      </c>
    </row>
    <row r="293">
      <c r="A293" s="29" t="inlineStr">
        <is>
          <t>benchmark.industryType</t>
        </is>
      </c>
      <c r="B293" s="13" t="inlineStr">
        <is>
          <t>Commercial And Institutional Building Construction</t>
        </is>
      </c>
    </row>
    <row r="294">
      <c r="A294" s="29" t="inlineStr">
        <is>
          <t>benchmark.benchmarkPeriodRange</t>
        </is>
      </c>
      <c r="B294" s="13" t="inlineStr">
        <is>
          <t>Mar 2025 - Feb 2026</t>
        </is>
      </c>
    </row>
    <row r="295">
      <c r="A295" s="29" t="inlineStr">
        <is>
          <t>benchmark.reportDate</t>
        </is>
      </c>
      <c r="B295" s="13" t="inlineStr">
        <is>
          <t>2026-05-07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2026-05-07T04:30:29Z</dcterms:created>
  <dcterms:modified xsi:type="dcterms:W3CDTF">2026-05-07T04:30:29Z</dcterms:modified>
</cp:coreProperties>
</file>